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sholle1/Downloads/CBBSurvivor/"/>
    </mc:Choice>
  </mc:AlternateContent>
  <xr:revisionPtr revIDLastSave="0" documentId="8_{4B6AE188-9886-6A42-8C99-B7A271DD75FA}" xr6:coauthVersionLast="47" xr6:coauthVersionMax="47" xr10:uidLastSave="{00000000-0000-0000-0000-000000000000}"/>
  <bookViews>
    <workbookView xWindow="34560" yWindow="-640" windowWidth="38400" windowHeight="21100" xr2:uid="{3695D3A3-8426-4EC1-BAB1-148A109EC4AE}"/>
  </bookViews>
  <sheets>
    <sheet name="Picks" sheetId="1" r:id="rId1"/>
    <sheet name="Data" sheetId="3" r:id="rId2"/>
    <sheet name="schedule copy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" i="1" l="1"/>
  <c r="N3" i="1" s="1"/>
  <c r="O3" i="1" s="1"/>
  <c r="L9" i="1"/>
  <c r="M3" i="3"/>
  <c r="S3" i="1"/>
  <c r="AC16" i="1"/>
  <c r="AC15" i="1"/>
  <c r="AC14" i="1"/>
  <c r="AC13" i="1"/>
  <c r="AC12" i="1"/>
  <c r="AC11" i="1"/>
  <c r="AC10" i="1"/>
  <c r="AC9" i="1"/>
  <c r="AC8" i="1"/>
  <c r="AC7" i="1"/>
  <c r="AC6" i="1"/>
  <c r="AC5" i="1"/>
  <c r="AC4" i="1"/>
  <c r="AC3" i="1"/>
  <c r="AA14" i="1"/>
  <c r="AA13" i="1"/>
  <c r="AA12" i="1"/>
  <c r="AA11" i="1"/>
  <c r="AA10" i="1"/>
  <c r="AA9" i="1"/>
  <c r="AA8" i="1"/>
  <c r="AA7" i="1"/>
  <c r="AA6" i="1"/>
  <c r="AA5" i="1"/>
  <c r="AA4" i="1"/>
  <c r="AA3" i="1"/>
  <c r="Y12" i="1"/>
  <c r="Y11" i="1"/>
  <c r="Y10" i="1"/>
  <c r="Y9" i="1"/>
  <c r="Y8" i="1"/>
  <c r="Y7" i="1"/>
  <c r="Y6" i="1"/>
  <c r="Y5" i="1"/>
  <c r="Y4" i="1"/>
  <c r="Y3" i="1"/>
  <c r="W16" i="1"/>
  <c r="W15" i="1"/>
  <c r="W14" i="1"/>
  <c r="W13" i="1"/>
  <c r="W12" i="1"/>
  <c r="W11" i="1"/>
  <c r="W10" i="1"/>
  <c r="W9" i="1"/>
  <c r="W8" i="1"/>
  <c r="W6" i="1"/>
  <c r="W5" i="1"/>
  <c r="W4" i="1"/>
  <c r="W3" i="1"/>
  <c r="U13" i="1"/>
  <c r="U12" i="1"/>
  <c r="U11" i="1"/>
  <c r="U10" i="1"/>
  <c r="U9" i="1"/>
  <c r="U8" i="1"/>
  <c r="U7" i="1"/>
  <c r="U6" i="1"/>
  <c r="U5" i="1"/>
  <c r="U4" i="1"/>
  <c r="U3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L28" i="3"/>
  <c r="K17" i="1"/>
  <c r="N17" i="1" s="1"/>
  <c r="O17" i="1" s="1"/>
  <c r="M76" i="3"/>
  <c r="M79" i="3"/>
  <c r="M80" i="3"/>
  <c r="M78" i="3"/>
  <c r="M77" i="3"/>
  <c r="M81" i="3"/>
  <c r="M83" i="3"/>
  <c r="M84" i="3"/>
  <c r="M82" i="3"/>
  <c r="M87" i="3"/>
  <c r="M85" i="3"/>
  <c r="M88" i="3"/>
  <c r="M86" i="3"/>
  <c r="M75" i="3"/>
  <c r="M61" i="3"/>
  <c r="M63" i="3"/>
  <c r="M66" i="3"/>
  <c r="M67" i="3"/>
  <c r="M68" i="3"/>
  <c r="M69" i="3"/>
  <c r="M65" i="3"/>
  <c r="M64" i="3"/>
  <c r="M70" i="3"/>
  <c r="M71" i="3"/>
  <c r="M72" i="3"/>
  <c r="M62" i="3"/>
  <c r="L76" i="3"/>
  <c r="L79" i="3"/>
  <c r="L80" i="3"/>
  <c r="L78" i="3"/>
  <c r="L77" i="3"/>
  <c r="L81" i="3"/>
  <c r="L83" i="3"/>
  <c r="L84" i="3"/>
  <c r="L82" i="3"/>
  <c r="L87" i="3"/>
  <c r="L85" i="3"/>
  <c r="L88" i="3"/>
  <c r="L86" i="3"/>
  <c r="L75" i="3"/>
  <c r="L61" i="3"/>
  <c r="L63" i="3"/>
  <c r="L66" i="3"/>
  <c r="L67" i="3"/>
  <c r="L68" i="3"/>
  <c r="L69" i="3"/>
  <c r="L65" i="3"/>
  <c r="L64" i="3"/>
  <c r="L70" i="3"/>
  <c r="L71" i="3"/>
  <c r="L72" i="3"/>
  <c r="L62" i="3"/>
  <c r="L35" i="3"/>
  <c r="L34" i="3"/>
  <c r="L39" i="3"/>
  <c r="L36" i="3"/>
  <c r="L43" i="3"/>
  <c r="L41" i="3"/>
  <c r="L42" i="3"/>
  <c r="L38" i="3"/>
  <c r="L40" i="3"/>
  <c r="L44" i="3"/>
  <c r="L45" i="3"/>
  <c r="L46" i="3"/>
  <c r="L33" i="3"/>
  <c r="L24" i="3"/>
  <c r="L21" i="3"/>
  <c r="L20" i="3"/>
  <c r="L25" i="3"/>
  <c r="L23" i="3"/>
  <c r="L30" i="3"/>
  <c r="L27" i="3"/>
  <c r="L26" i="3"/>
  <c r="L29" i="3"/>
  <c r="L22" i="3"/>
  <c r="M51" i="3"/>
  <c r="M49" i="3"/>
  <c r="M52" i="3"/>
  <c r="M57" i="3"/>
  <c r="M54" i="3"/>
  <c r="M55" i="3"/>
  <c r="M56" i="3"/>
  <c r="M58" i="3"/>
  <c r="M53" i="3"/>
  <c r="M50" i="3"/>
  <c r="L51" i="3"/>
  <c r="L49" i="3"/>
  <c r="L52" i="3"/>
  <c r="L57" i="3"/>
  <c r="L54" i="3"/>
  <c r="L55" i="3"/>
  <c r="L56" i="3"/>
  <c r="L58" i="3"/>
  <c r="L53" i="3"/>
  <c r="L50" i="3"/>
  <c r="L4" i="3"/>
  <c r="L5" i="3"/>
  <c r="L6" i="3"/>
  <c r="L7" i="3"/>
  <c r="L8" i="3"/>
  <c r="L9" i="3"/>
  <c r="L10" i="3"/>
  <c r="L17" i="3"/>
  <c r="L11" i="3"/>
  <c r="L12" i="3"/>
  <c r="L13" i="3"/>
  <c r="L15" i="3"/>
  <c r="L16" i="3"/>
  <c r="L14" i="3"/>
  <c r="L3" i="3"/>
  <c r="M20" i="3"/>
  <c r="M33" i="3"/>
  <c r="M35" i="3"/>
  <c r="M34" i="3"/>
  <c r="M39" i="3"/>
  <c r="M36" i="3"/>
  <c r="M43" i="3"/>
  <c r="M41" i="3"/>
  <c r="M42" i="3"/>
  <c r="M38" i="3"/>
  <c r="M40" i="3"/>
  <c r="M44" i="3"/>
  <c r="M45" i="3"/>
  <c r="M46" i="3"/>
  <c r="M22" i="3"/>
  <c r="M24" i="3"/>
  <c r="M21" i="3"/>
  <c r="M25" i="3"/>
  <c r="M23" i="3"/>
  <c r="M30" i="3"/>
  <c r="M28" i="3"/>
  <c r="M27" i="3"/>
  <c r="M26" i="3"/>
  <c r="M29" i="3"/>
  <c r="M4" i="3"/>
  <c r="M6" i="3"/>
  <c r="M7" i="3"/>
  <c r="M11" i="3"/>
  <c r="M9" i="3"/>
  <c r="M8" i="3"/>
  <c r="M12" i="3"/>
  <c r="M10" i="3"/>
  <c r="M14" i="3"/>
  <c r="M17" i="3"/>
  <c r="M15" i="3"/>
  <c r="M13" i="3"/>
  <c r="M16" i="3"/>
  <c r="M5" i="3"/>
  <c r="L13" i="1"/>
  <c r="L11" i="1"/>
  <c r="L10" i="1"/>
  <c r="L23" i="1"/>
  <c r="L8" i="1"/>
  <c r="L24" i="1"/>
  <c r="L3" i="1"/>
  <c r="L21" i="1"/>
  <c r="L20" i="1"/>
  <c r="L14" i="1"/>
  <c r="L19" i="1"/>
  <c r="L22" i="1"/>
  <c r="L16" i="1"/>
  <c r="L4" i="1"/>
  <c r="L7" i="1"/>
  <c r="L15" i="1"/>
  <c r="L18" i="1"/>
  <c r="L12" i="1"/>
  <c r="L5" i="1"/>
  <c r="L6" i="1"/>
  <c r="L25" i="1"/>
  <c r="L75" i="1"/>
  <c r="L74" i="1"/>
  <c r="L73" i="1"/>
  <c r="L72" i="1"/>
  <c r="L71" i="1"/>
  <c r="L70" i="1"/>
  <c r="L69" i="1"/>
  <c r="L68" i="1"/>
  <c r="L67" i="1"/>
  <c r="L66" i="1"/>
  <c r="L65" i="1"/>
  <c r="L64" i="1"/>
  <c r="L63" i="1"/>
  <c r="L62" i="1"/>
  <c r="L61" i="1"/>
  <c r="L60" i="1"/>
  <c r="L59" i="1"/>
  <c r="L58" i="1"/>
  <c r="L57" i="1"/>
  <c r="L56" i="1"/>
  <c r="L55" i="1"/>
  <c r="L54" i="1"/>
  <c r="L53" i="1"/>
  <c r="L52" i="1"/>
  <c r="L51" i="1"/>
  <c r="L50" i="1"/>
  <c r="L49" i="1"/>
  <c r="L48" i="1"/>
  <c r="L47" i="1"/>
  <c r="L46" i="1"/>
  <c r="L45" i="1"/>
  <c r="L44" i="1"/>
  <c r="L43" i="1"/>
  <c r="L42" i="1"/>
  <c r="L41" i="1"/>
  <c r="L40" i="1"/>
  <c r="L39" i="1"/>
  <c r="L38" i="1"/>
  <c r="L37" i="1"/>
  <c r="L36" i="1"/>
  <c r="L35" i="1"/>
  <c r="L34" i="1"/>
  <c r="L33" i="1"/>
  <c r="L32" i="1"/>
  <c r="L31" i="1"/>
  <c r="L30" i="1"/>
  <c r="L29" i="1"/>
  <c r="L28" i="1"/>
  <c r="L27" i="1"/>
  <c r="L26" i="1"/>
  <c r="L77" i="1"/>
  <c r="L76" i="1"/>
  <c r="L17" i="1"/>
  <c r="K40" i="1"/>
  <c r="N40" i="1" s="1"/>
  <c r="O40" i="1" s="1"/>
  <c r="K50" i="1"/>
  <c r="N50" i="1" s="1"/>
  <c r="O50" i="1" s="1"/>
  <c r="K73" i="1"/>
  <c r="N73" i="1" s="1"/>
  <c r="O73" i="1" s="1"/>
  <c r="K29" i="1"/>
  <c r="N29" i="1" s="1"/>
  <c r="O29" i="1" s="1"/>
  <c r="K41" i="1"/>
  <c r="N41" i="1" s="1"/>
  <c r="O41" i="1" s="1"/>
  <c r="K39" i="1"/>
  <c r="N39" i="1" s="1"/>
  <c r="O39" i="1" s="1"/>
  <c r="K59" i="1"/>
  <c r="N59" i="1" s="1"/>
  <c r="O59" i="1" s="1"/>
  <c r="K54" i="1"/>
  <c r="N54" i="1" s="1"/>
  <c r="O54" i="1" s="1"/>
  <c r="K26" i="1"/>
  <c r="N26" i="1" s="1"/>
  <c r="O26" i="1" s="1"/>
  <c r="K9" i="1"/>
  <c r="N9" i="1" s="1"/>
  <c r="O9" i="1" s="1"/>
  <c r="K30" i="1"/>
  <c r="N30" i="1" s="1"/>
  <c r="O30" i="1" s="1"/>
  <c r="K75" i="1"/>
  <c r="N75" i="1" s="1"/>
  <c r="O75" i="1" s="1"/>
  <c r="K51" i="1"/>
  <c r="N51" i="1" s="1"/>
  <c r="O51" i="1" s="1"/>
  <c r="K66" i="1"/>
  <c r="N66" i="1" s="1"/>
  <c r="O66" i="1" s="1"/>
  <c r="K43" i="1"/>
  <c r="N43" i="1" s="1"/>
  <c r="O43" i="1" s="1"/>
  <c r="K28" i="1"/>
  <c r="N28" i="1" s="1"/>
  <c r="O28" i="1" s="1"/>
  <c r="K34" i="1"/>
  <c r="N34" i="1" s="1"/>
  <c r="O34" i="1" s="1"/>
  <c r="K60" i="1"/>
  <c r="N60" i="1" s="1"/>
  <c r="O60" i="1" s="1"/>
  <c r="K23" i="1"/>
  <c r="N23" i="1" s="1"/>
  <c r="O23" i="1" s="1"/>
  <c r="K6" i="1"/>
  <c r="N6" i="1" s="1"/>
  <c r="O6" i="1" s="1"/>
  <c r="K27" i="1"/>
  <c r="N27" i="1" s="1"/>
  <c r="O27" i="1" s="1"/>
  <c r="K42" i="1"/>
  <c r="N42" i="1" s="1"/>
  <c r="O42" i="1" s="1"/>
  <c r="K71" i="1"/>
  <c r="N71" i="1" s="1"/>
  <c r="O71" i="1" s="1"/>
  <c r="K32" i="1"/>
  <c r="N32" i="1" s="1"/>
  <c r="O32" i="1" s="1"/>
  <c r="K55" i="1"/>
  <c r="N55" i="1" s="1"/>
  <c r="O55" i="1" s="1"/>
  <c r="K47" i="1"/>
  <c r="N47" i="1" s="1"/>
  <c r="O47" i="1" s="1"/>
  <c r="K62" i="1"/>
  <c r="N62" i="1" s="1"/>
  <c r="O62" i="1" s="1"/>
  <c r="K69" i="1"/>
  <c r="N69" i="1" s="1"/>
  <c r="O69" i="1" s="1"/>
  <c r="K57" i="1"/>
  <c r="N57" i="1" s="1"/>
  <c r="O57" i="1" s="1"/>
  <c r="K64" i="1"/>
  <c r="N64" i="1" s="1"/>
  <c r="O64" i="1" s="1"/>
  <c r="K18" i="1"/>
  <c r="N18" i="1" s="1"/>
  <c r="O18" i="1" s="1"/>
  <c r="K44" i="1"/>
  <c r="N44" i="1" s="1"/>
  <c r="O44" i="1" s="1"/>
  <c r="K76" i="1"/>
  <c r="N76" i="1" s="1"/>
  <c r="O76" i="1" s="1"/>
  <c r="K35" i="1"/>
  <c r="N35" i="1" s="1"/>
  <c r="O35" i="1" s="1"/>
  <c r="K7" i="1"/>
  <c r="N7" i="1" s="1"/>
  <c r="O7" i="1" s="1"/>
  <c r="K70" i="1"/>
  <c r="N70" i="1" s="1"/>
  <c r="O70" i="1" s="1"/>
  <c r="K48" i="1"/>
  <c r="N48" i="1" s="1"/>
  <c r="O48" i="1" s="1"/>
  <c r="K45" i="1"/>
  <c r="N45" i="1" s="1"/>
  <c r="O45" i="1" s="1"/>
  <c r="K37" i="1"/>
  <c r="N37" i="1" s="1"/>
  <c r="O37" i="1" s="1"/>
  <c r="K4" i="1"/>
  <c r="N4" i="1" s="1"/>
  <c r="O4" i="1" s="1"/>
  <c r="K21" i="1"/>
  <c r="N21" i="1" s="1"/>
  <c r="O21" i="1" s="1"/>
  <c r="K38" i="1"/>
  <c r="N38" i="1" s="1"/>
  <c r="O38" i="1" s="1"/>
  <c r="K72" i="1"/>
  <c r="N72" i="1" s="1"/>
  <c r="O72" i="1" s="1"/>
  <c r="K8" i="1"/>
  <c r="N8" i="1" s="1"/>
  <c r="O8" i="1" s="1"/>
  <c r="K12" i="1"/>
  <c r="N12" i="1" s="1"/>
  <c r="O12" i="1" s="1"/>
  <c r="K19" i="1"/>
  <c r="N19" i="1" s="1"/>
  <c r="O19" i="1" s="1"/>
  <c r="K49" i="1"/>
  <c r="N49" i="1" s="1"/>
  <c r="O49" i="1" s="1"/>
  <c r="K68" i="1"/>
  <c r="N68" i="1" s="1"/>
  <c r="O68" i="1" s="1"/>
  <c r="K22" i="1"/>
  <c r="N22" i="1" s="1"/>
  <c r="O22" i="1" s="1"/>
  <c r="K67" i="1"/>
  <c r="N67" i="1" s="1"/>
  <c r="O67" i="1" s="1"/>
  <c r="K61" i="1"/>
  <c r="N61" i="1" s="1"/>
  <c r="O61" i="1" s="1"/>
  <c r="K77" i="1"/>
  <c r="N77" i="1" s="1"/>
  <c r="O77" i="1" s="1"/>
  <c r="K11" i="1"/>
  <c r="N11" i="1" s="1"/>
  <c r="O11" i="1" s="1"/>
  <c r="K53" i="1"/>
  <c r="N53" i="1" s="1"/>
  <c r="O53" i="1" s="1"/>
  <c r="K5" i="1"/>
  <c r="N5" i="1" s="1"/>
  <c r="O5" i="1" s="1"/>
  <c r="K24" i="1"/>
  <c r="N24" i="1" s="1"/>
  <c r="O24" i="1" s="1"/>
  <c r="K56" i="1"/>
  <c r="N56" i="1" s="1"/>
  <c r="O56" i="1" s="1"/>
  <c r="K31" i="1"/>
  <c r="N31" i="1" s="1"/>
  <c r="O31" i="1" s="1"/>
  <c r="K65" i="1"/>
  <c r="N65" i="1" s="1"/>
  <c r="O65" i="1" s="1"/>
  <c r="K15" i="1"/>
  <c r="N15" i="1" s="1"/>
  <c r="O15" i="1" s="1"/>
  <c r="K13" i="1"/>
  <c r="N13" i="1" s="1"/>
  <c r="O13" i="1" s="1"/>
  <c r="K74" i="1"/>
  <c r="N74" i="1" s="1"/>
  <c r="O74" i="1" s="1"/>
  <c r="K10" i="1"/>
  <c r="N10" i="1" s="1"/>
  <c r="O10" i="1" s="1"/>
  <c r="K52" i="1"/>
  <c r="N52" i="1" s="1"/>
  <c r="O52" i="1" s="1"/>
  <c r="K25" i="1"/>
  <c r="N25" i="1" s="1"/>
  <c r="O25" i="1" s="1"/>
  <c r="K58" i="1"/>
  <c r="N58" i="1" s="1"/>
  <c r="O58" i="1" s="1"/>
  <c r="K33" i="1"/>
  <c r="N33" i="1" s="1"/>
  <c r="O33" i="1" s="1"/>
  <c r="K14" i="1"/>
  <c r="N14" i="1" s="1"/>
  <c r="O14" i="1" s="1"/>
  <c r="K46" i="1"/>
  <c r="N46" i="1" s="1"/>
  <c r="O46" i="1" s="1"/>
  <c r="K16" i="1"/>
  <c r="N16" i="1" s="1"/>
  <c r="O16" i="1" s="1"/>
  <c r="K36" i="1"/>
  <c r="N36" i="1" s="1"/>
  <c r="O36" i="1" s="1"/>
  <c r="K20" i="1"/>
  <c r="N20" i="1" s="1"/>
  <c r="O20" i="1" s="1"/>
  <c r="K63" i="1"/>
  <c r="N63" i="1" s="1"/>
  <c r="O63" i="1" s="1"/>
  <c r="P30" i="1" l="1"/>
  <c r="P54" i="1"/>
  <c r="P66" i="1"/>
  <c r="P17" i="1"/>
  <c r="P27" i="1"/>
  <c r="P39" i="1"/>
  <c r="P51" i="1"/>
  <c r="P63" i="1"/>
  <c r="P75" i="1"/>
  <c r="P14" i="1"/>
  <c r="P28" i="1"/>
  <c r="P40" i="1"/>
  <c r="P52" i="1"/>
  <c r="P64" i="1"/>
  <c r="P3" i="1"/>
  <c r="P15" i="1"/>
  <c r="P29" i="1"/>
  <c r="P41" i="1"/>
  <c r="P53" i="1"/>
  <c r="P65" i="1"/>
  <c r="P4" i="1"/>
  <c r="P16" i="1"/>
  <c r="P31" i="1"/>
  <c r="P43" i="1"/>
  <c r="P55" i="1"/>
  <c r="P67" i="1"/>
  <c r="P6" i="1"/>
  <c r="P18" i="1"/>
  <c r="P42" i="1"/>
  <c r="P5" i="1"/>
  <c r="P32" i="1"/>
  <c r="P44" i="1"/>
  <c r="P56" i="1"/>
  <c r="P68" i="1"/>
  <c r="P7" i="1"/>
  <c r="P19" i="1"/>
  <c r="P33" i="1"/>
  <c r="P45" i="1"/>
  <c r="P57" i="1"/>
  <c r="P69" i="1"/>
  <c r="P8" i="1"/>
  <c r="P20" i="1"/>
  <c r="P34" i="1"/>
  <c r="P46" i="1"/>
  <c r="P58" i="1"/>
  <c r="P70" i="1"/>
  <c r="P9" i="1"/>
  <c r="P21" i="1"/>
  <c r="P35" i="1"/>
  <c r="P47" i="1"/>
  <c r="P59" i="1"/>
  <c r="P71" i="1"/>
  <c r="P10" i="1"/>
  <c r="P22" i="1"/>
  <c r="P76" i="1"/>
  <c r="P36" i="1"/>
  <c r="P48" i="1"/>
  <c r="P60" i="1"/>
  <c r="P72" i="1"/>
  <c r="P11" i="1"/>
  <c r="P23" i="1"/>
  <c r="P77" i="1"/>
  <c r="P37" i="1"/>
  <c r="P49" i="1"/>
  <c r="P61" i="1"/>
  <c r="P73" i="1"/>
  <c r="P12" i="1"/>
  <c r="P24" i="1"/>
  <c r="P26" i="1"/>
  <c r="P38" i="1"/>
  <c r="P50" i="1"/>
  <c r="P62" i="1"/>
  <c r="P74" i="1"/>
  <c r="P13" i="1"/>
  <c r="P25" i="1"/>
  <c r="L37" i="3"/>
  <c r="M37" i="3"/>
  <c r="W7" i="1"/>
</calcChain>
</file>

<file path=xl/sharedStrings.xml><?xml version="1.0" encoding="utf-8"?>
<sst xmlns="http://schemas.openxmlformats.org/spreadsheetml/2006/main" count="22910" uniqueCount="815">
  <si>
    <t>CBB Survivor</t>
  </si>
  <si>
    <t>Week 1</t>
  </si>
  <si>
    <t>Team 1</t>
  </si>
  <si>
    <t>Team 2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</si>
  <si>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</si>
  <si>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</si>
  <si>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</si>
  <si>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</si>
  <si>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</si>
  <si>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</si>
  <si>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</si>
  <si>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</si>
  <si>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</si>
  <si>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</si>
  <si>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</si>
  <si>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</si>
  <si>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</si>
  <si>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</si>
  <si>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</si>
  <si>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</si>
  <si>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ACC</t>
  </si>
  <si>
    <t>Big East</t>
  </si>
  <si>
    <t>Big Ten</t>
  </si>
  <si>
    <t>Big 12</t>
  </si>
  <si>
    <t>Pac 12</t>
  </si>
  <si>
    <t>SEC</t>
  </si>
  <si>
    <t>Kansas</t>
  </si>
  <si>
    <t>Texas Tech</t>
  </si>
  <si>
    <t>Baylor</t>
  </si>
  <si>
    <t>Oklahoma</t>
  </si>
  <si>
    <t>Texas</t>
  </si>
  <si>
    <t>Iowa State</t>
  </si>
  <si>
    <t>West Virginia</t>
  </si>
  <si>
    <t>Kansas State</t>
  </si>
  <si>
    <t>TCU</t>
  </si>
  <si>
    <t>Villanova</t>
  </si>
  <si>
    <t>Seton Hall</t>
  </si>
  <si>
    <t>Marquette</t>
  </si>
  <si>
    <t>Creighton</t>
  </si>
  <si>
    <t>Xavier</t>
  </si>
  <si>
    <t>Providence</t>
  </si>
  <si>
    <t>Georgetown</t>
  </si>
  <si>
    <t>Butler</t>
  </si>
  <si>
    <t>Louisville</t>
  </si>
  <si>
    <t>Duke</t>
  </si>
  <si>
    <t>Florida State</t>
  </si>
  <si>
    <t>Notre Dame</t>
  </si>
  <si>
    <t>Syracuse</t>
  </si>
  <si>
    <t>Miami</t>
  </si>
  <si>
    <t>Pittsburgh</t>
  </si>
  <si>
    <t>Georgia Tech</t>
  </si>
  <si>
    <t>Clemson</t>
  </si>
  <si>
    <t>Virginia Tech</t>
  </si>
  <si>
    <t>Wake Forest</t>
  </si>
  <si>
    <t>Boston College</t>
  </si>
  <si>
    <t>Michigan State</t>
  </si>
  <si>
    <t>Maryland</t>
  </si>
  <si>
    <t>Ohio State</t>
  </si>
  <si>
    <t>Purdue</t>
  </si>
  <si>
    <t>Michigan</t>
  </si>
  <si>
    <t>Illinois</t>
  </si>
  <si>
    <t>Iowa</t>
  </si>
  <si>
    <t>Indiana</t>
  </si>
  <si>
    <t>Minnesota</t>
  </si>
  <si>
    <t>Rutgers</t>
  </si>
  <si>
    <t>Wisconsin</t>
  </si>
  <si>
    <t>Penn State</t>
  </si>
  <si>
    <t>Nebraska</t>
  </si>
  <si>
    <t>Northwestern</t>
  </si>
  <si>
    <t>Oregon</t>
  </si>
  <si>
    <t>Arizona</t>
  </si>
  <si>
    <t>Washington</t>
  </si>
  <si>
    <t>Colorado</t>
  </si>
  <si>
    <t>Arizona State</t>
  </si>
  <si>
    <t>USC</t>
  </si>
  <si>
    <t>UCLA</t>
  </si>
  <si>
    <t>Oregon State</t>
  </si>
  <si>
    <t>Utah</t>
  </si>
  <si>
    <t>Washington State</t>
  </si>
  <si>
    <t>Florida</t>
  </si>
  <si>
    <t>Kentucky</t>
  </si>
  <si>
    <t>LSU</t>
  </si>
  <si>
    <t>Alabama</t>
  </si>
  <si>
    <t>Auburn</t>
  </si>
  <si>
    <t>Arkansas</t>
  </si>
  <si>
    <t>Mississippi State</t>
  </si>
  <si>
    <t>Tennessee</t>
  </si>
  <si>
    <t>Missouri</t>
  </si>
  <si>
    <t>Ole Miss</t>
  </si>
  <si>
    <t>Georgia</t>
  </si>
  <si>
    <t>South Carolina</t>
  </si>
  <si>
    <t>Texas A&amp;M</t>
  </si>
  <si>
    <t>majorleek619</t>
  </si>
  <si>
    <t>Stanford</t>
  </si>
  <si>
    <t>Lamar</t>
  </si>
  <si>
    <t>Tulsa</t>
  </si>
  <si>
    <t>Howard</t>
  </si>
  <si>
    <t>Princeton</t>
  </si>
  <si>
    <t>Wagner</t>
  </si>
  <si>
    <t>Stony Brook</t>
  </si>
  <si>
    <t>Yale</t>
  </si>
  <si>
    <t>Oakland</t>
  </si>
  <si>
    <t>Samford</t>
  </si>
  <si>
    <t>Wofford</t>
  </si>
  <si>
    <t>Chattanooga</t>
  </si>
  <si>
    <t>Akron</t>
  </si>
  <si>
    <t>Bryant</t>
  </si>
  <si>
    <t>Brown</t>
  </si>
  <si>
    <t>Harvard</t>
  </si>
  <si>
    <t>Ball State</t>
  </si>
  <si>
    <t>High Point</t>
  </si>
  <si>
    <t>Furman</t>
  </si>
  <si>
    <t>Fairfield</t>
  </si>
  <si>
    <t>Bucknell</t>
  </si>
  <si>
    <t>Lehigh</t>
  </si>
  <si>
    <t>Monmouth</t>
  </si>
  <si>
    <t>Coppin State</t>
  </si>
  <si>
    <t>Rider</t>
  </si>
  <si>
    <t>Delaware</t>
  </si>
  <si>
    <t>Bradley</t>
  </si>
  <si>
    <t>Jacksonville</t>
  </si>
  <si>
    <t>VCU</t>
  </si>
  <si>
    <t>Hartford</t>
  </si>
  <si>
    <t>Towson</t>
  </si>
  <si>
    <t>Rhode Island</t>
  </si>
  <si>
    <t>Cornell</t>
  </si>
  <si>
    <t>Binghamton</t>
  </si>
  <si>
    <t>Ohio</t>
  </si>
  <si>
    <t>Lipscomb</t>
  </si>
  <si>
    <t>Elon</t>
  </si>
  <si>
    <t>Siena</t>
  </si>
  <si>
    <t>Holy Cross</t>
  </si>
  <si>
    <t>Gonzaga</t>
  </si>
  <si>
    <t>Saint Louis</t>
  </si>
  <si>
    <t>New Orleans</t>
  </si>
  <si>
    <t>North Texas</t>
  </si>
  <si>
    <t>Old Dominion</t>
  </si>
  <si>
    <t>Lafayette</t>
  </si>
  <si>
    <t>Columbia</t>
  </si>
  <si>
    <t>Valparaiso</t>
  </si>
  <si>
    <t>Toledo</t>
  </si>
  <si>
    <t>UC Davis</t>
  </si>
  <si>
    <t>Stetson</t>
  </si>
  <si>
    <t>Rice</t>
  </si>
  <si>
    <t>Memphis</t>
  </si>
  <si>
    <t>Temple</t>
  </si>
  <si>
    <t>Drexel</t>
  </si>
  <si>
    <t>Austin Peay</t>
  </si>
  <si>
    <t>Army</t>
  </si>
  <si>
    <t>NC State</t>
  </si>
  <si>
    <t>Texas State</t>
  </si>
  <si>
    <t>Denver</t>
  </si>
  <si>
    <t>Wyoming</t>
  </si>
  <si>
    <t>Idaho State</t>
  </si>
  <si>
    <t>UC Riverside</t>
  </si>
  <si>
    <t>DePaul</t>
  </si>
  <si>
    <t>Alcorn State</t>
  </si>
  <si>
    <t>BYU</t>
  </si>
  <si>
    <t>Idaho</t>
  </si>
  <si>
    <t>California Baptist</t>
  </si>
  <si>
    <t>Santa Clara</t>
  </si>
  <si>
    <t>Portland</t>
  </si>
  <si>
    <t>Boise State</t>
  </si>
  <si>
    <t>UNLV</t>
  </si>
  <si>
    <t>California</t>
  </si>
  <si>
    <t>Pepperdine</t>
  </si>
  <si>
    <t>San Diego</t>
  </si>
  <si>
    <t>UC Irvine</t>
  </si>
  <si>
    <t>Utah State</t>
  </si>
  <si>
    <t>Nevada</t>
  </si>
  <si>
    <t>Florida A&amp;M</t>
  </si>
  <si>
    <t>Mercer</t>
  </si>
  <si>
    <t>IUPUI</t>
  </si>
  <si>
    <t>North Alabama</t>
  </si>
  <si>
    <t>Maine</t>
  </si>
  <si>
    <t>Merrimack</t>
  </si>
  <si>
    <t>Colgate</t>
  </si>
  <si>
    <t>NJIT</t>
  </si>
  <si>
    <t>Hofstra</t>
  </si>
  <si>
    <t>Hampton</t>
  </si>
  <si>
    <t>Kent State</t>
  </si>
  <si>
    <t>Southern</t>
  </si>
  <si>
    <t>Charlotte</t>
  </si>
  <si>
    <t>SE Louisiana</t>
  </si>
  <si>
    <t>Oral Roberts</t>
  </si>
  <si>
    <t>Vanderbilt</t>
  </si>
  <si>
    <t>Belmont</t>
  </si>
  <si>
    <t>Cincinnati</t>
  </si>
  <si>
    <t>Virginia</t>
  </si>
  <si>
    <t>New Mexico</t>
  </si>
  <si>
    <t>Montana</t>
  </si>
  <si>
    <t>Winthrop</t>
  </si>
  <si>
    <t>Presbyterian</t>
  </si>
  <si>
    <t>Marshall</t>
  </si>
  <si>
    <t>Troy</t>
  </si>
  <si>
    <t>UAB</t>
  </si>
  <si>
    <t>North Dakota</t>
  </si>
  <si>
    <t>Southwestern</t>
  </si>
  <si>
    <t>Air Force</t>
  </si>
  <si>
    <t>Davidson</t>
  </si>
  <si>
    <t>Richmond</t>
  </si>
  <si>
    <t>Liberty</t>
  </si>
  <si>
    <t>Radford</t>
  </si>
  <si>
    <t>Buffalo</t>
  </si>
  <si>
    <t>Niagara</t>
  </si>
  <si>
    <t>Vermont</t>
  </si>
  <si>
    <t>Weber State</t>
  </si>
  <si>
    <t>Cal Poly</t>
  </si>
  <si>
    <t>South Dakota</t>
  </si>
  <si>
    <t>Miami (OH)</t>
  </si>
  <si>
    <t>La Salle</t>
  </si>
  <si>
    <t>Canisius</t>
  </si>
  <si>
    <t>Houston</t>
  </si>
  <si>
    <t>Evansville</t>
  </si>
  <si>
    <t>Dayton</t>
  </si>
  <si>
    <t>Albany</t>
  </si>
  <si>
    <t>Quinnipiac</t>
  </si>
  <si>
    <t>Start Date</t>
  </si>
  <si>
    <t>End Date</t>
  </si>
  <si>
    <t>Teams</t>
  </si>
  <si>
    <t>Navy</t>
  </si>
  <si>
    <t>Tulane</t>
  </si>
  <si>
    <t>SORT</t>
  </si>
  <si>
    <t>Conference</t>
  </si>
  <si>
    <t>Pac12</t>
  </si>
  <si>
    <t>Big12</t>
  </si>
  <si>
    <t>Big10</t>
  </si>
  <si>
    <t>Home</t>
  </si>
  <si>
    <t>Away</t>
  </si>
  <si>
    <t>Date</t>
  </si>
  <si>
    <t>Manhattan</t>
  </si>
  <si>
    <t>South Florida</t>
  </si>
  <si>
    <t>Bethune-Cookman</t>
  </si>
  <si>
    <t>Mount St. Mary's</t>
  </si>
  <si>
    <t>District of Columbia</t>
  </si>
  <si>
    <t>Bob Jones University</t>
  </si>
  <si>
    <t>UC San Diego</t>
  </si>
  <si>
    <t>Mary Baldwin</t>
  </si>
  <si>
    <t>Morgan State</t>
  </si>
  <si>
    <t>St. Mary's (MD)</t>
  </si>
  <si>
    <t>Little Rock</t>
  </si>
  <si>
    <t>Southern Illinois</t>
  </si>
  <si>
    <t>Middle Tennessee</t>
  </si>
  <si>
    <t>Brescia University</t>
  </si>
  <si>
    <t>Saint Peter's</t>
  </si>
  <si>
    <t>UConn</t>
  </si>
  <si>
    <t>Central Connecticut</t>
  </si>
  <si>
    <t>Eastern Michigan</t>
  </si>
  <si>
    <t>Bellarmine</t>
  </si>
  <si>
    <t>Texas Southern</t>
  </si>
  <si>
    <t>UT Martin</t>
  </si>
  <si>
    <t>North Carolina</t>
  </si>
  <si>
    <t>St. Bonaventure</t>
  </si>
  <si>
    <t>New Hampshire</t>
  </si>
  <si>
    <t>St. Joseph's (ME)</t>
  </si>
  <si>
    <t>Eastern Kentucky</t>
  </si>
  <si>
    <t>Northern Kentucky</t>
  </si>
  <si>
    <t>Emerson College</t>
  </si>
  <si>
    <t>Mid-Atlantic Christian University</t>
  </si>
  <si>
    <t>Georgia State</t>
  </si>
  <si>
    <t>Brewton-Parker</t>
  </si>
  <si>
    <t>VMI</t>
  </si>
  <si>
    <t>Carlow University</t>
  </si>
  <si>
    <t>North Greenville</t>
  </si>
  <si>
    <t>Delaware State</t>
  </si>
  <si>
    <t>Cairn University</t>
  </si>
  <si>
    <t>Wright State</t>
  </si>
  <si>
    <t>UNC Greensboro</t>
  </si>
  <si>
    <t>North Carolina A&amp;T</t>
  </si>
  <si>
    <t>UMass Lowell</t>
  </si>
  <si>
    <t>Charleston Southern</t>
  </si>
  <si>
    <t>Johnson &amp; Wales (NC)</t>
  </si>
  <si>
    <t>Northeastern</t>
  </si>
  <si>
    <t>South Carolina Upstate</t>
  </si>
  <si>
    <t>Florida International</t>
  </si>
  <si>
    <t>East Carolina</t>
  </si>
  <si>
    <t>South Carolina State</t>
  </si>
  <si>
    <t>North Carolina Central</t>
  </si>
  <si>
    <t>Boston University</t>
  </si>
  <si>
    <t>Morehouse College</t>
  </si>
  <si>
    <t>UIC</t>
  </si>
  <si>
    <t>George Mason</t>
  </si>
  <si>
    <t>The Citadel</t>
  </si>
  <si>
    <t>Trinity Baptist</t>
  </si>
  <si>
    <t>Duquesne</t>
  </si>
  <si>
    <t>Iona</t>
  </si>
  <si>
    <t>Appalachian State</t>
  </si>
  <si>
    <t>Western Carolina</t>
  </si>
  <si>
    <t>Bowling Green</t>
  </si>
  <si>
    <t>Georgia Southern</t>
  </si>
  <si>
    <t>Stephen F. Austin</t>
  </si>
  <si>
    <t>LSU Alexandria</t>
  </si>
  <si>
    <t>Florida Gulf Coast</t>
  </si>
  <si>
    <t>Florida National</t>
  </si>
  <si>
    <t>Coastal Carolina</t>
  </si>
  <si>
    <t>Incarnate Word</t>
  </si>
  <si>
    <t>Purdue Fort Wayne</t>
  </si>
  <si>
    <t>UNC Asheville</t>
  </si>
  <si>
    <t>Campbell</t>
  </si>
  <si>
    <t>William Peace</t>
  </si>
  <si>
    <t>UMass</t>
  </si>
  <si>
    <t>UMBC</t>
  </si>
  <si>
    <t>St. John's</t>
  </si>
  <si>
    <t>Mississippi Valley State</t>
  </si>
  <si>
    <t>Tennessee Tech</t>
  </si>
  <si>
    <t>Morehead State</t>
  </si>
  <si>
    <t>South Alabama</t>
  </si>
  <si>
    <t>Spring Hill</t>
  </si>
  <si>
    <t>Alabama A&amp;M</t>
  </si>
  <si>
    <t>Tennessee State</t>
  </si>
  <si>
    <t>Norfolk State</t>
  </si>
  <si>
    <t>Bridgewater College (VA)</t>
  </si>
  <si>
    <t>Murray State</t>
  </si>
  <si>
    <t>Western Kentucky</t>
  </si>
  <si>
    <t>Alabama State</t>
  </si>
  <si>
    <t>Tennessee Southern</t>
  </si>
  <si>
    <t>Southern Miss</t>
  </si>
  <si>
    <t>William Carey</t>
  </si>
  <si>
    <t>Northern Iowa</t>
  </si>
  <si>
    <t>Nicholls</t>
  </si>
  <si>
    <t>Missouri State</t>
  </si>
  <si>
    <t>Southeast Missouri State</t>
  </si>
  <si>
    <t>Oklahoma State</t>
  </si>
  <si>
    <t>UT Arlington</t>
  </si>
  <si>
    <t>Green Bay</t>
  </si>
  <si>
    <t>Indiana State</t>
  </si>
  <si>
    <t>Illinois State</t>
  </si>
  <si>
    <t>UNC Wilmington</t>
  </si>
  <si>
    <t>Neumann</t>
  </si>
  <si>
    <t>Eastern Illinois</t>
  </si>
  <si>
    <t>Western Illinois</t>
  </si>
  <si>
    <t>Kansas City</t>
  </si>
  <si>
    <t>Arkansas-Pine Bluff</t>
  </si>
  <si>
    <t>UL Monroe</t>
  </si>
  <si>
    <t>Saint Joseph's</t>
  </si>
  <si>
    <t>Maryland-Eastern Shore</t>
  </si>
  <si>
    <t>Sacred Heart</t>
  </si>
  <si>
    <t>George Washington</t>
  </si>
  <si>
    <t>St. Francis (PA)</t>
  </si>
  <si>
    <t>Texas A&amp;M-CC</t>
  </si>
  <si>
    <t>Texas Lutheran</t>
  </si>
  <si>
    <t>SMU</t>
  </si>
  <si>
    <t>McNeese</t>
  </si>
  <si>
    <t>Northwestern State</t>
  </si>
  <si>
    <t>UT Rio Grande Valley</t>
  </si>
  <si>
    <t>Abilene Christian</t>
  </si>
  <si>
    <t>Wiley</t>
  </si>
  <si>
    <t>Chicago State</t>
  </si>
  <si>
    <t>St. Thomas - Minnesota</t>
  </si>
  <si>
    <t>Fordham</t>
  </si>
  <si>
    <t>Loyola Chicago</t>
  </si>
  <si>
    <t>Dartmouth</t>
  </si>
  <si>
    <t>Wichita State</t>
  </si>
  <si>
    <t>Jacksonville State</t>
  </si>
  <si>
    <t>North Florida</t>
  </si>
  <si>
    <t>Central Arkansas</t>
  </si>
  <si>
    <t>Kennesaw State</t>
  </si>
  <si>
    <t>Omaha</t>
  </si>
  <si>
    <t>Milwaukee</t>
  </si>
  <si>
    <t>North Dakota State</t>
  </si>
  <si>
    <t>American University</t>
  </si>
  <si>
    <t>Marist</t>
  </si>
  <si>
    <t>Central Michigan</t>
  </si>
  <si>
    <t>Drake</t>
  </si>
  <si>
    <t>Jackson State</t>
  </si>
  <si>
    <t>Louisiana</t>
  </si>
  <si>
    <t>Carver College</t>
  </si>
  <si>
    <t>Arkansas State</t>
  </si>
  <si>
    <t>UTSA</t>
  </si>
  <si>
    <t>Trinity University (TX)</t>
  </si>
  <si>
    <t>SIU Edwardsville</t>
  </si>
  <si>
    <t>Dixie State</t>
  </si>
  <si>
    <t>Houston Baptist</t>
  </si>
  <si>
    <t>Louisiana Tech</t>
  </si>
  <si>
    <t>CSU Northridge</t>
  </si>
  <si>
    <t>New Mexico State</t>
  </si>
  <si>
    <t>UTEP</t>
  </si>
  <si>
    <t>Western Colorado</t>
  </si>
  <si>
    <t>Southern Utah</t>
  </si>
  <si>
    <t>Bethesda University</t>
  </si>
  <si>
    <t>Eastern Oregon</t>
  </si>
  <si>
    <t>Grand Canyon</t>
  </si>
  <si>
    <t>Grambling</t>
  </si>
  <si>
    <t>Utah Valley</t>
  </si>
  <si>
    <t>CSU Fullerton</t>
  </si>
  <si>
    <t>South Dakota State</t>
  </si>
  <si>
    <t>Colorado State</t>
  </si>
  <si>
    <t>Westcliff</t>
  </si>
  <si>
    <t>Tarleton</t>
  </si>
  <si>
    <t>Sacramento State</t>
  </si>
  <si>
    <t>William Jessup</t>
  </si>
  <si>
    <t>Montana State</t>
  </si>
  <si>
    <t>San Diego State</t>
  </si>
  <si>
    <t>Eastern Washington</t>
  </si>
  <si>
    <t>Fresno State</t>
  </si>
  <si>
    <t>Longwood</t>
  </si>
  <si>
    <t>Loyola Marymount</t>
  </si>
  <si>
    <t>Cleveland State</t>
  </si>
  <si>
    <t>Saint Mary's</t>
  </si>
  <si>
    <t>Prairie View A&amp;M</t>
  </si>
  <si>
    <t>Northern Illinois</t>
  </si>
  <si>
    <t>La Verne</t>
  </si>
  <si>
    <t>Portland State</t>
  </si>
  <si>
    <t>Northern Arizona</t>
  </si>
  <si>
    <t>San Francisco</t>
  </si>
  <si>
    <t>Long Island University</t>
  </si>
  <si>
    <t>CSU Bakersfield</t>
  </si>
  <si>
    <t>Regent University</t>
  </si>
  <si>
    <t>VA Wesleyan</t>
  </si>
  <si>
    <t>James Madison</t>
  </si>
  <si>
    <t>Fairleigh Dickinson</t>
  </si>
  <si>
    <t>UCF</t>
  </si>
  <si>
    <t>Robert Morris</t>
  </si>
  <si>
    <t>William &amp; Mary</t>
  </si>
  <si>
    <t>Western Michigan</t>
  </si>
  <si>
    <t>Sam Houston</t>
  </si>
  <si>
    <t>Le Tourneau</t>
  </si>
  <si>
    <t>Harris Stowe</t>
  </si>
  <si>
    <t>Youngstown State</t>
  </si>
  <si>
    <t>Pennsylvania</t>
  </si>
  <si>
    <t>Long Beach State</t>
  </si>
  <si>
    <t>Florida Atlantic</t>
  </si>
  <si>
    <t>Detroit Mercy</t>
  </si>
  <si>
    <t>UC Santa Barbara</t>
  </si>
  <si>
    <t>Seattle U</t>
  </si>
  <si>
    <t>Gardner-Webb</t>
  </si>
  <si>
    <t>Northern Colorado</t>
  </si>
  <si>
    <t>Pacific</t>
  </si>
  <si>
    <t>Hawai'i</t>
  </si>
  <si>
    <t>Brevard College</t>
  </si>
  <si>
    <t>Penn State Wilkes-Barre</t>
  </si>
  <si>
    <t>Washington College (MD)</t>
  </si>
  <si>
    <t>Charleston</t>
  </si>
  <si>
    <t>San JosÃ© State</t>
  </si>
  <si>
    <t>Morris College</t>
  </si>
  <si>
    <t>Western New England</t>
  </si>
  <si>
    <t>East Tennessee State</t>
  </si>
  <si>
    <t>VU of Lynchburg</t>
  </si>
  <si>
    <t>Randolph College</t>
  </si>
  <si>
    <t>Champion Christian College</t>
  </si>
  <si>
    <t>SW Christian Univ</t>
  </si>
  <si>
    <t>Antelope Valley</t>
  </si>
  <si>
    <t>Ottawa University Arizona</t>
  </si>
  <si>
    <t>Evergreen State</t>
  </si>
  <si>
    <t>Bryn Athyn</t>
  </si>
  <si>
    <t>Mary Hardin-Baylor</t>
  </si>
  <si>
    <t>Life Pacific</t>
  </si>
  <si>
    <t>Paul Quinn</t>
  </si>
  <si>
    <t>Arkansas Baptist</t>
  </si>
  <si>
    <t>Rhodes College</t>
  </si>
  <si>
    <t>Piedmont</t>
  </si>
  <si>
    <t>TBD</t>
  </si>
  <si>
    <t>La Sierra University</t>
  </si>
  <si>
    <t>Peru State College</t>
  </si>
  <si>
    <t>St. Andrews</t>
  </si>
  <si>
    <t>Kentucky Christian</t>
  </si>
  <si>
    <t>Penn State-York</t>
  </si>
  <si>
    <t>Milligan</t>
  </si>
  <si>
    <t>Franciscan University</t>
  </si>
  <si>
    <t>Jarvis Christian</t>
  </si>
  <si>
    <t>Benedictine (AZ)</t>
  </si>
  <si>
    <t>Knox</t>
  </si>
  <si>
    <t>Colorado College</t>
  </si>
  <si>
    <t>Central Baptist College</t>
  </si>
  <si>
    <t>Walla Walla University</t>
  </si>
  <si>
    <t>Iowa Wesleyan</t>
  </si>
  <si>
    <t>Johnson &amp; Wales (RI)</t>
  </si>
  <si>
    <t>Medgar Evers</t>
  </si>
  <si>
    <t>Trinity (IL)</t>
  </si>
  <si>
    <t>Fisk</t>
  </si>
  <si>
    <t>Missouri Science &amp; Technology</t>
  </si>
  <si>
    <t>Northern New Mexico</t>
  </si>
  <si>
    <t>San Diego Christian</t>
  </si>
  <si>
    <t>Stanislaus State</t>
  </si>
  <si>
    <t>Greensboro</t>
  </si>
  <si>
    <t>Rockford University</t>
  </si>
  <si>
    <t>Wells College</t>
  </si>
  <si>
    <t>Maine-Fort Kent</t>
  </si>
  <si>
    <t>McMurry</t>
  </si>
  <si>
    <t>Mount St. Vincent</t>
  </si>
  <si>
    <t>Webber International</t>
  </si>
  <si>
    <t>Mobile</t>
  </si>
  <si>
    <t>Fredonia State</t>
  </si>
  <si>
    <t>Ecclesia College</t>
  </si>
  <si>
    <t>Covenant College</t>
  </si>
  <si>
    <t>Defiance</t>
  </si>
  <si>
    <t>Westminster (UT)</t>
  </si>
  <si>
    <t>Warren Wilson</t>
  </si>
  <si>
    <t>Spalding</t>
  </si>
  <si>
    <t>Rogers State</t>
  </si>
  <si>
    <t>Pacific Lutheran</t>
  </si>
  <si>
    <t>St. Katherine</t>
  </si>
  <si>
    <t>Columbia International</t>
  </si>
  <si>
    <t>Whittier</t>
  </si>
  <si>
    <t>Bryan College</t>
  </si>
  <si>
    <t>St. Mary's (TX)</t>
  </si>
  <si>
    <t>Lees McRae</t>
  </si>
  <si>
    <t>College of Coastal Georgia</t>
  </si>
  <si>
    <t>Purdue Northwest</t>
  </si>
  <si>
    <t>Northwestern Ohio</t>
  </si>
  <si>
    <t>SW Adventist</t>
  </si>
  <si>
    <t>Schreiner</t>
  </si>
  <si>
    <t>Summit</t>
  </si>
  <si>
    <t>Our Lady of the Lake</t>
  </si>
  <si>
    <t>Boyce</t>
  </si>
  <si>
    <t>Rust</t>
  </si>
  <si>
    <t>St Elizabeth</t>
  </si>
  <si>
    <t>Edward Waters</t>
  </si>
  <si>
    <t>Crown College</t>
  </si>
  <si>
    <t>Waldorf College</t>
  </si>
  <si>
    <t>North Park</t>
  </si>
  <si>
    <t>California Merced</t>
  </si>
  <si>
    <t>Calvary</t>
  </si>
  <si>
    <t>Voorhees</t>
  </si>
  <si>
    <t>SUNY-Purchase</t>
  </si>
  <si>
    <t>East-West University</t>
  </si>
  <si>
    <t>Dallas Christian</t>
  </si>
  <si>
    <t>Hawaii Pacific</t>
  </si>
  <si>
    <t>Lindsey Wilson College</t>
  </si>
  <si>
    <t>Oneonta State</t>
  </si>
  <si>
    <t>Philander Smith</t>
  </si>
  <si>
    <t>Loyola New Orleans</t>
  </si>
  <si>
    <t>Alice Lloyd</t>
  </si>
  <si>
    <t>Tennessee Wesleyan</t>
  </si>
  <si>
    <t>US Merchant Marine Academy</t>
  </si>
  <si>
    <t>Johnson University (TN)</t>
  </si>
  <si>
    <t>Blue Mountain College</t>
  </si>
  <si>
    <t>Carolina University</t>
  </si>
  <si>
    <t>Allen University</t>
  </si>
  <si>
    <t>North Central (MN)</t>
  </si>
  <si>
    <t>Johnson University (FL)</t>
  </si>
  <si>
    <t>Methodist</t>
  </si>
  <si>
    <t>Mount Olive</t>
  </si>
  <si>
    <t>Multnomah</t>
  </si>
  <si>
    <t>SAGU American Indian College</t>
  </si>
  <si>
    <t>Immaculata</t>
  </si>
  <si>
    <t>Florida Tech</t>
  </si>
  <si>
    <t>Dillard</t>
  </si>
  <si>
    <t>Westminster (PA)</t>
  </si>
  <si>
    <t>New England</t>
  </si>
  <si>
    <t>Hardin-Simmons</t>
  </si>
  <si>
    <t>Toccoa Falls</t>
  </si>
  <si>
    <t>William Woods</t>
  </si>
  <si>
    <t>Howard Payne</t>
  </si>
  <si>
    <t>Hendrix College</t>
  </si>
  <si>
    <t>Oakland City</t>
  </si>
  <si>
    <t>Campbellsville-Harrodsburg</t>
  </si>
  <si>
    <t>Kean</t>
  </si>
  <si>
    <t>Goucher</t>
  </si>
  <si>
    <t>Crowley's Ridge College</t>
  </si>
  <si>
    <t>Northwest University</t>
  </si>
  <si>
    <t>Gwynedd-Mercy College</t>
  </si>
  <si>
    <t>St. Xavier</t>
  </si>
  <si>
    <t>Westmont</t>
  </si>
  <si>
    <t>Menlo</t>
  </si>
  <si>
    <t>Mount Marty</t>
  </si>
  <si>
    <t>Truett-McConnell</t>
  </si>
  <si>
    <t>Middle Georgia State</t>
  </si>
  <si>
    <t>Sul Ross</t>
  </si>
  <si>
    <t>Belhaven</t>
  </si>
  <si>
    <t>Averett</t>
  </si>
  <si>
    <t>Embry-Riddle (AZ)</t>
  </si>
  <si>
    <t>Gallaudet University</t>
  </si>
  <si>
    <t>North American University</t>
  </si>
  <si>
    <t>Pittsburgh - Greensburg</t>
  </si>
  <si>
    <t>Mercy</t>
  </si>
  <si>
    <t>California Maritime</t>
  </si>
  <si>
    <t>Puget Sound</t>
  </si>
  <si>
    <t>Clinton College</t>
  </si>
  <si>
    <t>Ouachita Baptist</t>
  </si>
  <si>
    <t>Baldwin-Wallace College</t>
  </si>
  <si>
    <t>St. Thomas (Tx)</t>
  </si>
  <si>
    <t>Goshen College</t>
  </si>
  <si>
    <t>NVU-Lyndon</t>
  </si>
  <si>
    <t>Penn State-New Kensington</t>
  </si>
  <si>
    <t>Mid-America Christian</t>
  </si>
  <si>
    <t>SUNY-Delhi</t>
  </si>
  <si>
    <t>Mississippi University For Women</t>
  </si>
  <si>
    <t>Clark (MA)</t>
  </si>
  <si>
    <t>Dean</t>
  </si>
  <si>
    <t>Loyola Maryland</t>
  </si>
  <si>
    <t>Penn State-Alleghany</t>
  </si>
  <si>
    <t>Kansas Christian</t>
  </si>
  <si>
    <t>Hannibal-LaGrange</t>
  </si>
  <si>
    <t>Houston Christian</t>
  </si>
  <si>
    <t>Miami-Hamilton</t>
  </si>
  <si>
    <t>Cal State Bakersfield</t>
  </si>
  <si>
    <t>St. Francis Brooklyn</t>
  </si>
  <si>
    <t>Texas A&amp;M-Commerce</t>
  </si>
  <si>
    <t>John Brown</t>
  </si>
  <si>
    <t>Stonehill</t>
  </si>
  <si>
    <t>Cincinnati Clermont</t>
  </si>
  <si>
    <t>College of New Jersey</t>
  </si>
  <si>
    <t>Lyon</t>
  </si>
  <si>
    <t>St. Francis (ILL)</t>
  </si>
  <si>
    <t>Dakota State</t>
  </si>
  <si>
    <t>Cardinal Stritch</t>
  </si>
  <si>
    <t>Kentucky State</t>
  </si>
  <si>
    <t>Massachusetts College</t>
  </si>
  <si>
    <t>Cal State Northridge</t>
  </si>
  <si>
    <t>Pfeiffer</t>
  </si>
  <si>
    <t>Misericordia</t>
  </si>
  <si>
    <t>Ave Maria</t>
  </si>
  <si>
    <t>Lindenwood</t>
  </si>
  <si>
    <t>Manchester</t>
  </si>
  <si>
    <t>Union</t>
  </si>
  <si>
    <t>Huston-Tillotson</t>
  </si>
  <si>
    <t>Utah Tech</t>
  </si>
  <si>
    <t>Grace Christian University</t>
  </si>
  <si>
    <t>McDaniel</t>
  </si>
  <si>
    <t>Queens University</t>
  </si>
  <si>
    <t>Indianapolis</t>
  </si>
  <si>
    <t>Vanguard</t>
  </si>
  <si>
    <t>Bushnell University</t>
  </si>
  <si>
    <t>West Virginia Wesleyan</t>
  </si>
  <si>
    <t>Southern Indiana</t>
  </si>
  <si>
    <t>Albertus Magnus</t>
  </si>
  <si>
    <t>Arcadia University</t>
  </si>
  <si>
    <t>Ithaca College</t>
  </si>
  <si>
    <t>Warner Pacific</t>
  </si>
  <si>
    <t>Loras</t>
  </si>
  <si>
    <t>Cal State Fullerton</t>
  </si>
  <si>
    <t>Franklin</t>
  </si>
  <si>
    <t>Houghton College</t>
  </si>
  <si>
    <t>Indiana South Bend</t>
  </si>
  <si>
    <t>John Jay College of Criminal Justice</t>
  </si>
  <si>
    <t>Occidental</t>
  </si>
  <si>
    <t>Oklahoma Baptist</t>
  </si>
  <si>
    <t>SUNY Maritime</t>
  </si>
  <si>
    <t>Saint Mary-Of-The-Woods College</t>
  </si>
  <si>
    <t>Albany State (GA)</t>
  </si>
  <si>
    <t>FDU-Florham</t>
  </si>
  <si>
    <t>Southern-New Orleans</t>
  </si>
  <si>
    <t>Colorado Christian</t>
  </si>
  <si>
    <t>Wisconsin-Stout</t>
  </si>
  <si>
    <t>Montana State-Northern</t>
  </si>
  <si>
    <t>D'Youville University</t>
  </si>
  <si>
    <t>Lynchburg</t>
  </si>
  <si>
    <t>SUNY-Old Westbury</t>
  </si>
  <si>
    <t>Tusculum</t>
  </si>
  <si>
    <t>Texas A&amp;M-Corpus Christi</t>
  </si>
  <si>
    <t>Oglethorpe</t>
  </si>
  <si>
    <t>Colby-Sawyer College</t>
  </si>
  <si>
    <t>Bluffton University</t>
  </si>
  <si>
    <t>Bethel College (TN)</t>
  </si>
  <si>
    <t>Framingham State</t>
  </si>
  <si>
    <t>Arlington Baptist</t>
  </si>
  <si>
    <t>St. Joseph's (NY-Long Island)</t>
  </si>
  <si>
    <t>St. Ambrose</t>
  </si>
  <si>
    <t>Bacone</t>
  </si>
  <si>
    <t>Eastern Nazarene</t>
  </si>
  <si>
    <t>Northern Vermont - Johnson</t>
  </si>
  <si>
    <t>Mars Hill</t>
  </si>
  <si>
    <t>Portland Bible</t>
  </si>
  <si>
    <t>Alma College</t>
  </si>
  <si>
    <t>Maryville College (TN)</t>
  </si>
  <si>
    <t>Paine</t>
  </si>
  <si>
    <t>Blackburn</t>
  </si>
  <si>
    <t>Muskingum</t>
  </si>
  <si>
    <t>Tufts</t>
  </si>
  <si>
    <t>Sarah Lawrence</t>
  </si>
  <si>
    <t>Concordia (MI)</t>
  </si>
  <si>
    <t>Trevecca Nazarene</t>
  </si>
  <si>
    <t>Wabash College</t>
  </si>
  <si>
    <t>St. John Fisher</t>
  </si>
  <si>
    <t>Montana-Western</t>
  </si>
  <si>
    <t>Western New Mexico</t>
  </si>
  <si>
    <t>Anderson (IN)</t>
  </si>
  <si>
    <t>Lincoln PA</t>
  </si>
  <si>
    <t>Maine-Augusta</t>
  </si>
  <si>
    <t>St. Vincent</t>
  </si>
  <si>
    <t>Chapman University</t>
  </si>
  <si>
    <t>Georgian Court</t>
  </si>
  <si>
    <t>St. Martin's</t>
  </si>
  <si>
    <t>Calumet College</t>
  </si>
  <si>
    <t>Cal State East Bay</t>
  </si>
  <si>
    <t>Louisiana Christian</t>
  </si>
  <si>
    <t>Midland University</t>
  </si>
  <si>
    <t>Lincoln (MO)</t>
  </si>
  <si>
    <t>Holy Names</t>
  </si>
  <si>
    <t>St. Thomas (FL)</t>
  </si>
  <si>
    <t>Reinhardt</t>
  </si>
  <si>
    <t>Bellevue University</t>
  </si>
  <si>
    <t>Western Oregon</t>
  </si>
  <si>
    <t>Eureka College</t>
  </si>
  <si>
    <t>Northwest Indian</t>
  </si>
  <si>
    <t>Georgia College</t>
  </si>
  <si>
    <t>Montreat College</t>
  </si>
  <si>
    <t>Cal State-Los Angeles</t>
  </si>
  <si>
    <t>Masters College</t>
  </si>
  <si>
    <t>US Coast Guard</t>
  </si>
  <si>
    <t>Illinois Tech</t>
  </si>
  <si>
    <t>Concord University</t>
  </si>
  <si>
    <t>Sonoma State</t>
  </si>
  <si>
    <t>Fairmont State</t>
  </si>
  <si>
    <t>Davis &amp; Elkins</t>
  </si>
  <si>
    <t>Glenville State</t>
  </si>
  <si>
    <t>Anderson (SC)</t>
  </si>
  <si>
    <t>Siena Heights</t>
  </si>
  <si>
    <t>University of Sciences</t>
  </si>
  <si>
    <t>SUNY-Canton</t>
  </si>
  <si>
    <t>Mount St. Joseph</t>
  </si>
  <si>
    <t>Williams Baptist</t>
  </si>
  <si>
    <t>Georgia Southwestern</t>
  </si>
  <si>
    <t>Wilkes</t>
  </si>
  <si>
    <t>Ohio Dominican</t>
  </si>
  <si>
    <t>Lourdes</t>
  </si>
  <si>
    <t>Florida College</t>
  </si>
  <si>
    <t>North American</t>
  </si>
  <si>
    <t>Centenary College (NJ)</t>
  </si>
  <si>
    <t>Aurora University</t>
  </si>
  <si>
    <t>Opponent</t>
  </si>
  <si>
    <t>KenPom</t>
  </si>
  <si>
    <t>Rk</t>
  </si>
  <si>
    <t>Team</t>
  </si>
  <si>
    <t>Alabama St.</t>
  </si>
  <si>
    <t>Alcorn St.</t>
  </si>
  <si>
    <t>American</t>
  </si>
  <si>
    <t>Appalachian St</t>
  </si>
  <si>
    <t>Arizona St.</t>
  </si>
  <si>
    <t>Arkansas Pine Bluff</t>
  </si>
  <si>
    <t>Arkansas St.</t>
  </si>
  <si>
    <t>Ball St.</t>
  </si>
  <si>
    <t>Bethune Cookman</t>
  </si>
  <si>
    <t>Boise St.</t>
  </si>
  <si>
    <t>Cal Baptist</t>
  </si>
  <si>
    <t>Cal St. Bakersfield</t>
  </si>
  <si>
    <t>Cal St. Fullerton</t>
  </si>
  <si>
    <t>Cal St. Northridge</t>
  </si>
  <si>
    <t>Chicago St.</t>
  </si>
  <si>
    <t>Cleveland St.</t>
  </si>
  <si>
    <t>Colorado St.</t>
  </si>
  <si>
    <t>Connecticut</t>
  </si>
  <si>
    <t>Coppin St.</t>
  </si>
  <si>
    <t>Delaware St.</t>
  </si>
  <si>
    <t>East Tennessee St.</t>
  </si>
  <si>
    <t>FIU</t>
  </si>
  <si>
    <t>Florida St.</t>
  </si>
  <si>
    <t>Fresno St.</t>
  </si>
  <si>
    <t>Gardner Webb</t>
  </si>
  <si>
    <t>Georgia St.</t>
  </si>
  <si>
    <t>Grambling St.</t>
  </si>
  <si>
    <t>Hawaii</t>
  </si>
  <si>
    <t>Idaho St.</t>
  </si>
  <si>
    <t>Illinois Chicago</t>
  </si>
  <si>
    <t>Illinois St.</t>
  </si>
  <si>
    <t>Indiana St.</t>
  </si>
  <si>
    <t>Iowa St.</t>
  </si>
  <si>
    <t>Jackson St.</t>
  </si>
  <si>
    <t>Jacksonville St.</t>
  </si>
  <si>
    <t>Kansas St.</t>
  </si>
  <si>
    <t>Kennesaw St.</t>
  </si>
  <si>
    <t>Kent St.</t>
  </si>
  <si>
    <t>LIU</t>
  </si>
  <si>
    <t>Long Beach St.</t>
  </si>
  <si>
    <t>Louisiana Monroe</t>
  </si>
  <si>
    <t>Loyola MD</t>
  </si>
  <si>
    <t>Maryland Eastern Shore</t>
  </si>
  <si>
    <t>Massachusetts</t>
  </si>
  <si>
    <t>McNeese St.</t>
  </si>
  <si>
    <t>Miami OH</t>
  </si>
  <si>
    <t>Michigan St.</t>
  </si>
  <si>
    <t>Mississippi</t>
  </si>
  <si>
    <t>Mississippi St.</t>
  </si>
  <si>
    <t>Mississippi Valley St.</t>
  </si>
  <si>
    <t>Missouri St.</t>
  </si>
  <si>
    <t>Montana St.</t>
  </si>
  <si>
    <t>Morehead St.</t>
  </si>
  <si>
    <t>Morgan St.</t>
  </si>
  <si>
    <t>Murray St.</t>
  </si>
  <si>
    <t>N.C. State</t>
  </si>
  <si>
    <t>Nebraska Omaha</t>
  </si>
  <si>
    <t>New Mexico St.</t>
  </si>
  <si>
    <t>Nicholls St.</t>
  </si>
  <si>
    <t>Norfolk St.</t>
  </si>
  <si>
    <t>North Dakota St.</t>
  </si>
  <si>
    <t>Northwestern St.</t>
  </si>
  <si>
    <t>Ohio St.</t>
  </si>
  <si>
    <t>Oklahoma St.</t>
  </si>
  <si>
    <t>Oregon St.</t>
  </si>
  <si>
    <t>Penn</t>
  </si>
  <si>
    <t>Penn St.</t>
  </si>
  <si>
    <t>Portland St.</t>
  </si>
  <si>
    <t>Queens</t>
  </si>
  <si>
    <t>Sacramento St.</t>
  </si>
  <si>
    <t>Sam Houston St.</t>
  </si>
  <si>
    <t>San Diego St.</t>
  </si>
  <si>
    <t>San Jose St.</t>
  </si>
  <si>
    <t>Seattle</t>
  </si>
  <si>
    <t>South Carolina St.</t>
  </si>
  <si>
    <t>South Dakota St.</t>
  </si>
  <si>
    <t>Southeast Missouri St.</t>
  </si>
  <si>
    <t>Southeastern Louisiana</t>
  </si>
  <si>
    <t>St. Francis NY</t>
  </si>
  <si>
    <t>St. Francis PA</t>
  </si>
  <si>
    <t>St. Thomas</t>
  </si>
  <si>
    <t>Tarleton St.</t>
  </si>
  <si>
    <t>Tennessee Martin</t>
  </si>
  <si>
    <t>Tennessee St.</t>
  </si>
  <si>
    <t>Texas A&amp;M Commerce</t>
  </si>
  <si>
    <t>Texas A&amp;M Corpus Chris</t>
  </si>
  <si>
    <t>Texas St.</t>
  </si>
  <si>
    <t>USC Upstate</t>
  </si>
  <si>
    <t>Utah St.</t>
  </si>
  <si>
    <t>Washington St.</t>
  </si>
  <si>
    <t>Weber St.</t>
  </si>
  <si>
    <t>Wichita St.</t>
  </si>
  <si>
    <t>Wright St.</t>
  </si>
  <si>
    <t>Youngstown St.</t>
  </si>
  <si>
    <t>Gm/Wk</t>
  </si>
  <si>
    <t>KP Diff</t>
  </si>
  <si>
    <t>KP Opp</t>
  </si>
  <si>
    <t>KP</t>
  </si>
  <si>
    <t>KP Match</t>
  </si>
  <si>
    <t>Penn St. Wilkes-Barre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</si>
</sst>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Inherit"/>
    </font>
    <font>
      <i/>
      <strike/>
      <sz val="11"/>
      <name val="Calibri"/>
      <family val="2"/>
      <scheme val="minor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  <bgColor theme="4"/>
      </patternFill>
    </fill>
    <fill>
      <patternFill patternType="solid">
        <fgColor theme="1"/>
        <bgColor theme="1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2FAFD"/>
        <bgColor indexed="64"/>
      </patternFill>
    </fill>
    <fill>
      <patternFill patternType="solid">
        <fgColor rgb="FFE5ECF9"/>
        <bgColor indexed="64"/>
      </patternFill>
    </fill>
    <fill>
      <patternFill patternType="lightGray"/>
    </fill>
    <fill>
      <patternFill patternType="lightGray">
        <fgColor auto="1"/>
      </patternFill>
    </fill>
    <fill>
      <patternFill patternType="solid">
        <fgColor auto="1"/>
        <bgColor auto="1"/>
      </patternFill>
    </fill>
  </fills>
  <borders count="18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42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6" fillId="0" borderId="0" applyNumberFormat="0" applyFill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6" borderId="0" applyNumberFormat="0" applyBorder="0" applyAlignment="0" applyProtection="0"/>
    <xf numFmtId="0" fontId="11" fillId="7" borderId="8" applyNumberFormat="0" applyAlignment="0" applyProtection="0"/>
    <xf numFmtId="0" fontId="12" fillId="8" borderId="9" applyNumberFormat="0" applyAlignment="0" applyProtection="0"/>
    <xf numFmtId="0" fontId="13" fillId="8" borderId="8" applyNumberFormat="0" applyAlignment="0" applyProtection="0"/>
    <xf numFmtId="0" fontId="14" fillId="0" borderId="10" applyNumberFormat="0" applyFill="0" applyAlignment="0" applyProtection="0"/>
    <xf numFmtId="0" fontId="15" fillId="9" borderId="11" applyNumberFormat="0" applyAlignment="0" applyProtection="0"/>
    <xf numFmtId="0" fontId="16" fillId="0" borderId="0" applyNumberFormat="0" applyFill="0" applyBorder="0" applyAlignment="0" applyProtection="0"/>
    <xf numFmtId="0" fontId="5" fillId="10" borderId="12" applyNumberFormat="0" applyFont="0" applyAlignment="0" applyProtection="0"/>
    <xf numFmtId="0" fontId="17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19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19" fillId="15" borderId="0" applyNumberFormat="0" applyBorder="0" applyAlignment="0" applyProtection="0"/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19" fillId="19" borderId="0" applyNumberFormat="0" applyBorder="0" applyAlignment="0" applyProtection="0"/>
    <xf numFmtId="0" fontId="5" fillId="20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19" fillId="23" borderId="0" applyNumberFormat="0" applyBorder="0" applyAlignment="0" applyProtection="0"/>
    <xf numFmtId="0" fontId="5" fillId="24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19" fillId="27" borderId="0" applyNumberFormat="0" applyBorder="0" applyAlignment="0" applyProtection="0"/>
    <xf numFmtId="0" fontId="5" fillId="28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19" fillId="31" borderId="0" applyNumberFormat="0" applyBorder="0" applyAlignment="0" applyProtection="0"/>
    <xf numFmtId="0" fontId="5" fillId="32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</cellStyleXfs>
  <cellXfs count="29">
    <xf numFmtId="0" fontId="0" fillId="0" borderId="0" xfId="0"/>
    <xf numFmtId="0" fontId="4" fillId="4" borderId="1" xfId="0" applyFont="1" applyFill="1" applyBorder="1"/>
    <xf numFmtId="0" fontId="4" fillId="4" borderId="2" xfId="0" applyFont="1" applyFill="1" applyBorder="1"/>
    <xf numFmtId="0" fontId="4" fillId="5" borderId="3" xfId="0" applyFont="1" applyFill="1" applyBorder="1"/>
    <xf numFmtId="0" fontId="4" fillId="5" borderId="4" xfId="0" applyFont="1" applyFill="1" applyBorder="1"/>
    <xf numFmtId="14" fontId="0" fillId="0" borderId="0" xfId="0" applyNumberFormat="1"/>
    <xf numFmtId="0" fontId="0" fillId="0" borderId="0" xfId="0"/>
    <xf numFmtId="0" fontId="0" fillId="0" borderId="0" xfId="0" applyAlignment="1">
      <alignment horizontal="left"/>
    </xf>
    <xf numFmtId="0" fontId="18" fillId="0" borderId="0" xfId="0" applyFont="1"/>
    <xf numFmtId="0" fontId="0" fillId="0" borderId="0" xfId="0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20" fillId="35" borderId="15" xfId="0" applyFont="1" applyFill="1" applyBorder="1" applyAlignment="1">
      <alignment horizontal="center" vertical="center" wrapText="1"/>
    </xf>
    <xf numFmtId="0" fontId="20" fillId="36" borderId="15" xfId="0" applyFont="1" applyFill="1" applyBorder="1" applyAlignment="1">
      <alignment horizontal="center" vertical="center" wrapText="1"/>
    </xf>
    <xf numFmtId="0" fontId="20" fillId="36" borderId="16" xfId="0" applyFont="1" applyFill="1" applyBorder="1" applyAlignment="1">
      <alignment horizontal="center" vertical="center" wrapText="1"/>
    </xf>
    <xf numFmtId="0" fontId="20" fillId="35" borderId="16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11" fillId="7" borderId="8" xfId="9"/>
    <xf numFmtId="0" fontId="4" fillId="4" borderId="14" xfId="0" applyFont="1" applyFill="1" applyBorder="1"/>
    <xf numFmtId="0" fontId="4" fillId="5" borderId="14" xfId="0" applyFont="1" applyFill="1" applyBorder="1"/>
    <xf numFmtId="0" fontId="4" fillId="4" borderId="0" xfId="0" applyFont="1" applyFill="1" applyBorder="1"/>
    <xf numFmtId="0" fontId="4" fillId="5" borderId="0" xfId="0" applyFont="1" applyFill="1" applyBorder="1"/>
    <xf numFmtId="0" fontId="4" fillId="4" borderId="17" xfId="0" applyFont="1" applyFill="1" applyBorder="1"/>
    <xf numFmtId="0" fontId="3" fillId="3" borderId="0" xfId="2"/>
    <xf numFmtId="0" fontId="0" fillId="37" borderId="0" xfId="0" applyFill="1" applyAlignment="1">
      <alignment horizontal="left"/>
    </xf>
    <xf numFmtId="0" fontId="0" fillId="38" borderId="0" xfId="0" applyFill="1" applyAlignment="1">
      <alignment horizontal="left"/>
    </xf>
    <xf numFmtId="0" fontId="0" fillId="0" borderId="0" xfId="0" applyBorder="1" applyAlignment="1">
      <alignment horizontal="left"/>
    </xf>
    <xf numFmtId="0" fontId="0" fillId="37" borderId="0" xfId="0" applyFill="1" applyBorder="1" applyAlignment="1">
      <alignment horizontal="left"/>
    </xf>
    <xf numFmtId="0" fontId="21" fillId="39" borderId="0" xfId="0" applyFont="1" applyFill="1" applyBorder="1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2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1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3" builtinId="15" customBuiltin="1"/>
    <cellStyle name="Total" xfId="17" builtinId="25" customBuiltin="1"/>
    <cellStyle name="Warning Text" xfId="14" builtinId="11" customBuiltin="1"/>
  </cellStyles>
  <dxfs count="42">
    <dxf>
      <numFmt numFmtId="164" formatCode="m/d/yyyy"/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Inherit"/>
        <scheme val="none"/>
      </font>
      <fill>
        <patternFill patternType="solid">
          <fgColor indexed="64"/>
          <bgColor rgb="FFF2FAFD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/>
        <bottom style="medium">
          <color rgb="FF000000"/>
        </bottom>
        <vertical/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164" formatCode="m/d/yyyy"/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left style="thin">
          <color theme="4" tint="0.39997558519241921"/>
        </left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 tint="0.39997558519241921"/>
        </left>
        <right style="thin">
          <color theme="4" tint="0.3999755851924192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border diagonalUp="0" diagonalDown="0" outline="0">
        <left style="thin">
          <color theme="1"/>
        </left>
        <right style="thin">
          <color theme="1"/>
        </right>
        <top/>
        <bottom/>
      </border>
    </dxf>
    <dxf>
      <border outline="0">
        <bottom style="thin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color theme="0" tint="-4.9989318521683403E-2"/>
      </font>
      <fill>
        <patternFill>
          <bgColor rgb="FFC0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</xdr:rowOff>
    </xdr:from>
    <xdr:to>
      <xdr:col>8</xdr:col>
      <xdr:colOff>0</xdr:colOff>
      <xdr:row>5</xdr:row>
      <xdr:rowOff>1</xdr:rowOff>
    </xdr:to>
    <xdr:sp macro="[0]!sorter" textlink="">
      <xdr:nvSpPr>
        <xdr:cNvPr id="2" name="Rectangle 1">
          <a:extLst>
            <a:ext uri="{FF2B5EF4-FFF2-40B4-BE49-F238E27FC236}">
              <a16:creationId xmlns:a16="http://schemas.microsoft.com/office/drawing/2014/main" id="{F5CFE441-6207-436E-8D3D-A104AA911E92}"/>
            </a:ext>
          </a:extLst>
        </xdr:cNvPr>
        <xdr:cNvSpPr/>
      </xdr:nvSpPr>
      <xdr:spPr>
        <a:xfrm>
          <a:off x="4581525" y="762001"/>
          <a:ext cx="714375" cy="190500"/>
        </a:xfrm>
        <a:prstGeom prst="rect">
          <a:avLst/>
        </a:prstGeom>
        <a:solidFill>
          <a:schemeClr val="accent1">
            <a:alpha val="42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42C8DAA-7094-4F78-BA80-9E16C05D7B2A}" name="Teams" displayName="Teams" ref="J2:P77" totalsRowShown="0" headerRowDxfId="37" dataDxfId="36" dataCellStyle="Normal">
  <autoFilter ref="J2:P77" xr:uid="{8C973F97-660F-4D9B-92E1-05DC4329F6DE}"/>
  <tableColumns count="7">
    <tableColumn id="1" xr3:uid="{60F781EC-1907-4FDA-81BC-7BC866551BFD}" name="Teams" dataDxfId="35" dataCellStyle="Normal"/>
    <tableColumn id="2" xr3:uid="{70EBC4CB-427A-4C28-A690-A01D9E3285DD}" name="Gm/Wk" dataDxfId="34" dataCellStyle="Normal">
      <calculatedColumnFormula>SUM(COUNTIFS(Schedule[Home],Teams[[#This Row],[Teams]],Schedule[Date],"&gt;="&amp;$G$3,Schedule[Date],"&lt;="&amp;$H$3),COUNTIFS(Schedule[Away],Teams[[#This Row],[Teams]],Schedule[Date],"&gt;="&amp;$G$3,Schedule[Date],"&lt;="&amp;$H$3))</calculatedColumnFormula>
    </tableColumn>
    <tableColumn id="4" xr3:uid="{7024BB21-39D3-4CC5-839A-80CAAE260CD6}" name="KP" dataDxfId="33">
      <calculatedColumnFormula>VLOOKUP(Teams[[#This Row],[Teams]],KenPomTable[],2)</calculatedColumnFormula>
    </tableColumn>
    <tableColumn id="3" xr3:uid="{9D10FD6D-082B-46EE-AD73-1122B2B6C167}" name="Conference" dataDxfId="32" dataCellStyle="Normal"/>
    <tableColumn id="5" xr3:uid="{2C8EE824-52E8-4BEE-84B7-058F4B47D78F}" name="Opponent" dataDxfId="31" dataCellStyle="Normal">
      <calculatedColumnFormula>IF(Teams[[#This Row],[Gm/Wk]]=1, _xlfn.XLOOKUP(Teams[[#This Row],[Teams]],Schedule[Home],Schedule[Away],_xlfn.XLOOKUP(Teams[[#This Row],[Teams]],Schedule[Away],Schedule[Home],"???")),"")</calculatedColumnFormula>
    </tableColumn>
    <tableColumn id="8" xr3:uid="{7E884756-1A17-4B3D-8DE3-4380A63860DE}" name="KP Opp" dataDxfId="30" dataCellStyle="Normal">
      <calculatedColumnFormula>IF(Teams[[#This Row],[Opponent]]="","",VLOOKUP(Teams[[#This Row],[Opponent]],KenPomTable[],2))</calculatedColumnFormula>
    </tableColumn>
    <tableColumn id="9" xr3:uid="{6A7ECB2D-585E-43C1-84E6-937DD5E26937}" name="KP Diff" dataDxfId="29" dataCellStyle="Normal">
      <calculatedColumnFormula>IF(Teams[[#This Row],[Opponent]]="","",Teams[[#This Row],[KP Opp]]-Teams[[#This Row],[KP]])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FC6BEDF-E54D-4AED-8ED0-5BF8953F49F3}" name="ACCTable12" displayName="ACCTable12" ref="R2:S17" totalsRowShown="0" headerRowDxfId="28" tableBorderDxfId="27" dataCellStyle="Normal">
  <autoFilter ref="R2:S17" xr:uid="{1FC6BEDF-E54D-4AED-8ED0-5BF8953F49F3}"/>
  <sortState xmlns:xlrd2="http://schemas.microsoft.com/office/spreadsheetml/2017/richdata2" ref="R3:S17">
    <sortCondition ref="S2:S17"/>
  </sortState>
  <tableColumns count="2">
    <tableColumn id="1" xr3:uid="{284F03EA-9D3F-480A-AF2C-8E22A1A99034}" name="ACC" dataCellStyle="Normal"/>
    <tableColumn id="2" xr3:uid="{821C1C5E-99E4-4534-8465-062C5608BEDC}" name="KP" dataCellStyle="Normal">
      <calculatedColumnFormula>VLOOKUP(ACCTable12[[#This Row],[ACC]],KenPomTable[],2)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3DBF116-3D2D-4A2D-8D79-42475B020D90}" name="BigEastTable13" displayName="BigEastTable13" ref="T2:U13" totalsRowShown="0" headerRowDxfId="26" dataCellStyle="Normal">
  <autoFilter ref="T2:U13" xr:uid="{63DBF116-3D2D-4A2D-8D79-42475B020D90}"/>
  <sortState xmlns:xlrd2="http://schemas.microsoft.com/office/spreadsheetml/2017/richdata2" ref="T3:U13">
    <sortCondition ref="U2:U13"/>
  </sortState>
  <tableColumns count="2">
    <tableColumn id="1" xr3:uid="{00F213BF-2D39-4BB0-88B1-B9FC08B4E304}" name="Big East" dataCellStyle="Normal"/>
    <tableColumn id="2" xr3:uid="{820DE25D-8C44-4213-8B8B-BA0B8641DEFA}" name="KP" dataCellStyle="Normal">
      <calculatedColumnFormula>VLOOKUP(BigEastTable13[[#This Row],[Big East]],KenPomTable[],2)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E22F728-89D0-4D4D-B7FA-CD43E52925A8}" name="BigTenTable14" displayName="BigTenTable14" ref="V2:W16" totalsRowShown="0" headerRowDxfId="25" tableBorderDxfId="24" dataCellStyle="Normal">
  <autoFilter ref="V2:W16" xr:uid="{7E22F728-89D0-4D4D-B7FA-CD43E52925A8}"/>
  <sortState xmlns:xlrd2="http://schemas.microsoft.com/office/spreadsheetml/2017/richdata2" ref="V3:W16">
    <sortCondition ref="W2:W16"/>
  </sortState>
  <tableColumns count="2">
    <tableColumn id="1" xr3:uid="{F82CEEDA-CB16-497B-B0C9-E0B138207E87}" name="Big Ten" dataCellStyle="Normal"/>
    <tableColumn id="2" xr3:uid="{A5A45F87-7F36-42AD-B3D8-A0526899AA0B}" name="KP" dataCellStyle="Normal">
      <calculatedColumnFormula>VLOOKUP(BigTenTable14[[#This Row],[Big Ten]],KenPomTable[],2)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B2615DA6-899D-4A27-ABD0-4C01109371BB}" name="Big12Table15" displayName="Big12Table15" ref="X2:Y12" totalsRowShown="0" headerRowDxfId="23" dataCellStyle="Normal">
  <autoFilter ref="X2:Y12" xr:uid="{B2615DA6-899D-4A27-ABD0-4C01109371BB}"/>
  <sortState xmlns:xlrd2="http://schemas.microsoft.com/office/spreadsheetml/2017/richdata2" ref="X3:Y12">
    <sortCondition ref="Y2:Y12"/>
  </sortState>
  <tableColumns count="2">
    <tableColumn id="1" xr3:uid="{D26083CD-3B38-41C3-A1AA-378B9F0FEF41}" name="Big 12" dataCellStyle="Normal"/>
    <tableColumn id="2" xr3:uid="{E984D2D3-606B-4970-992B-B494AD1B98EE}" name="KP" dataCellStyle="Normal">
      <calculatedColumnFormula>VLOOKUP(Big12Table15[[#This Row],[Big 12]],KenPomTable[],2)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E417CE4D-1510-416E-8529-71A676A6C1BB}" name="Pac12Table16" displayName="Pac12Table16" ref="Z2:AA14" totalsRowShown="0" headerRowDxfId="22" tableBorderDxfId="21" dataCellStyle="Normal">
  <autoFilter ref="Z2:AA14" xr:uid="{E417CE4D-1510-416E-8529-71A676A6C1BB}"/>
  <sortState xmlns:xlrd2="http://schemas.microsoft.com/office/spreadsheetml/2017/richdata2" ref="Z3:AA14">
    <sortCondition ref="AA2:AA14"/>
  </sortState>
  <tableColumns count="2">
    <tableColumn id="1" xr3:uid="{64690DA6-4282-42F2-9CA0-CC75AE31164A}" name="Pac 12" dataCellStyle="Normal"/>
    <tableColumn id="2" xr3:uid="{BE0061B4-F7E9-4BB5-9F0D-B2D9EE78711D}" name="KP" dataCellStyle="Normal">
      <calculatedColumnFormula>VLOOKUP(Pac12Table16[[#This Row],[Pac 12]],KenPomTable[],2)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C9FA017-3DDF-4EA3-BC43-047B6911DC83}" name="SECTable17" displayName="SECTable17" ref="AB2:AC16" totalsRowShown="0" headerRowDxfId="20" dataCellStyle="Normal">
  <autoFilter ref="AB2:AC16" xr:uid="{AC9FA017-3DDF-4EA3-BC43-047B6911DC83}"/>
  <sortState xmlns:xlrd2="http://schemas.microsoft.com/office/spreadsheetml/2017/richdata2" ref="AB3:AC16">
    <sortCondition ref="AC2:AC16"/>
  </sortState>
  <tableColumns count="2">
    <tableColumn id="1" xr3:uid="{86296CFC-0DEF-4E20-AE94-22B2A757B0AF}" name="SEC" dataCellStyle="Normal"/>
    <tableColumn id="2" xr3:uid="{542D95E6-CF62-4D16-8B4E-60FB980F1C7A}" name="KP" dataCellStyle="Normal">
      <calculatedColumnFormula>VLOOKUP(SECTable17[[#This Row],[SEC]],KenPomTable[],2)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9028B3-2F88-48BC-B585-C52EA9A02AD4}" name="Schedule" displayName="Schedule" ref="B2:D5408" totalsRowShown="0">
  <autoFilter ref="B2:D5408" xr:uid="{779028B3-2F88-48BC-B585-C52EA9A02AD4}"/>
  <tableColumns count="3">
    <tableColumn id="2" xr3:uid="{99160660-019B-487D-BAFD-9013CFB2A6F1}" name="Home"/>
    <tableColumn id="1" xr3:uid="{BFB9A937-523F-44A6-9A7A-9A71812B099F}" name="Away"/>
    <tableColumn id="3" xr3:uid="{3E7278F1-5522-439B-ADF4-FBE4EDE96AFA}" name="Date" dataDxfId="13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4F437C-A854-4046-8CB7-CA37C244FEC9}" name="KenPomTable" displayName="KenPomTable" ref="G2:H365" totalsRowShown="0" headerRowDxfId="12">
  <autoFilter ref="G2:H365" xr:uid="{8B4F437C-A854-4046-8CB7-CA37C244FEC9}"/>
  <sortState xmlns:xlrd2="http://schemas.microsoft.com/office/spreadsheetml/2017/richdata2" ref="G3:H365">
    <sortCondition ref="G2:G365"/>
  </sortState>
  <tableColumns count="2">
    <tableColumn id="2" xr3:uid="{120A4903-2B5E-4D99-A833-4AA0C7BA4E72}" name="Team" dataDxfId="11"/>
    <tableColumn id="1" xr3:uid="{9532D113-700B-4B1D-BE3D-E3EFB79A9188}" name="Rk" dataDxfId="10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E48CBAF-EACD-4256-93A8-BDE35486DCCF}" name="ACCTable" displayName="ACCTable" ref="K2:M17" totalsRowShown="0" headerRowDxfId="9" tableBorderDxfId="8" dataCellStyle="Normal">
  <autoFilter ref="K2:M17" xr:uid="{2E48CBAF-EACD-4256-93A8-BDE35486DCCF}"/>
  <sortState xmlns:xlrd2="http://schemas.microsoft.com/office/spreadsheetml/2017/richdata2" ref="K3:M17">
    <sortCondition ref="M2:M17"/>
  </sortState>
  <tableColumns count="3">
    <tableColumn id="1" xr3:uid="{AD37FD4E-5414-44CF-B396-8AD9EB608C44}" name="ACC" dataCellStyle="Normal"/>
    <tableColumn id="3" xr3:uid="{23AEAFAE-5541-4930-85C9-4C9000F4A03A}" name="KP Match" dataCellStyle="Normal">
      <calculatedColumnFormula>LOOKUP(ACCTable[[#This Row],[ACC]],KenPomTable[Team])</calculatedColumnFormula>
    </tableColumn>
    <tableColumn id="2" xr3:uid="{C7215EDE-6EEE-4B82-81D3-DE8BB0ACFEF1}" name="KP" dataCellStyle="Normal">
      <calculatedColumnFormula>VLOOKUP(ACCTable[[#This Row],[ACC]],KenPomTable[],2)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43DCB5-A1F2-4E1C-9CD1-FE270AD15343}" name="BigEastTable" displayName="BigEastTable" ref="K19:M30" totalsRowShown="0" headerRowDxfId="7" dataCellStyle="Normal">
  <autoFilter ref="K19:M30" xr:uid="{2F43DCB5-A1F2-4E1C-9CD1-FE270AD15343}"/>
  <sortState xmlns:xlrd2="http://schemas.microsoft.com/office/spreadsheetml/2017/richdata2" ref="K20:M30">
    <sortCondition ref="M19:M30"/>
  </sortState>
  <tableColumns count="3">
    <tableColumn id="1" xr3:uid="{FF8B82A2-B327-487F-B15E-96FE16AFBBA1}" name="Big East" dataCellStyle="Normal"/>
    <tableColumn id="3" xr3:uid="{0C5AED00-A7D7-48E1-8F21-55115C9FF3EA}" name="KP Match" dataCellStyle="Normal">
      <calculatedColumnFormula>LOOKUP(BigEastTable[[#This Row],[Big East]],KenPomTable[Team])</calculatedColumnFormula>
    </tableColumn>
    <tableColumn id="2" xr3:uid="{30D3842E-4962-4C0E-9F99-91FF007F108B}" name="KP" dataCellStyle="Normal">
      <calculatedColumnFormula>VLOOKUP(BigEastTable[[#This Row],[Big East]],KenPomTable[],2)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56587C-C752-4513-8223-837E14F23D1B}" name="BigTenTable" displayName="BigTenTable" ref="K32:M46" totalsRowShown="0" headerRowDxfId="6" tableBorderDxfId="5" dataCellStyle="Normal">
  <autoFilter ref="K32:M46" xr:uid="{F256587C-C752-4513-8223-837E14F23D1B}"/>
  <sortState xmlns:xlrd2="http://schemas.microsoft.com/office/spreadsheetml/2017/richdata2" ref="K33:M46">
    <sortCondition ref="M32:M46"/>
  </sortState>
  <tableColumns count="3">
    <tableColumn id="1" xr3:uid="{67EF76B5-A84F-4C41-B6AD-DEB312158164}" name="Big Ten" dataCellStyle="Normal"/>
    <tableColumn id="3" xr3:uid="{E08ECC2E-D81C-45D8-B12B-989ED308616D}" name="KP Match" dataCellStyle="Normal">
      <calculatedColumnFormula>LOOKUP(BigTenTable[[#This Row],[Big Ten]],KenPomTable[Team])</calculatedColumnFormula>
    </tableColumn>
    <tableColumn id="2" xr3:uid="{02112AD5-9B87-4CDD-AAC9-CDF5D340C3CE}" name="KP" dataCellStyle="Normal">
      <calculatedColumnFormula>VLOOKUP(BigTenTable[[#This Row],[Big Ten]],KenPomTable[],2)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0BE3DA4-BA9D-4957-B35D-EE7EBD1FB9FD}" name="Big12Table" displayName="Big12Table" ref="K48:M58" totalsRowShown="0" headerRowDxfId="4" dataCellStyle="Normal">
  <autoFilter ref="K48:M58" xr:uid="{20BE3DA4-BA9D-4957-B35D-EE7EBD1FB9FD}"/>
  <sortState xmlns:xlrd2="http://schemas.microsoft.com/office/spreadsheetml/2017/richdata2" ref="K49:M58">
    <sortCondition ref="M48:M58"/>
  </sortState>
  <tableColumns count="3">
    <tableColumn id="1" xr3:uid="{386DFE0F-1461-4077-A11C-0F65F48DEDFC}" name="Big 12" dataCellStyle="Normal"/>
    <tableColumn id="3" xr3:uid="{06527CF9-F14C-4719-97D7-ADB3AEB51D40}" name="KP Match" dataCellStyle="Normal">
      <calculatedColumnFormula>LOOKUP(Big12Table[[#This Row],[Big 12]],KenPomTable[Team])</calculatedColumnFormula>
    </tableColumn>
    <tableColumn id="2" xr3:uid="{8D15EF38-67BD-4418-960A-B0DF5913C9A5}" name="KP" dataCellStyle="Normal">
      <calculatedColumnFormula>VLOOKUP(Big12Table[[#This Row],[Big 12]],KenPomTable[],2)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91FD50A-8A03-499D-AB61-9FF7E3C13CD1}" name="Pac12Table" displayName="Pac12Table" ref="K60:M72" totalsRowShown="0" headerRowDxfId="3" tableBorderDxfId="2" dataCellStyle="Normal">
  <autoFilter ref="K60:M72" xr:uid="{591FD50A-8A03-499D-AB61-9FF7E3C13CD1}"/>
  <sortState xmlns:xlrd2="http://schemas.microsoft.com/office/spreadsheetml/2017/richdata2" ref="K61:M72">
    <sortCondition ref="M60:M72"/>
  </sortState>
  <tableColumns count="3">
    <tableColumn id="1" xr3:uid="{3B1844DC-3AB2-47E8-B3AA-4534EC3C95C7}" name="Pac 12" dataCellStyle="Normal"/>
    <tableColumn id="3" xr3:uid="{B2FA2D46-508B-491B-9216-10AB5BE407AB}" name="KP Match" dataCellStyle="Normal">
      <calculatedColumnFormula>LOOKUP(Pac12Table[[#This Row],[Pac 12]],KenPomTable[Team])</calculatedColumnFormula>
    </tableColumn>
    <tableColumn id="2" xr3:uid="{7C9591D5-2CCE-407E-BC0C-2B011C8E1C1D}" name="KP" dataCellStyle="Normal">
      <calculatedColumnFormula>VLOOKUP(Pac12Table[[#This Row],[Pac 12]],KenPomTable[],2)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423EB29-E57E-4674-A8C3-4F08EA735F9C}" name="SECTable" displayName="SECTable" ref="K74:M88" totalsRowShown="0" headerRowDxfId="1" dataCellStyle="Normal">
  <autoFilter ref="K74:M88" xr:uid="{3423EB29-E57E-4674-A8C3-4F08EA735F9C}"/>
  <sortState xmlns:xlrd2="http://schemas.microsoft.com/office/spreadsheetml/2017/richdata2" ref="K75:M88">
    <sortCondition ref="M74:M88"/>
  </sortState>
  <tableColumns count="3">
    <tableColumn id="1" xr3:uid="{C657F3AF-28DB-4163-A6D9-AC5993C862D6}" name="SEC" dataCellStyle="Normal"/>
    <tableColumn id="3" xr3:uid="{7A1E6E2A-505C-49D0-8829-A7F3DDAE43A6}" name="KP Match" dataCellStyle="Normal">
      <calculatedColumnFormula>LOOKUP(SECTable[[#This Row],[SEC]],KenPomTable[Team])</calculatedColumnFormula>
    </tableColumn>
    <tableColumn id="2" xr3:uid="{9BE5DA1E-AED8-4535-A064-4CAE666A4FF4}" name="KP" dataCellStyle="Normal">
      <calculatedColumnFormula>VLOOKUP(SECTable[[#This Row],[SEC]],KenPomTable[],2)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3C67640-AF5C-4601-9953-501A64E25940}" name="BACKUP_schedule" displayName="BACKUP_schedule" ref="B2:D5681" totalsRowShown="0">
  <autoFilter ref="B2:D5681" xr:uid="{779028B3-2F88-48BC-B585-C52EA9A02AD4}"/>
  <tableColumns count="3">
    <tableColumn id="2" xr3:uid="{38AD215B-EDCE-4E90-9A91-FAC317058C3E}" name="Home"/>
    <tableColumn id="1" xr3:uid="{0B016D59-E71C-4646-B909-E67EC5C7D33D}" name="Away"/>
    <tableColumn id="3" xr3:uid="{BE263694-1B33-4F5B-B5F5-3E07C2933EE5}" name="Dat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table" Target="../tables/table10.xml"/><Relationship Id="rId7" Type="http://schemas.openxmlformats.org/officeDocument/2006/relationships/table" Target="../tables/table14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8295F-78B0-495E-B280-FF19B5C16800}">
  <sheetPr codeName="Sheet1"/>
  <dimension ref="A1:AT386"/>
  <sheetViews>
    <sheetView tabSelected="1" zoomScaleNormal="100" workbookViewId="0">
      <selection activeCell="E13" sqref="E13"/>
    </sheetView>
  </sheetViews>
  <sheetFormatPr baseColWidth="10" defaultColWidth="8.83203125" defaultRowHeight="15"/>
  <cols>
    <col min="1" max="2" width="10.6640625" bestFit="1" customWidth="1"/>
    <col min="3" max="3" width="14.5" bestFit="1" customWidth="1"/>
    <col min="4" max="4" width="12" bestFit="1" customWidth="1"/>
    <col min="5" max="5" width="14.1640625" bestFit="1" customWidth="1"/>
    <col min="6" max="6" width="3.6640625" customWidth="1"/>
    <col min="7" max="7" width="16.6640625" bestFit="1" customWidth="1"/>
    <col min="8" max="8" width="15.83203125" bestFit="1" customWidth="1"/>
    <col min="9" max="9" width="10.6640625" bestFit="1" customWidth="1"/>
    <col min="10" max="10" width="14.83203125" customWidth="1"/>
    <col min="11" max="11" width="10.5" customWidth="1"/>
    <col min="12" max="12" width="7.83203125" style="6" bestFit="1" customWidth="1"/>
    <col min="13" max="13" width="15.83203125" style="6" hidden="1" customWidth="1"/>
    <col min="14" max="14" width="18" style="6" bestFit="1" customWidth="1"/>
    <col min="15" max="15" width="7.5" style="6" bestFit="1" customWidth="1"/>
    <col min="16" max="16" width="7" style="6" bestFit="1" customWidth="1"/>
    <col min="17" max="17" width="9.1640625" style="6" customWidth="1"/>
    <col min="18" max="18" width="14.5" bestFit="1" customWidth="1"/>
    <col min="19" max="19" width="5.5" bestFit="1" customWidth="1"/>
    <col min="20" max="20" width="12" bestFit="1" customWidth="1"/>
    <col min="21" max="21" width="5.5" bestFit="1" customWidth="1"/>
    <col min="22" max="22" width="13.5" bestFit="1" customWidth="1"/>
    <col min="23" max="23" width="5.5" bestFit="1" customWidth="1"/>
    <col min="24" max="24" width="12.83203125" bestFit="1" customWidth="1"/>
    <col min="25" max="25" width="5.5" bestFit="1" customWidth="1"/>
    <col min="26" max="26" width="14.5" bestFit="1" customWidth="1"/>
    <col min="27" max="27" width="5.5" bestFit="1" customWidth="1"/>
    <col min="28" max="28" width="14" bestFit="1" customWidth="1"/>
    <col min="29" max="29" width="5.5" bestFit="1" customWidth="1"/>
  </cols>
  <sheetData>
    <row r="1" spans="1:45">
      <c r="A1" s="6" t="s">
        <v>0</v>
      </c>
      <c r="B1" s="6"/>
      <c r="C1" s="6" t="s">
        <v>92</v>
      </c>
      <c r="R1" s="6"/>
      <c r="S1" s="6"/>
      <c r="T1" s="6"/>
      <c r="U1" s="6"/>
      <c r="V1" s="6"/>
      <c r="W1" s="6"/>
    </row>
    <row r="2" spans="1:45">
      <c r="A2" s="6"/>
      <c r="B2" s="6"/>
      <c r="C2" s="6"/>
      <c r="D2" s="8" t="s">
        <v>2</v>
      </c>
      <c r="E2" s="8" t="s">
        <v>3</v>
      </c>
      <c r="G2" s="8" t="s">
        <v>217</v>
      </c>
      <c r="H2" s="8" t="s">
        <v>218</v>
      </c>
      <c r="J2" s="7" t="s">
        <v>219</v>
      </c>
      <c r="K2" s="9" t="s">
        <v>809</v>
      </c>
      <c r="L2" s="9" t="s">
        <v>812</v>
      </c>
      <c r="M2" s="9" t="s">
        <v>223</v>
      </c>
      <c r="N2" s="7" t="s">
        <v>711</v>
      </c>
      <c r="O2" s="9" t="s">
        <v>811</v>
      </c>
      <c r="P2" s="9" t="s">
        <v>810</v>
      </c>
      <c r="R2" s="2" t="s">
        <v>20</v>
      </c>
      <c r="S2" s="18" t="s">
        <v>812</v>
      </c>
      <c r="T2" s="3" t="s">
        <v>21</v>
      </c>
      <c r="U2" s="19" t="s">
        <v>812</v>
      </c>
      <c r="V2" s="1" t="s">
        <v>22</v>
      </c>
      <c r="W2" s="20" t="s">
        <v>812</v>
      </c>
      <c r="X2" s="4" t="s">
        <v>23</v>
      </c>
      <c r="Y2" s="21" t="s">
        <v>812</v>
      </c>
      <c r="Z2" s="22" t="s">
        <v>24</v>
      </c>
      <c r="AA2" s="20" t="s">
        <v>812</v>
      </c>
      <c r="AB2" s="4" t="s">
        <v>25</v>
      </c>
      <c r="AC2" s="21" t="s">
        <v>812</v>
      </c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6"/>
      <c r="AP2" s="6"/>
      <c r="AQ2" s="6"/>
      <c r="AR2" s="6"/>
      <c r="AS2" s="6"/>
    </row>
    <row r="3" spans="1:45" ht="15" customHeight="1">
      <c r="A3" s="5">
        <v>44872</v>
      </c>
      <c r="B3" s="5">
        <v>44878</v>
      </c>
      <c r="C3" s="8" t="s">
        <v>1</v>
      </c>
      <c r="D3" s="6" t="s">
        <v>47</v>
      </c>
      <c r="E3" s="6" t="s">
        <v>42</v>
      </c>
      <c r="G3" s="5">
        <v>44879</v>
      </c>
      <c r="H3" s="5">
        <v>44885</v>
      </c>
      <c r="J3" s="24" t="s">
        <v>50</v>
      </c>
      <c r="K3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3" s="11">
        <f>VLOOKUP(Teams[[#This Row],[Teams]],KenPomTable[],2)</f>
        <v>115</v>
      </c>
      <c r="M3" s="11" t="s">
        <v>20</v>
      </c>
      <c r="N3" s="16" t="str">
        <f>IF(Teams[[#This Row],[Gm/Wk]]=1, _xlfn.XLOOKUP(Teams[[#This Row],[Teams]],Schedule[Home],Schedule[Away],_xlfn.XLOOKUP(Teams[[#This Row],[Teams]],Schedule[Away],Schedule[Home],"???")),"")</f>
        <v>Northern Illinois</v>
      </c>
      <c r="O3" s="9">
        <f>IF(Teams[[#This Row],[Opponent]]="","",VLOOKUP(Teams[[#This Row],[Opponent]],KenPomTable[],2))</f>
        <v>291</v>
      </c>
      <c r="P3" s="11">
        <f>IF(Teams[[#This Row],[Opponent]]="","",Teams[[#This Row],[KP Opp]]-Teams[[#This Row],[KP]])</f>
        <v>176</v>
      </c>
      <c r="R3" s="6" t="s">
        <v>188</v>
      </c>
      <c r="S3" s="6">
        <f>VLOOKUP(ACCTable12[[#This Row],[ACC]],KenPomTable[],2)</f>
        <v>6</v>
      </c>
      <c r="T3" s="6" t="s">
        <v>732</v>
      </c>
      <c r="U3" s="6">
        <f>VLOOKUP(BigEastTable13[[#This Row],[Big East]],KenPomTable[],2)</f>
        <v>20</v>
      </c>
      <c r="V3" s="6" t="s">
        <v>62</v>
      </c>
      <c r="W3" s="6">
        <f>VLOOKUP(BigTenTable14[[#This Row],[Big Ten]],KenPomTable[],2)</f>
        <v>8</v>
      </c>
      <c r="X3" s="6" t="s">
        <v>30</v>
      </c>
      <c r="Y3" s="6">
        <f>VLOOKUP(Big12Table15[[#This Row],[Big 12]],KenPomTable[],2)</f>
        <v>2</v>
      </c>
      <c r="Z3" s="6" t="s">
        <v>75</v>
      </c>
      <c r="AA3" s="6">
        <f>VLOOKUP(Pac12Table16[[#This Row],[Pac 12]],KenPomTable[],2)</f>
        <v>11</v>
      </c>
      <c r="AB3" s="6" t="s">
        <v>80</v>
      </c>
      <c r="AC3" s="6">
        <f>VLOOKUP(SECTable17[[#This Row],[SEC]],KenPomTable[],2)</f>
        <v>1</v>
      </c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6"/>
      <c r="AR3" s="6"/>
      <c r="AS3" s="6"/>
    </row>
    <row r="4" spans="1:45">
      <c r="A4" s="5">
        <v>44879</v>
      </c>
      <c r="B4" s="5">
        <v>44885</v>
      </c>
      <c r="C4" s="8" t="s">
        <v>4</v>
      </c>
      <c r="D4" s="6" t="s">
        <v>81</v>
      </c>
      <c r="E4" s="6" t="s">
        <v>65</v>
      </c>
      <c r="J4" s="24" t="s">
        <v>43</v>
      </c>
      <c r="K4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4" s="11">
        <f>VLOOKUP(Teams[[#This Row],[Teams]],KenPomTable[],2)</f>
        <v>104</v>
      </c>
      <c r="M4" s="11" t="s">
        <v>20</v>
      </c>
      <c r="N4" s="16" t="str">
        <f>IF(Teams[[#This Row],[Gm/Wk]]=1, _xlfn.XLOOKUP(Teams[[#This Row],[Teams]],Schedule[Home],Schedule[Away],_xlfn.XLOOKUP(Teams[[#This Row],[Teams]],Schedule[Away],Schedule[Home],"???")),"")</f>
        <v>Appalachian State</v>
      </c>
      <c r="O4" s="9">
        <f>IF(Teams[[#This Row],[Opponent]]="","",VLOOKUP(Teams[[#This Row],[Opponent]],KenPomTable[],2))</f>
        <v>204</v>
      </c>
      <c r="P4" s="11">
        <f>IF(Teams[[#This Row],[Opponent]]="","",Teams[[#This Row],[KP Opp]]-Teams[[#This Row],[KP]])</f>
        <v>100</v>
      </c>
      <c r="R4" s="6" t="s">
        <v>44</v>
      </c>
      <c r="S4" s="6">
        <f>VLOOKUP(ACCTable12[[#This Row],[ACC]],KenPomTable[],2)</f>
        <v>10</v>
      </c>
      <c r="T4" s="6" t="s">
        <v>38</v>
      </c>
      <c r="U4" s="6">
        <f>VLOOKUP(BigEastTable13[[#This Row],[Big East]],KenPomTable[],2)</f>
        <v>24</v>
      </c>
      <c r="V4" s="6" t="s">
        <v>61</v>
      </c>
      <c r="W4" s="6">
        <f>VLOOKUP(BigTenTable14[[#This Row],[Big Ten]],KenPomTable[],2)</f>
        <v>19</v>
      </c>
      <c r="X4" s="6" t="s">
        <v>28</v>
      </c>
      <c r="Y4" s="6">
        <f>VLOOKUP(Big12Table15[[#This Row],[Big 12]],KenPomTable[],2)</f>
        <v>7</v>
      </c>
      <c r="Z4" s="6" t="s">
        <v>70</v>
      </c>
      <c r="AA4" s="6">
        <f>VLOOKUP(Pac12Table16[[#This Row],[Pac 12]],KenPomTable[],2)</f>
        <v>13</v>
      </c>
      <c r="AB4" s="6" t="s">
        <v>86</v>
      </c>
      <c r="AC4" s="6">
        <f>VLOOKUP(SECTable17[[#This Row],[SEC]],KenPomTable[],2)</f>
        <v>4</v>
      </c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</row>
    <row r="5" spans="1:45">
      <c r="A5" s="5">
        <v>44886</v>
      </c>
      <c r="B5" s="5">
        <v>44892</v>
      </c>
      <c r="C5" s="8" t="s">
        <v>5</v>
      </c>
      <c r="D5" s="6"/>
      <c r="E5" s="6"/>
      <c r="H5" s="9" t="s">
        <v>222</v>
      </c>
      <c r="J5" s="24" t="s">
        <v>90</v>
      </c>
      <c r="K5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5" s="11">
        <f>VLOOKUP(Teams[[#This Row],[Teams]],KenPomTable[],2)</f>
        <v>83</v>
      </c>
      <c r="M5" s="11" t="s">
        <v>25</v>
      </c>
      <c r="N5" s="16" t="str">
        <f>IF(Teams[[#This Row],[Gm/Wk]]=1, _xlfn.XLOOKUP(Teams[[#This Row],[Teams]],Schedule[Home],Schedule[Away],_xlfn.XLOOKUP(Teams[[#This Row],[Teams]],Schedule[Away],Schedule[Home],"???")),"")</f>
        <v>Colorado State</v>
      </c>
      <c r="O5" s="9">
        <f>IF(Teams[[#This Row],[Opponent]]="","",VLOOKUP(Teams[[#This Row],[Opponent]],KenPomTable[],2))</f>
        <v>109</v>
      </c>
      <c r="P5" s="11">
        <f>IF(Teams[[#This Row],[Opponent]]="","",Teams[[#This Row],[KP Opp]]-Teams[[#This Row],[KP]])</f>
        <v>26</v>
      </c>
      <c r="R5" s="6" t="s">
        <v>251</v>
      </c>
      <c r="S5" s="6">
        <f>VLOOKUP(ACCTable12[[#This Row],[ACC]],KenPomTable[],2)</f>
        <v>12</v>
      </c>
      <c r="T5" s="6" t="s">
        <v>35</v>
      </c>
      <c r="U5" s="6">
        <f>VLOOKUP(BigEastTable13[[#This Row],[Big East]],KenPomTable[],2)</f>
        <v>25</v>
      </c>
      <c r="V5" s="6" t="s">
        <v>58</v>
      </c>
      <c r="W5" s="6">
        <f>VLOOKUP(BigTenTable14[[#This Row],[Big Ten]],KenPomTable[],2)</f>
        <v>22</v>
      </c>
      <c r="X5" s="6" t="s">
        <v>26</v>
      </c>
      <c r="Y5" s="6">
        <f>VLOOKUP(Big12Table15[[#This Row],[Big 12]],KenPomTable[],2)</f>
        <v>9</v>
      </c>
      <c r="Z5" s="6" t="s">
        <v>69</v>
      </c>
      <c r="AA5" s="6">
        <f>VLOOKUP(Pac12Table16[[#This Row],[Pac 12]],KenPomTable[],2)</f>
        <v>45</v>
      </c>
      <c r="AB5" s="6" t="s">
        <v>84</v>
      </c>
      <c r="AC5" s="6">
        <f>VLOOKUP(SECTable17[[#This Row],[SEC]],KenPomTable[],2)</f>
        <v>14</v>
      </c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</row>
    <row r="6" spans="1:45">
      <c r="A6" s="5">
        <v>44893</v>
      </c>
      <c r="B6" s="5">
        <v>44899</v>
      </c>
      <c r="C6" s="8" t="s">
        <v>6</v>
      </c>
      <c r="D6" s="6"/>
      <c r="E6" s="6"/>
      <c r="J6" s="24" t="s">
        <v>719</v>
      </c>
      <c r="K6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6" s="11">
        <f>VLOOKUP(Teams[[#This Row],[Teams]],KenPomTable[],2)</f>
        <v>79</v>
      </c>
      <c r="M6" s="11" t="s">
        <v>224</v>
      </c>
      <c r="N6" s="16" t="str">
        <f>IF(Teams[[#This Row],[Gm/Wk]]=1, _xlfn.XLOOKUP(Teams[[#This Row],[Teams]],Schedule[Home],Schedule[Away],_xlfn.XLOOKUP(Teams[[#This Row],[Teams]],Schedule[Away],Schedule[Home],"???")),"")</f>
        <v>VCU</v>
      </c>
      <c r="O6" s="9">
        <f>IF(Teams[[#This Row],[Opponent]]="","",VLOOKUP(Teams[[#This Row],[Opponent]],KenPomTable[],2))</f>
        <v>87</v>
      </c>
      <c r="P6" s="11">
        <f>IF(Teams[[#This Row],[Opponent]]="","",Teams[[#This Row],[KP Opp]]-Teams[[#This Row],[KP]])</f>
        <v>8</v>
      </c>
      <c r="R6" s="6" t="s">
        <v>52</v>
      </c>
      <c r="S6" s="6">
        <f>VLOOKUP(ACCTable12[[#This Row],[ACC]],KenPomTable[],2)</f>
        <v>18</v>
      </c>
      <c r="T6" s="6" t="s">
        <v>302</v>
      </c>
      <c r="U6" s="6">
        <f>VLOOKUP(BigEastTable13[[#This Row],[Big East]],KenPomTable[],2)</f>
        <v>35</v>
      </c>
      <c r="V6" s="6" t="s">
        <v>777</v>
      </c>
      <c r="W6" s="6">
        <f>VLOOKUP(BigTenTable14[[#This Row],[Big Ten]],KenPomTable[],2)</f>
        <v>26</v>
      </c>
      <c r="X6" s="6" t="s">
        <v>27</v>
      </c>
      <c r="Y6" s="6">
        <f>VLOOKUP(Big12Table15[[#This Row],[Big 12]],KenPomTable[],2)</f>
        <v>21</v>
      </c>
      <c r="Z6" s="6" t="s">
        <v>74</v>
      </c>
      <c r="AA6" s="6">
        <f>VLOOKUP(Pac12Table16[[#This Row],[Pac 12]],KenPomTable[],2)</f>
        <v>53</v>
      </c>
      <c r="AB6" s="6" t="s">
        <v>82</v>
      </c>
      <c r="AC6" s="6">
        <f>VLOOKUP(SECTable17[[#This Row],[SEC]],KenPomTable[],2)</f>
        <v>15</v>
      </c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</row>
    <row r="7" spans="1:45">
      <c r="A7" s="5">
        <v>44900</v>
      </c>
      <c r="B7" s="5">
        <v>44906</v>
      </c>
      <c r="C7" s="8" t="s">
        <v>7</v>
      </c>
      <c r="D7" s="6"/>
      <c r="E7" s="6"/>
      <c r="J7" s="24" t="s">
        <v>72</v>
      </c>
      <c r="K7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7" s="11">
        <f>VLOOKUP(Teams[[#This Row],[Teams]],KenPomTable[],2)</f>
        <v>74</v>
      </c>
      <c r="M7" s="11" t="s">
        <v>224</v>
      </c>
      <c r="N7" s="16" t="str">
        <f>IF(Teams[[#This Row],[Gm/Wk]]=1, _xlfn.XLOOKUP(Teams[[#This Row],[Teams]],Schedule[Home],Schedule[Away],_xlfn.XLOOKUP(Teams[[#This Row],[Teams]],Schedule[Away],Schedule[Home],"???")),"")</f>
        <v>Yale</v>
      </c>
      <c r="O7" s="9">
        <f>IF(Teams[[#This Row],[Opponent]]="","",VLOOKUP(Teams[[#This Row],[Opponent]],KenPomTable[],2))</f>
        <v>145</v>
      </c>
      <c r="P7" s="11">
        <f>IF(Teams[[#This Row],[Opponent]]="","",Teams[[#This Row],[KP Opp]]-Teams[[#This Row],[KP]])</f>
        <v>71</v>
      </c>
      <c r="R7" s="6" t="s">
        <v>48</v>
      </c>
      <c r="S7" s="6">
        <f>VLOOKUP(ACCTable12[[#This Row],[ACC]],KenPomTable[],2)</f>
        <v>43</v>
      </c>
      <c r="T7" s="6" t="s">
        <v>39</v>
      </c>
      <c r="U7" s="6">
        <f>VLOOKUP(BigEastTable13[[#This Row],[Big East]],KenPomTable[],2)</f>
        <v>37</v>
      </c>
      <c r="V7" s="6" t="s">
        <v>761</v>
      </c>
      <c r="W7" s="6">
        <f>VLOOKUP(BigTenTable14[[#This Row],[Big Ten]],KenPomTable[],2)</f>
        <v>27</v>
      </c>
      <c r="X7" s="6" t="s">
        <v>34</v>
      </c>
      <c r="Y7" s="6">
        <f>VLOOKUP(Big12Table15[[#This Row],[Big 12]],KenPomTable[],2)</f>
        <v>36</v>
      </c>
      <c r="Z7" s="6" t="s">
        <v>77</v>
      </c>
      <c r="AA7" s="6">
        <f>VLOOKUP(Pac12Table16[[#This Row],[Pac 12]],KenPomTable[],2)</f>
        <v>59</v>
      </c>
      <c r="AB7" s="6" t="s">
        <v>83</v>
      </c>
      <c r="AC7" s="6">
        <f>VLOOKUP(SECTable17[[#This Row],[SEC]],KenPomTable[],2)</f>
        <v>16</v>
      </c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</row>
    <row r="8" spans="1:45">
      <c r="A8" s="5">
        <v>44907</v>
      </c>
      <c r="B8" s="5">
        <v>44913</v>
      </c>
      <c r="C8" s="8" t="s">
        <v>8</v>
      </c>
      <c r="D8" s="6"/>
      <c r="E8" s="6"/>
      <c r="J8" s="24" t="s">
        <v>750</v>
      </c>
      <c r="K8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8" s="11">
        <f>VLOOKUP(Teams[[#This Row],[Teams]],KenPomTable[],2)</f>
        <v>68</v>
      </c>
      <c r="M8" s="11" t="s">
        <v>225</v>
      </c>
      <c r="N8" s="16" t="str">
        <f>IF(Teams[[#This Row],[Gm/Wk]]=1, _xlfn.XLOOKUP(Teams[[#This Row],[Teams]],Schedule[Home],Schedule[Away],_xlfn.XLOOKUP(Teams[[#This Row],[Teams]],Schedule[Away],Schedule[Home],"???")),"")</f>
        <v>Kansas City</v>
      </c>
      <c r="O8" s="9">
        <f>IF(Teams[[#This Row],[Opponent]]="","",VLOOKUP(Teams[[#This Row],[Opponent]],KenPomTable[],2,FALSE))</f>
        <v>294</v>
      </c>
      <c r="P8" s="11">
        <f>IF(Teams[[#This Row],[Opponent]]="","",Teams[[#This Row],[KP Opp]]-Teams[[#This Row],[KP]])</f>
        <v>226</v>
      </c>
      <c r="R8" s="23" t="s">
        <v>47</v>
      </c>
      <c r="S8" s="23">
        <f>VLOOKUP(ACCTable12[[#This Row],[ACC]],KenPomTable[],2)</f>
        <v>50</v>
      </c>
      <c r="T8" s="6" t="s">
        <v>36</v>
      </c>
      <c r="U8" s="6">
        <f>VLOOKUP(BigEastTable13[[#This Row],[Big East]],KenPomTable[],2)</f>
        <v>44</v>
      </c>
      <c r="V8" s="6" t="s">
        <v>60</v>
      </c>
      <c r="W8" s="6">
        <f>VLOOKUP(BigTenTable14[[#This Row],[Big Ten]],KenPomTable[],2)</f>
        <v>28</v>
      </c>
      <c r="X8" s="6" t="s">
        <v>778</v>
      </c>
      <c r="Y8" s="6">
        <f>VLOOKUP(Big12Table15[[#This Row],[Big 12]],KenPomTable[],2)</f>
        <v>42</v>
      </c>
      <c r="Z8" s="6" t="s">
        <v>804</v>
      </c>
      <c r="AA8" s="6">
        <f>VLOOKUP(Pac12Table16[[#This Row],[Pac 12]],KenPomTable[],2)</f>
        <v>61</v>
      </c>
      <c r="AB8" s="6" t="s">
        <v>79</v>
      </c>
      <c r="AC8" s="6">
        <f>VLOOKUP(SECTable17[[#This Row],[SEC]],KenPomTable[],2)</f>
        <v>31</v>
      </c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</row>
    <row r="9" spans="1:45">
      <c r="A9" s="5">
        <v>44914</v>
      </c>
      <c r="B9" s="5">
        <v>44920</v>
      </c>
      <c r="C9" s="8" t="s">
        <v>9</v>
      </c>
      <c r="D9" s="6" t="s">
        <v>747</v>
      </c>
      <c r="E9" s="6"/>
      <c r="J9" s="26" t="s">
        <v>804</v>
      </c>
      <c r="K9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9" s="11">
        <f>VLOOKUP(Teams[[#This Row],[Teams]],KenPomTable[],2)</f>
        <v>61</v>
      </c>
      <c r="M9" s="11" t="s">
        <v>224</v>
      </c>
      <c r="N9" s="16" t="str">
        <f>IF(Teams[[#This Row],[Gm/Wk]]=1, _xlfn.XLOOKUP(Teams[[#This Row],[Teams]],Schedule[Home],Schedule[Away],_xlfn.XLOOKUP(Teams[[#This Row],[Teams]],Schedule[Away],Schedule[Home],"???")),"")</f>
        <v>Detroit Mercy</v>
      </c>
      <c r="O9" s="9">
        <f>IF(Teams[[#This Row],[Opponent]]="","",VLOOKUP(Teams[[#This Row],[Opponent]],KenPomTable[],2))</f>
        <v>242</v>
      </c>
      <c r="P9" s="11">
        <f>IF(Teams[[#This Row],[Opponent]]="","",Teams[[#This Row],[KP Opp]]-Teams[[#This Row],[KP]])</f>
        <v>181</v>
      </c>
      <c r="R9" s="6" t="s">
        <v>46</v>
      </c>
      <c r="S9" s="6">
        <f>VLOOKUP(ACCTable12[[#This Row],[ACC]],KenPomTable[],2)</f>
        <v>54</v>
      </c>
      <c r="T9" s="6" t="s">
        <v>40</v>
      </c>
      <c r="U9" s="6">
        <f>VLOOKUP(BigEastTable13[[#This Row],[Big East]],KenPomTable[],2)</f>
        <v>64</v>
      </c>
      <c r="V9" s="6" t="s">
        <v>59</v>
      </c>
      <c r="W9" s="6">
        <f>VLOOKUP(BigTenTable14[[#This Row],[Big Ten]],KenPomTable[],2)</f>
        <v>30</v>
      </c>
      <c r="X9" s="6" t="s">
        <v>29</v>
      </c>
      <c r="Y9" s="6">
        <f>VLOOKUP(Big12Table15[[#This Row],[Big 12]],KenPomTable[],2)</f>
        <v>48</v>
      </c>
      <c r="Z9" s="6" t="s">
        <v>93</v>
      </c>
      <c r="AA9" s="6">
        <f>VLOOKUP(Pac12Table16[[#This Row],[Pac 12]],KenPomTable[],2)</f>
        <v>65</v>
      </c>
      <c r="AB9" s="6" t="s">
        <v>91</v>
      </c>
      <c r="AC9" s="6">
        <f>VLOOKUP(SECTable17[[#This Row],[SEC]],KenPomTable[],2)</f>
        <v>33</v>
      </c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</row>
    <row r="10" spans="1:45">
      <c r="A10" s="5">
        <v>44921</v>
      </c>
      <c r="B10" s="5">
        <v>44927</v>
      </c>
      <c r="C10" s="8" t="s">
        <v>10</v>
      </c>
      <c r="D10" s="6"/>
      <c r="E10" s="6"/>
      <c r="G10" s="6"/>
      <c r="H10" s="6"/>
      <c r="J10" s="26" t="s">
        <v>747</v>
      </c>
      <c r="K10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0" s="11">
        <f>VLOOKUP(Teams[[#This Row],[Teams]],KenPomTable[],2)</f>
        <v>60</v>
      </c>
      <c r="M10" s="11" t="s">
        <v>225</v>
      </c>
      <c r="N10" s="16" t="str">
        <f>IF(Teams[[#This Row],[Gm/Wk]]=1, _xlfn.XLOOKUP(Teams[[#This Row],[Teams]],Schedule[Home],Schedule[Away],_xlfn.XLOOKUP(Teams[[#This Row],[Teams]],Schedule[Away],Schedule[Home],"???")),"")</f>
        <v>Milwaukee</v>
      </c>
      <c r="O10" s="9">
        <f>IF(Teams[[#This Row],[Opponent]]="","",VLOOKUP(Teams[[#This Row],[Opponent]],KenPomTable[],2))</f>
        <v>328</v>
      </c>
      <c r="P10" s="11">
        <f>IF(Teams[[#This Row],[Opponent]]="","",Teams[[#This Row],[KP Opp]]-Teams[[#This Row],[KP]])</f>
        <v>268</v>
      </c>
      <c r="R10" s="6" t="s">
        <v>51</v>
      </c>
      <c r="S10" s="6">
        <f>VLOOKUP(ACCTable12[[#This Row],[ACC]],KenPomTable[],2)</f>
        <v>62</v>
      </c>
      <c r="T10" s="6" t="s">
        <v>37</v>
      </c>
      <c r="U10" s="6">
        <f>VLOOKUP(BigEastTable13[[#This Row],[Big East]],KenPomTable[],2)</f>
        <v>75</v>
      </c>
      <c r="V10" s="6" t="s">
        <v>781</v>
      </c>
      <c r="W10" s="6">
        <f>VLOOKUP(BigTenTable14[[#This Row],[Big Ten]],KenPomTable[],2)</f>
        <v>34</v>
      </c>
      <c r="X10" s="6" t="s">
        <v>32</v>
      </c>
      <c r="Y10" s="6">
        <f>VLOOKUP(Big12Table15[[#This Row],[Big 12]],KenPomTable[],2)</f>
        <v>51</v>
      </c>
      <c r="Z10" s="17" t="s">
        <v>72</v>
      </c>
      <c r="AA10" s="17">
        <f>VLOOKUP(Pac12Table16[[#This Row],[Pac 12]],KenPomTable[],2)</f>
        <v>74</v>
      </c>
      <c r="AB10" s="6" t="s">
        <v>763</v>
      </c>
      <c r="AC10" s="6">
        <f>VLOOKUP(SECTable17[[#This Row],[SEC]],KenPomTable[],2)</f>
        <v>40</v>
      </c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</row>
    <row r="11" spans="1:45">
      <c r="A11" s="5">
        <v>44928</v>
      </c>
      <c r="B11" s="5">
        <v>44934</v>
      </c>
      <c r="C11" s="8" t="s">
        <v>11</v>
      </c>
      <c r="D11" s="6"/>
      <c r="E11" s="6"/>
      <c r="J11" s="28" t="s">
        <v>81</v>
      </c>
      <c r="K11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1" s="11">
        <f>VLOOKUP(Teams[[#This Row],[Teams]],KenPomTable[],2)</f>
        <v>47</v>
      </c>
      <c r="M11" s="11" t="s">
        <v>25</v>
      </c>
      <c r="N11" s="16" t="str">
        <f>IF(Teams[[#This Row],[Gm/Wk]]=1, _xlfn.XLOOKUP(Teams[[#This Row],[Teams]],Schedule[Home],Schedule[Away],_xlfn.XLOOKUP(Teams[[#This Row],[Teams]],Schedule[Away],Schedule[Home],"???")),"")</f>
        <v>New Orleans</v>
      </c>
      <c r="O11" s="9">
        <f>IF(Teams[[#This Row],[Opponent]]="","",VLOOKUP(Teams[[#This Row],[Opponent]],KenPomTable[],2))</f>
        <v>329</v>
      </c>
      <c r="P11" s="11">
        <f>IF(Teams[[#This Row],[Opponent]]="","",Teams[[#This Row],[KP Opp]]-Teams[[#This Row],[KP]])</f>
        <v>282</v>
      </c>
      <c r="R11" s="17" t="s">
        <v>770</v>
      </c>
      <c r="S11" s="17">
        <f>VLOOKUP(ACCTable12[[#This Row],[ACC]],KenPomTable[],2)</f>
        <v>72</v>
      </c>
      <c r="T11" s="17" t="s">
        <v>155</v>
      </c>
      <c r="U11" s="17">
        <f>VLOOKUP(BigEastTable13[[#This Row],[Big East]],KenPomTable[],2)</f>
        <v>90</v>
      </c>
      <c r="V11" s="6" t="s">
        <v>64</v>
      </c>
      <c r="W11" s="6">
        <f>VLOOKUP(BigTenTable14[[#This Row],[Big Ten]],KenPomTable[],2)</f>
        <v>39</v>
      </c>
      <c r="X11" s="23" t="s">
        <v>747</v>
      </c>
      <c r="Y11" s="23">
        <f>VLOOKUP(Big12Table15[[#This Row],[Big 12]],KenPomTable[],2)</f>
        <v>60</v>
      </c>
      <c r="Z11" s="17" t="s">
        <v>719</v>
      </c>
      <c r="AA11" s="17">
        <f>VLOOKUP(Pac12Table16[[#This Row],[Pac 12]],KenPomTable[],2)</f>
        <v>79</v>
      </c>
      <c r="AB11" s="6" t="s">
        <v>762</v>
      </c>
      <c r="AC11" s="6">
        <f>VLOOKUP(SECTable17[[#This Row],[SEC]],KenPomTable[],2)</f>
        <v>46</v>
      </c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</row>
    <row r="12" spans="1:45">
      <c r="A12" s="5">
        <v>44935</v>
      </c>
      <c r="B12" s="5">
        <v>44941</v>
      </c>
      <c r="C12" s="8" t="s">
        <v>12</v>
      </c>
      <c r="D12" s="6"/>
      <c r="E12" s="6"/>
      <c r="J12" s="7" t="s">
        <v>778</v>
      </c>
      <c r="K12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2" s="11">
        <f>VLOOKUP(Teams[[#This Row],[Teams]],KenPomTable[],2)</f>
        <v>42</v>
      </c>
      <c r="M12" s="11" t="s">
        <v>225</v>
      </c>
      <c r="N12" s="16" t="str">
        <f>IF(Teams[[#This Row],[Gm/Wk]]=1, _xlfn.XLOOKUP(Teams[[#This Row],[Teams]],Schedule[Home],Schedule[Away],_xlfn.XLOOKUP(Teams[[#This Row],[Teams]],Schedule[Away],Schedule[Home],"???")),"")</f>
        <v>UCF</v>
      </c>
      <c r="O12" s="9">
        <f>IF(Teams[[#This Row],[Opponent]]="","",VLOOKUP(Teams[[#This Row],[Opponent]],KenPomTable[],2))</f>
        <v>82</v>
      </c>
      <c r="P12" s="11">
        <f>IF(Teams[[#This Row],[Opponent]]="","",Teams[[#This Row],[KP Opp]]-Teams[[#This Row],[KP]])</f>
        <v>40</v>
      </c>
      <c r="R12" s="17" t="s">
        <v>53</v>
      </c>
      <c r="S12" s="17">
        <f>VLOOKUP(ACCTable12[[#This Row],[ACC]],KenPomTable[],2)</f>
        <v>76</v>
      </c>
      <c r="T12" s="17" t="s">
        <v>41</v>
      </c>
      <c r="U12" s="17">
        <f>VLOOKUP(BigEastTable13[[#This Row],[Big East]],KenPomTable[],2)</f>
        <v>100</v>
      </c>
      <c r="V12" s="23" t="s">
        <v>65</v>
      </c>
      <c r="W12" s="23">
        <f>VLOOKUP(BigTenTable14[[#This Row],[Big Ten]],KenPomTable[],2)</f>
        <v>41</v>
      </c>
      <c r="X12" s="17" t="s">
        <v>750</v>
      </c>
      <c r="Y12" s="6">
        <f>VLOOKUP(Big12Table15[[#This Row],[Big 12]],KenPomTable[],2)</f>
        <v>68</v>
      </c>
      <c r="Z12" s="17" t="s">
        <v>71</v>
      </c>
      <c r="AA12" s="17">
        <f>VLOOKUP(Pac12Table16[[#This Row],[Pac 12]],KenPomTable[],2)</f>
        <v>108</v>
      </c>
      <c r="AB12" s="6" t="s">
        <v>81</v>
      </c>
      <c r="AC12" s="6">
        <f>VLOOKUP(SECTable17[[#This Row],[SEC]],KenPomTable[],2)</f>
        <v>47</v>
      </c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</row>
    <row r="13" spans="1:45">
      <c r="A13" s="5">
        <v>44942</v>
      </c>
      <c r="B13" s="5">
        <v>44948</v>
      </c>
      <c r="C13" s="8" t="s">
        <v>13</v>
      </c>
      <c r="D13" s="6"/>
      <c r="E13" s="6"/>
      <c r="J13" s="28" t="s">
        <v>65</v>
      </c>
      <c r="K13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3" s="11">
        <f>VLOOKUP(Teams[[#This Row],[Teams]],KenPomTable[],2)</f>
        <v>41</v>
      </c>
      <c r="M13" s="11" t="s">
        <v>226</v>
      </c>
      <c r="N13" s="16" t="str">
        <f>IF(Teams[[#This Row],[Gm/Wk]]=1, _xlfn.XLOOKUP(Teams[[#This Row],[Teams]],Schedule[Home],Schedule[Away],_xlfn.XLOOKUP(Teams[[#This Row],[Teams]],Schedule[Away],Schedule[Home],"???")),"")</f>
        <v>Green Bay</v>
      </c>
      <c r="O13" s="9">
        <f>IF(Teams[[#This Row],[Opponent]]="","",VLOOKUP(Teams[[#This Row],[Opponent]],KenPomTable[],2))</f>
        <v>356</v>
      </c>
      <c r="P13" s="11">
        <f>IF(Teams[[#This Row],[Opponent]]="","",Teams[[#This Row],[KP Opp]]-Teams[[#This Row],[KP]])</f>
        <v>315</v>
      </c>
      <c r="R13" s="17" t="s">
        <v>54</v>
      </c>
      <c r="S13" s="17">
        <f>VLOOKUP(ACCTable12[[#This Row],[ACC]],KenPomTable[],2)</f>
        <v>84</v>
      </c>
      <c r="T13" s="23" t="s">
        <v>42</v>
      </c>
      <c r="U13" s="23">
        <f>VLOOKUP(BigEastTable13[[#This Row],[Big East]],KenPomTable[],2)</f>
        <v>121</v>
      </c>
      <c r="V13" s="6" t="s">
        <v>56</v>
      </c>
      <c r="W13" s="6">
        <f>VLOOKUP(BigTenTable14[[#This Row],[Big Ten]],KenPomTable[],2)</f>
        <v>49</v>
      </c>
      <c r="Z13" s="17" t="s">
        <v>164</v>
      </c>
      <c r="AA13" s="17">
        <f>VLOOKUP(Pac12Table16[[#This Row],[Pac 12]],KenPomTable[],2)</f>
        <v>169</v>
      </c>
      <c r="AB13" s="6" t="s">
        <v>87</v>
      </c>
      <c r="AC13" s="6">
        <f>VLOOKUP(SECTable17[[#This Row],[SEC]],KenPomTable[],2)</f>
        <v>56</v>
      </c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</row>
    <row r="14" spans="1:45">
      <c r="A14" s="5">
        <v>44949</v>
      </c>
      <c r="B14" s="5">
        <v>44955</v>
      </c>
      <c r="C14" s="8" t="s">
        <v>14</v>
      </c>
      <c r="D14" s="6"/>
      <c r="E14" s="6"/>
      <c r="J14" s="7" t="s">
        <v>763</v>
      </c>
      <c r="K14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4" s="11">
        <f>VLOOKUP(Teams[[#This Row],[Teams]],KenPomTable[],2)</f>
        <v>40</v>
      </c>
      <c r="M14" s="11" t="s">
        <v>25</v>
      </c>
      <c r="N14" s="16" t="str">
        <f>IF(Teams[[#This Row],[Gm/Wk]]=1, _xlfn.XLOOKUP(Teams[[#This Row],[Teams]],Schedule[Home],Schedule[Away],_xlfn.XLOOKUP(Teams[[#This Row],[Teams]],Schedule[Away],Schedule[Home],"???")),"")</f>
        <v>South Dakota</v>
      </c>
      <c r="O14" s="9">
        <f>IF(Teams[[#This Row],[Opponent]]="","",VLOOKUP(Teams[[#This Row],[Opponent]],KenPomTable[],2))</f>
        <v>165</v>
      </c>
      <c r="P14" s="11">
        <f>IF(Teams[[#This Row],[Opponent]]="","",Teams[[#This Row],[KP Opp]]-Teams[[#This Row],[KP]])</f>
        <v>125</v>
      </c>
      <c r="R14" s="17" t="s">
        <v>737</v>
      </c>
      <c r="S14" s="17">
        <f>VLOOKUP(ACCTable12[[#This Row],[ACC]],KenPomTable[],2)</f>
        <v>92</v>
      </c>
      <c r="T14" s="6"/>
      <c r="U14" s="6"/>
      <c r="V14" s="17" t="s">
        <v>68</v>
      </c>
      <c r="W14" s="17">
        <f>VLOOKUP(BigTenTable14[[#This Row],[Big Ten]],KenPomTable[],2)</f>
        <v>69</v>
      </c>
      <c r="X14" s="6"/>
      <c r="Y14" s="6"/>
      <c r="Z14" s="17" t="s">
        <v>779</v>
      </c>
      <c r="AA14" s="17">
        <f>VLOOKUP(Pac12Table16[[#This Row],[Pac 12]],KenPomTable[],2)</f>
        <v>215</v>
      </c>
      <c r="AB14" s="17" t="s">
        <v>90</v>
      </c>
      <c r="AC14" s="17">
        <f>VLOOKUP(SECTable17[[#This Row],[SEC]],KenPomTable[],2)</f>
        <v>83</v>
      </c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</row>
    <row r="15" spans="1:45">
      <c r="A15" s="5">
        <v>44956</v>
      </c>
      <c r="B15" s="5">
        <v>44962</v>
      </c>
      <c r="C15" s="8" t="s">
        <v>15</v>
      </c>
      <c r="D15" s="6"/>
      <c r="E15" s="6"/>
      <c r="J15" s="7" t="s">
        <v>64</v>
      </c>
      <c r="K15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5" s="11">
        <f>VLOOKUP(Teams[[#This Row],[Teams]],KenPomTable[],2)</f>
        <v>39</v>
      </c>
      <c r="M15" s="11" t="s">
        <v>226</v>
      </c>
      <c r="N15" s="16" t="str">
        <f>IF(Teams[[#This Row],[Gm/Wk]]=1, _xlfn.XLOOKUP(Teams[[#This Row],[Teams]],Schedule[Home],Schedule[Away],_xlfn.XLOOKUP(Teams[[#This Row],[Teams]],Schedule[Away],Schedule[Home],"???")),"")</f>
        <v>Temple</v>
      </c>
      <c r="O15" s="9">
        <f>IF(Teams[[#This Row],[Opponent]]="","",VLOOKUP(Teams[[#This Row],[Opponent]],KenPomTable[],2))</f>
        <v>97</v>
      </c>
      <c r="P15" s="11">
        <f>IF(Teams[[#This Row],[Opponent]]="","",Teams[[#This Row],[KP Opp]]-Teams[[#This Row],[KP]])</f>
        <v>58</v>
      </c>
      <c r="R15" s="17" t="s">
        <v>43</v>
      </c>
      <c r="S15" s="17">
        <f>VLOOKUP(ACCTable12[[#This Row],[ACC]],KenPomTable[],2)</f>
        <v>104</v>
      </c>
      <c r="T15" s="6"/>
      <c r="U15" s="6"/>
      <c r="V15" s="17" t="s">
        <v>67</v>
      </c>
      <c r="W15" s="17">
        <f>VLOOKUP(BigTenTable14[[#This Row],[Big Ten]],KenPomTable[],2)</f>
        <v>114</v>
      </c>
      <c r="Z15" s="6"/>
      <c r="AA15" s="6"/>
      <c r="AB15" s="17" t="s">
        <v>185</v>
      </c>
      <c r="AC15" s="17">
        <f>VLOOKUP(SECTable17[[#This Row],[SEC]],KenPomTable[],2)</f>
        <v>89</v>
      </c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</row>
    <row r="16" spans="1:45">
      <c r="A16" s="5">
        <v>44963</v>
      </c>
      <c r="B16" s="5">
        <v>44969</v>
      </c>
      <c r="C16" s="8" t="s">
        <v>16</v>
      </c>
      <c r="D16" s="6"/>
      <c r="E16" s="6"/>
      <c r="J16" s="7" t="s">
        <v>91</v>
      </c>
      <c r="K16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6" s="11">
        <f>VLOOKUP(Teams[[#This Row],[Teams]],KenPomTable[],2)</f>
        <v>33</v>
      </c>
      <c r="M16" s="11" t="s">
        <v>25</v>
      </c>
      <c r="N16" s="16" t="str">
        <f>IF(Teams[[#This Row],[Gm/Wk]]=1, _xlfn.XLOOKUP(Teams[[#This Row],[Teams]],Schedule[Home],Schedule[Away],_xlfn.XLOOKUP(Teams[[#This Row],[Teams]],Schedule[Away],Schedule[Home],"???")),"")</f>
        <v>Murray State</v>
      </c>
      <c r="O16" s="9">
        <f>IF(Teams[[#This Row],[Opponent]]="","",VLOOKUP(Teams[[#This Row],[Opponent]],KenPomTable[],2))</f>
        <v>135</v>
      </c>
      <c r="P16" s="11">
        <f>IF(Teams[[#This Row],[Opponent]]="","",Teams[[#This Row],[KP Opp]]-Teams[[#This Row],[KP]])</f>
        <v>102</v>
      </c>
      <c r="R16" s="17" t="s">
        <v>49</v>
      </c>
      <c r="S16" s="17">
        <f>VLOOKUP(ACCTable12[[#This Row],[ACC]],KenPomTable[],2)</f>
        <v>105</v>
      </c>
      <c r="T16" s="6"/>
      <c r="U16" s="6"/>
      <c r="V16" s="17" t="s">
        <v>63</v>
      </c>
      <c r="W16" s="17">
        <f>VLOOKUP(BigTenTable14[[#This Row],[Big Ten]],KenPomTable[],2)</f>
        <v>118</v>
      </c>
      <c r="Z16" s="6"/>
      <c r="AA16" s="6"/>
      <c r="AB16" s="17" t="s">
        <v>89</v>
      </c>
      <c r="AC16" s="17">
        <f>VLOOKUP(SECTable17[[#This Row],[SEC]],KenPomTable[],2)</f>
        <v>95</v>
      </c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</row>
    <row r="17" spans="1:46">
      <c r="A17" s="5">
        <v>44970</v>
      </c>
      <c r="B17" s="5">
        <v>44976</v>
      </c>
      <c r="C17" s="8" t="s">
        <v>17</v>
      </c>
      <c r="D17" s="6"/>
      <c r="E17" s="6"/>
      <c r="J17" s="7" t="s">
        <v>777</v>
      </c>
      <c r="K17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7" s="11">
        <f>VLOOKUP(Teams[[#This Row],[Teams]],KenPomTable[],2)</f>
        <v>26</v>
      </c>
      <c r="M17" s="11" t="s">
        <v>226</v>
      </c>
      <c r="N17" s="16" t="str">
        <f>IF(Teams[[#This Row],[Gm/Wk]]=1, _xlfn.XLOOKUP(Teams[[#This Row],[Teams]],Schedule[Home],Schedule[Away],_xlfn.XLOOKUP(Teams[[#This Row],[Teams]],Schedule[Away],Schedule[Home],"???")),"")</f>
        <v>Eastern Illinois</v>
      </c>
      <c r="O17" s="9">
        <f>IF(Teams[[#This Row],[Opponent]]="","",VLOOKUP(Teams[[#This Row],[Opponent]],KenPomTable[],2))</f>
        <v>354</v>
      </c>
      <c r="P17" s="11">
        <f>IF(Teams[[#This Row],[Opponent]]="","",Teams[[#This Row],[KP Opp]]-Teams[[#This Row],[KP]])</f>
        <v>328</v>
      </c>
      <c r="R17" s="17" t="s">
        <v>50</v>
      </c>
      <c r="S17" s="17">
        <f>VLOOKUP(ACCTable12[[#This Row],[ACC]],KenPomTable[],2)</f>
        <v>115</v>
      </c>
      <c r="T17" s="6"/>
      <c r="U17" s="6"/>
      <c r="V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</row>
    <row r="18" spans="1:46">
      <c r="A18" s="5">
        <v>44977</v>
      </c>
      <c r="B18" s="5">
        <v>44983</v>
      </c>
      <c r="C18" s="8" t="s">
        <v>18</v>
      </c>
      <c r="D18" s="6"/>
      <c r="E18" s="6"/>
      <c r="J18" s="26" t="s">
        <v>58</v>
      </c>
      <c r="K18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8" s="11">
        <f>VLOOKUP(Teams[[#This Row],[Teams]],KenPomTable[],2)</f>
        <v>22</v>
      </c>
      <c r="M18" s="11" t="s">
        <v>226</v>
      </c>
      <c r="N18" s="16" t="str">
        <f>IF(Teams[[#This Row],[Gm/Wk]]=1, _xlfn.XLOOKUP(Teams[[#This Row],[Teams]],Schedule[Home],Schedule[Away],_xlfn.XLOOKUP(Teams[[#This Row],[Teams]],Schedule[Away],Schedule[Home],"???")),"")</f>
        <v>Marquette</v>
      </c>
      <c r="O18" s="9">
        <f>IF(Teams[[#This Row],[Opponent]]="","",VLOOKUP(Teams[[#This Row],[Opponent]],KenPomTable[],2))</f>
        <v>75</v>
      </c>
      <c r="P18" s="11">
        <f>IF(Teams[[#This Row],[Opponent]]="","",Teams[[#This Row],[KP Opp]]-Teams[[#This Row],[KP]])</f>
        <v>53</v>
      </c>
      <c r="R18" s="6"/>
      <c r="S18" s="6"/>
      <c r="T18" s="6"/>
      <c r="U18" s="6"/>
      <c r="V18" s="6"/>
      <c r="W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</row>
    <row r="19" spans="1:46">
      <c r="A19" s="5">
        <v>44984</v>
      </c>
      <c r="B19" s="5">
        <v>44990</v>
      </c>
      <c r="C19" s="8" t="s">
        <v>19</v>
      </c>
      <c r="D19" s="6"/>
      <c r="E19" s="6"/>
      <c r="J19" s="7" t="s">
        <v>27</v>
      </c>
      <c r="K19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19" s="11">
        <f>VLOOKUP(Teams[[#This Row],[Teams]],KenPomTable[],2)</f>
        <v>21</v>
      </c>
      <c r="M19" s="11" t="s">
        <v>225</v>
      </c>
      <c r="N19" s="16" t="str">
        <f>IF(Teams[[#This Row],[Gm/Wk]]=1, _xlfn.XLOOKUP(Teams[[#This Row],[Teams]],Schedule[Home],Schedule[Away],_xlfn.XLOOKUP(Teams[[#This Row],[Teams]],Schedule[Away],Schedule[Home],"???")),"")</f>
        <v>Louisiana Tech</v>
      </c>
      <c r="O19" s="9">
        <f>IF(Teams[[#This Row],[Opponent]]="","",VLOOKUP(Teams[[#This Row],[Opponent]],KenPomTable[],2))</f>
        <v>140</v>
      </c>
      <c r="P19" s="11">
        <f>IF(Teams[[#This Row],[Opponent]]="","",Teams[[#This Row],[KP Opp]]-Teams[[#This Row],[KP]])</f>
        <v>119</v>
      </c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</row>
    <row r="20" spans="1:46">
      <c r="J20" s="7" t="s">
        <v>61</v>
      </c>
      <c r="K20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20" s="11">
        <f>VLOOKUP(Teams[[#This Row],[Teams]],KenPomTable[],2)</f>
        <v>19</v>
      </c>
      <c r="M20" s="11" t="s">
        <v>226</v>
      </c>
      <c r="N20" s="16" t="str">
        <f>IF(Teams[[#This Row],[Gm/Wk]]=1, _xlfn.XLOOKUP(Teams[[#This Row],[Teams]],Schedule[Home],Schedule[Away],_xlfn.XLOOKUP(Teams[[#This Row],[Teams]],Schedule[Away],Schedule[Home],"???")),"")</f>
        <v>Omaha</v>
      </c>
      <c r="O20" s="9">
        <f>IF(Teams[[#This Row],[Opponent]]="","",VLOOKUP(Teams[[#This Row],[Opponent]],KenPomTable[],2))</f>
        <v>164</v>
      </c>
      <c r="P20" s="11">
        <f>IF(Teams[[#This Row],[Opponent]]="","",Teams[[#This Row],[KP Opp]]-Teams[[#This Row],[KP]])</f>
        <v>145</v>
      </c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</row>
    <row r="21" spans="1:46">
      <c r="B21" s="6"/>
      <c r="J21" s="7" t="s">
        <v>52</v>
      </c>
      <c r="K21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21" s="11">
        <f>VLOOKUP(Teams[[#This Row],[Teams]],KenPomTable[],2)</f>
        <v>18</v>
      </c>
      <c r="M21" s="11" t="s">
        <v>20</v>
      </c>
      <c r="N21" s="16" t="str">
        <f>IF(Teams[[#This Row],[Gm/Wk]]=1, _xlfn.XLOOKUP(Teams[[#This Row],[Teams]],Schedule[Home],Schedule[Away],_xlfn.XLOOKUP(Teams[[#This Row],[Teams]],Schedule[Away],Schedule[Home],"???")),"")</f>
        <v>Old Dominion</v>
      </c>
      <c r="O21" s="9">
        <f>IF(Teams[[#This Row],[Opponent]]="","",VLOOKUP(Teams[[#This Row],[Opponent]],KenPomTable[],2))</f>
        <v>164</v>
      </c>
      <c r="P21" s="11">
        <f>IF(Teams[[#This Row],[Opponent]]="","",Teams[[#This Row],[KP Opp]]-Teams[[#This Row],[KP]])</f>
        <v>146</v>
      </c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</row>
    <row r="22" spans="1:46">
      <c r="J22" s="7" t="s">
        <v>84</v>
      </c>
      <c r="K22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22" s="11">
        <f>VLOOKUP(Teams[[#This Row],[Teams]],KenPomTable[],2)</f>
        <v>14</v>
      </c>
      <c r="M22" s="11" t="s">
        <v>25</v>
      </c>
      <c r="N22" s="16" t="str">
        <f>IF(Teams[[#This Row],[Gm/Wk]]=1, _xlfn.XLOOKUP(Teams[[#This Row],[Teams]],Schedule[Home],Schedule[Away],_xlfn.XLOOKUP(Teams[[#This Row],[Teams]],Schedule[Away],Schedule[Home],"???")),"")</f>
        <v>South Dakota State</v>
      </c>
      <c r="O22" s="9">
        <f>IF(Teams[[#This Row],[Opponent]]="","",VLOOKUP(Teams[[#This Row],[Opponent]],KenPomTable[],2))</f>
        <v>125</v>
      </c>
      <c r="P22" s="11">
        <f>IF(Teams[[#This Row],[Opponent]]="","",Teams[[#This Row],[KP Opp]]-Teams[[#This Row],[KP]])</f>
        <v>111</v>
      </c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</row>
    <row r="23" spans="1:46">
      <c r="J23" s="7" t="s">
        <v>70</v>
      </c>
      <c r="K23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23" s="11">
        <f>VLOOKUP(Teams[[#This Row],[Teams]],KenPomTable[],2)</f>
        <v>13</v>
      </c>
      <c r="M23" s="11" t="s">
        <v>224</v>
      </c>
      <c r="N23" s="16" t="str">
        <f>IF(Teams[[#This Row],[Gm/Wk]]=1, _xlfn.XLOOKUP(Teams[[#This Row],[Teams]],Schedule[Home],Schedule[Away],_xlfn.XLOOKUP(Teams[[#This Row],[Teams]],Schedule[Away],Schedule[Home],"???")),"")</f>
        <v>Utah Tech</v>
      </c>
      <c r="O23" s="9">
        <f>IF(Teams[[#This Row],[Opponent]]="","",VLOOKUP(Teams[[#This Row],[Opponent]],KenPomTable[],2))</f>
        <v>266</v>
      </c>
      <c r="P23" s="11">
        <f>IF(Teams[[#This Row],[Opponent]]="","",Teams[[#This Row],[KP Opp]]-Teams[[#This Row],[KP]])</f>
        <v>253</v>
      </c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</row>
    <row r="24" spans="1:46">
      <c r="J24" s="7" t="s">
        <v>86</v>
      </c>
      <c r="K24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24" s="11">
        <f>VLOOKUP(Teams[[#This Row],[Teams]],KenPomTable[],2)</f>
        <v>4</v>
      </c>
      <c r="M24" s="11" t="s">
        <v>25</v>
      </c>
      <c r="N24" s="16" t="str">
        <f>IF(Teams[[#This Row],[Gm/Wk]]=1, _xlfn.XLOOKUP(Teams[[#This Row],[Teams]],Schedule[Home],Schedule[Away],_xlfn.XLOOKUP(Teams[[#This Row],[Teams]],Schedule[Away],Schedule[Home],"???")),"")</f>
        <v>Florida Gulf Coast</v>
      </c>
      <c r="O24" s="9">
        <f>IF(Teams[[#This Row],[Opponent]]="","",VLOOKUP(Teams[[#This Row],[Opponent]],KenPomTable[],2))</f>
        <v>207</v>
      </c>
      <c r="P24" s="11">
        <f>IF(Teams[[#This Row],[Opponent]]="","",Teams[[#This Row],[KP Opp]]-Teams[[#This Row],[KP]])</f>
        <v>203</v>
      </c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</row>
    <row r="25" spans="1:46">
      <c r="J25" s="7" t="s">
        <v>30</v>
      </c>
      <c r="K25" s="9">
        <f>SUM(COUNTIFS(Schedule[Home],Teams[[#This Row],[Teams]],Schedule[Date],"&gt;="&amp;$G$3,Schedule[Date],"&lt;="&amp;$H$3),COUNTIFS(Schedule[Away],Teams[[#This Row],[Teams]],Schedule[Date],"&gt;="&amp;$G$3,Schedule[Date],"&lt;="&amp;$H$3))</f>
        <v>1</v>
      </c>
      <c r="L25" s="11">
        <f>VLOOKUP(Teams[[#This Row],[Teams]],KenPomTable[],2)</f>
        <v>2</v>
      </c>
      <c r="M25" s="11" t="s">
        <v>225</v>
      </c>
      <c r="N25" s="16" t="str">
        <f>IF(Teams[[#This Row],[Gm/Wk]]=1, _xlfn.XLOOKUP(Teams[[#This Row],[Teams]],Schedule[Home],Schedule[Away],_xlfn.XLOOKUP(Teams[[#This Row],[Teams]],Schedule[Away],Schedule[Home],"???")),"")</f>
        <v>Gonzaga</v>
      </c>
      <c r="O25" s="9">
        <f>IF(Teams[[#This Row],[Opponent]]="","",VLOOKUP(Teams[[#This Row],[Opponent]],KenPomTable[],2))</f>
        <v>3</v>
      </c>
      <c r="P25" s="11">
        <f>IF(Teams[[#This Row],[Opponent]]="","",Teams[[#This Row],[KP Opp]]-Teams[[#This Row],[KP]])</f>
        <v>1</v>
      </c>
      <c r="U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</row>
    <row r="26" spans="1:46">
      <c r="J26" s="24" t="s">
        <v>779</v>
      </c>
      <c r="K26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26" s="11">
        <f>VLOOKUP(Teams[[#This Row],[Teams]],KenPomTable[],2)</f>
        <v>215</v>
      </c>
      <c r="M26" s="11" t="s">
        <v>224</v>
      </c>
      <c r="N26" s="16" t="str">
        <f>IF(Teams[[#This Row],[Gm/Wk]]=1, _xlfn.XLOOKUP(Teams[[#This Row],[Teams]],Schedule[Home],Schedule[Away],_xlfn.XLOOKUP(Teams[[#This Row],[Teams]],Schedule[Away],Schedule[Home],"???")),"")</f>
        <v/>
      </c>
      <c r="O26" s="9" t="str">
        <f>IF(Teams[[#This Row],[Opponent]]="","",VLOOKUP(Teams[[#This Row],[Opponent]],KenPomTable[],2))</f>
        <v/>
      </c>
      <c r="P26" s="11" t="str">
        <f>IF(Teams[[#This Row],[Opponent]]="","",Teams[[#This Row],[KP Opp]]-Teams[[#This Row],[KP]])</f>
        <v/>
      </c>
      <c r="U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</row>
    <row r="27" spans="1:46">
      <c r="J27" s="24" t="s">
        <v>164</v>
      </c>
      <c r="K27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27" s="11">
        <f>VLOOKUP(Teams[[#This Row],[Teams]],KenPomTable[],2)</f>
        <v>169</v>
      </c>
      <c r="M27" s="11" t="s">
        <v>224</v>
      </c>
      <c r="N27" s="16" t="str">
        <f>IF(Teams[[#This Row],[Gm/Wk]]=1, _xlfn.XLOOKUP(Teams[[#This Row],[Teams]],Schedule[Home],Schedule[Away],_xlfn.XLOOKUP(Teams[[#This Row],[Teams]],Schedule[Away],Schedule[Home],"???")),"")</f>
        <v/>
      </c>
      <c r="O27" s="9" t="str">
        <f>IF(Teams[[#This Row],[Opponent]]="","",VLOOKUP(Teams[[#This Row],[Opponent]],KenPomTable[],2))</f>
        <v/>
      </c>
      <c r="P27" s="11" t="str">
        <f>IF(Teams[[#This Row],[Opponent]]="","",Teams[[#This Row],[KP Opp]]-Teams[[#This Row],[KP]])</f>
        <v/>
      </c>
      <c r="U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</row>
    <row r="28" spans="1:46">
      <c r="J28" s="24" t="s">
        <v>63</v>
      </c>
      <c r="K28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28" s="11">
        <f>VLOOKUP(Teams[[#This Row],[Teams]],KenPomTable[],2)</f>
        <v>118</v>
      </c>
      <c r="M28" s="11" t="s">
        <v>226</v>
      </c>
      <c r="N28" s="16" t="str">
        <f>IF(Teams[[#This Row],[Gm/Wk]]=1, _xlfn.XLOOKUP(Teams[[#This Row],[Teams]],Schedule[Home],Schedule[Away],_xlfn.XLOOKUP(Teams[[#This Row],[Teams]],Schedule[Away],Schedule[Home],"???")),"")</f>
        <v/>
      </c>
      <c r="O28" s="9" t="str">
        <f>IF(Teams[[#This Row],[Opponent]]="","",VLOOKUP(Teams[[#This Row],[Opponent]],KenPomTable[],2))</f>
        <v/>
      </c>
      <c r="P28" s="11" t="str">
        <f>IF(Teams[[#This Row],[Opponent]]="","",Teams[[#This Row],[KP Opp]]-Teams[[#This Row],[KP]])</f>
        <v/>
      </c>
      <c r="U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</row>
    <row r="29" spans="1:46">
      <c r="J29" s="24" t="s">
        <v>67</v>
      </c>
      <c r="K29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29" s="11">
        <f>VLOOKUP(Teams[[#This Row],[Teams]],KenPomTable[],2)</f>
        <v>114</v>
      </c>
      <c r="M29" s="11" t="s">
        <v>226</v>
      </c>
      <c r="N29" s="16" t="str">
        <f>IF(Teams[[#This Row],[Gm/Wk]]=1, _xlfn.XLOOKUP(Teams[[#This Row],[Teams]],Schedule[Home],Schedule[Away],_xlfn.XLOOKUP(Teams[[#This Row],[Teams]],Schedule[Away],Schedule[Home],"???")),"")</f>
        <v/>
      </c>
      <c r="O29" s="9" t="str">
        <f>IF(Teams[[#This Row],[Opponent]]="","",VLOOKUP(Teams[[#This Row],[Opponent]],KenPomTable[],2))</f>
        <v/>
      </c>
      <c r="P29" s="11" t="str">
        <f>IF(Teams[[#This Row],[Opponent]]="","",Teams[[#This Row],[KP Opp]]-Teams[[#This Row],[KP]])</f>
        <v/>
      </c>
      <c r="U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</row>
    <row r="30" spans="1:46">
      <c r="J30" s="24" t="s">
        <v>71</v>
      </c>
      <c r="K30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0" s="11">
        <f>VLOOKUP(Teams[[#This Row],[Teams]],KenPomTable[],2)</f>
        <v>108</v>
      </c>
      <c r="M30" s="11" t="s">
        <v>224</v>
      </c>
      <c r="N30" s="16" t="str">
        <f>IF(Teams[[#This Row],[Gm/Wk]]=1, _xlfn.XLOOKUP(Teams[[#This Row],[Teams]],Schedule[Home],Schedule[Away],_xlfn.XLOOKUP(Teams[[#This Row],[Teams]],Schedule[Away],Schedule[Home],"???")),"")</f>
        <v/>
      </c>
      <c r="O30" s="9" t="str">
        <f>IF(Teams[[#This Row],[Opponent]]="","",VLOOKUP(Teams[[#This Row],[Opponent]],KenPomTable[],2))</f>
        <v/>
      </c>
      <c r="P30" s="11" t="str">
        <f>IF(Teams[[#This Row],[Opponent]]="","",Teams[[#This Row],[KP Opp]]-Teams[[#This Row],[KP]])</f>
        <v/>
      </c>
      <c r="U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</row>
    <row r="31" spans="1:46">
      <c r="J31" s="27" t="s">
        <v>49</v>
      </c>
      <c r="K31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1" s="11">
        <f>VLOOKUP(Teams[[#This Row],[Teams]],KenPomTable[],2)</f>
        <v>105</v>
      </c>
      <c r="M31" s="11" t="s">
        <v>20</v>
      </c>
      <c r="N31" s="16" t="str">
        <f>IF(Teams[[#This Row],[Gm/Wk]]=1, _xlfn.XLOOKUP(Teams[[#This Row],[Teams]],Schedule[Home],Schedule[Away],_xlfn.XLOOKUP(Teams[[#This Row],[Teams]],Schedule[Away],Schedule[Home],"???")),"")</f>
        <v/>
      </c>
      <c r="O31" s="9" t="str">
        <f>IF(Teams[[#This Row],[Opponent]]="","",VLOOKUP(Teams[[#This Row],[Opponent]],KenPomTable[],2))</f>
        <v/>
      </c>
      <c r="P31" s="11" t="str">
        <f>IF(Teams[[#This Row],[Opponent]]="","",Teams[[#This Row],[KP Opp]]-Teams[[#This Row],[KP]])</f>
        <v/>
      </c>
      <c r="R31" s="6"/>
      <c r="S31" s="6"/>
      <c r="T31" s="6"/>
      <c r="V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</row>
    <row r="32" spans="1:46">
      <c r="J32" s="24" t="s">
        <v>41</v>
      </c>
      <c r="K32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2" s="11">
        <f>VLOOKUP(Teams[[#This Row],[Teams]],KenPomTable[],2)</f>
        <v>100</v>
      </c>
      <c r="M32" s="11" t="s">
        <v>21</v>
      </c>
      <c r="N32" s="16" t="str">
        <f>IF(Teams[[#This Row],[Gm/Wk]]=1, _xlfn.XLOOKUP(Teams[[#This Row],[Teams]],Schedule[Home],Schedule[Away],_xlfn.XLOOKUP(Teams[[#This Row],[Teams]],Schedule[Away],Schedule[Home],"???")),"")</f>
        <v/>
      </c>
      <c r="O32" s="9" t="str">
        <f>IF(Teams[[#This Row],[Opponent]]="","",VLOOKUP(Teams[[#This Row],[Opponent]],KenPomTable[],2))</f>
        <v/>
      </c>
      <c r="P32" s="11" t="str">
        <f>IF(Teams[[#This Row],[Opponent]]="","",Teams[[#This Row],[KP Opp]]-Teams[[#This Row],[KP]])</f>
        <v/>
      </c>
      <c r="U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</row>
    <row r="33" spans="10:46">
      <c r="J33" s="24" t="s">
        <v>89</v>
      </c>
      <c r="K33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3" s="11">
        <f>VLOOKUP(Teams[[#This Row],[Teams]],KenPomTable[],2)</f>
        <v>95</v>
      </c>
      <c r="M33" s="11" t="s">
        <v>25</v>
      </c>
      <c r="N33" s="16" t="str">
        <f>IF(Teams[[#This Row],[Gm/Wk]]=1, _xlfn.XLOOKUP(Teams[[#This Row],[Teams]],Schedule[Home],Schedule[Away],_xlfn.XLOOKUP(Teams[[#This Row],[Teams]],Schedule[Away],Schedule[Home],"???")),"")</f>
        <v/>
      </c>
      <c r="O33" s="9" t="str">
        <f>IF(Teams[[#This Row],[Opponent]]="","",VLOOKUP(Teams[[#This Row],[Opponent]],KenPomTable[],2))</f>
        <v/>
      </c>
      <c r="P33" s="11" t="str">
        <f>IF(Teams[[#This Row],[Opponent]]="","",Teams[[#This Row],[KP Opp]]-Teams[[#This Row],[KP]])</f>
        <v/>
      </c>
      <c r="U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</row>
    <row r="34" spans="10:46">
      <c r="J34" s="24" t="s">
        <v>737</v>
      </c>
      <c r="K34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4" s="11">
        <f>VLOOKUP(Teams[[#This Row],[Teams]],KenPomTable[],2)</f>
        <v>92</v>
      </c>
      <c r="M34" s="11" t="s">
        <v>20</v>
      </c>
      <c r="N34" s="16" t="str">
        <f>IF(Teams[[#This Row],[Gm/Wk]]=1, _xlfn.XLOOKUP(Teams[[#This Row],[Teams]],Schedule[Home],Schedule[Away],_xlfn.XLOOKUP(Teams[[#This Row],[Teams]],Schedule[Away],Schedule[Home],"???")),"")</f>
        <v/>
      </c>
      <c r="O34" s="9" t="str">
        <f>IF(Teams[[#This Row],[Opponent]]="","",VLOOKUP(Teams[[#This Row],[Opponent]],KenPomTable[],2))</f>
        <v/>
      </c>
      <c r="P34" s="11" t="str">
        <f>IF(Teams[[#This Row],[Opponent]]="","",Teams[[#This Row],[KP Opp]]-Teams[[#This Row],[KP]])</f>
        <v/>
      </c>
      <c r="U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</row>
    <row r="35" spans="10:46">
      <c r="J35" s="24" t="s">
        <v>155</v>
      </c>
      <c r="K35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5" s="11">
        <f>VLOOKUP(Teams[[#This Row],[Teams]],KenPomTable[],2)</f>
        <v>90</v>
      </c>
      <c r="M35" s="11" t="s">
        <v>21</v>
      </c>
      <c r="N35" s="16" t="str">
        <f>IF(Teams[[#This Row],[Gm/Wk]]=1, _xlfn.XLOOKUP(Teams[[#This Row],[Teams]],Schedule[Home],Schedule[Away],_xlfn.XLOOKUP(Teams[[#This Row],[Teams]],Schedule[Away],Schedule[Home],"???")),"")</f>
        <v/>
      </c>
      <c r="O35" s="9" t="str">
        <f>IF(Teams[[#This Row],[Opponent]]="","",VLOOKUP(Teams[[#This Row],[Opponent]],KenPomTable[],2))</f>
        <v/>
      </c>
      <c r="P35" s="11" t="str">
        <f>IF(Teams[[#This Row],[Opponent]]="","",Teams[[#This Row],[KP Opp]]-Teams[[#This Row],[KP]])</f>
        <v/>
      </c>
      <c r="U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</row>
    <row r="36" spans="10:46">
      <c r="J36" s="24" t="s">
        <v>185</v>
      </c>
      <c r="K36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6" s="11">
        <f>VLOOKUP(Teams[[#This Row],[Teams]],KenPomTable[],2)</f>
        <v>89</v>
      </c>
      <c r="M36" s="11" t="s">
        <v>25</v>
      </c>
      <c r="N36" s="16" t="str">
        <f>IF(Teams[[#This Row],[Gm/Wk]]=1, _xlfn.XLOOKUP(Teams[[#This Row],[Teams]],Schedule[Home],Schedule[Away],_xlfn.XLOOKUP(Teams[[#This Row],[Teams]],Schedule[Away],Schedule[Home],"???")),"")</f>
        <v/>
      </c>
      <c r="O36" s="9" t="str">
        <f>IF(Teams[[#This Row],[Opponent]]="","",VLOOKUP(Teams[[#This Row],[Opponent]],KenPomTable[],2))</f>
        <v/>
      </c>
      <c r="P36" s="11" t="str">
        <f>IF(Teams[[#This Row],[Opponent]]="","",Teams[[#This Row],[KP Opp]]-Teams[[#This Row],[KP]])</f>
        <v/>
      </c>
      <c r="U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</row>
    <row r="37" spans="10:46">
      <c r="J37" s="25" t="s">
        <v>54</v>
      </c>
      <c r="K37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7" s="11">
        <f>VLOOKUP(Teams[[#This Row],[Teams]],KenPomTable[],2)</f>
        <v>84</v>
      </c>
      <c r="M37" s="11" t="s">
        <v>20</v>
      </c>
      <c r="N37" s="16" t="str">
        <f>IF(Teams[[#This Row],[Gm/Wk]]=1, _xlfn.XLOOKUP(Teams[[#This Row],[Teams]],Schedule[Home],Schedule[Away],_xlfn.XLOOKUP(Teams[[#This Row],[Teams]],Schedule[Away],Schedule[Home],"???")),"")</f>
        <v/>
      </c>
      <c r="O37" s="9" t="str">
        <f>IF(Teams[[#This Row],[Opponent]]="","",VLOOKUP(Teams[[#This Row],[Opponent]],KenPomTable[],2))</f>
        <v/>
      </c>
      <c r="P37" s="11" t="str">
        <f>IF(Teams[[#This Row],[Opponent]]="","",Teams[[#This Row],[KP Opp]]-Teams[[#This Row],[KP]])</f>
        <v/>
      </c>
      <c r="U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</row>
    <row r="38" spans="10:46">
      <c r="J38" s="24" t="s">
        <v>53</v>
      </c>
      <c r="K38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8" s="11">
        <f>VLOOKUP(Teams[[#This Row],[Teams]],KenPomTable[],2)</f>
        <v>76</v>
      </c>
      <c r="M38" s="11" t="s">
        <v>20</v>
      </c>
      <c r="N38" s="16" t="str">
        <f>IF(Teams[[#This Row],[Gm/Wk]]=1, _xlfn.XLOOKUP(Teams[[#This Row],[Teams]],Schedule[Home],Schedule[Away],_xlfn.XLOOKUP(Teams[[#This Row],[Teams]],Schedule[Away],Schedule[Home],"???")),"")</f>
        <v/>
      </c>
      <c r="O38" s="9" t="str">
        <f>IF(Teams[[#This Row],[Opponent]]="","",VLOOKUP(Teams[[#This Row],[Opponent]],KenPomTable[],2))</f>
        <v/>
      </c>
      <c r="P38" s="11" t="str">
        <f>IF(Teams[[#This Row],[Opponent]]="","",Teams[[#This Row],[KP Opp]]-Teams[[#This Row],[KP]])</f>
        <v/>
      </c>
      <c r="U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</row>
    <row r="39" spans="10:46">
      <c r="J39" s="7" t="s">
        <v>37</v>
      </c>
      <c r="K39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39" s="11">
        <f>VLOOKUP(Teams[[#This Row],[Teams]],KenPomTable[],2)</f>
        <v>75</v>
      </c>
      <c r="M39" s="11" t="s">
        <v>21</v>
      </c>
      <c r="N39" s="16" t="str">
        <f>IF(Teams[[#This Row],[Gm/Wk]]=1, _xlfn.XLOOKUP(Teams[[#This Row],[Teams]],Schedule[Home],Schedule[Away],_xlfn.XLOOKUP(Teams[[#This Row],[Teams]],Schedule[Away],Schedule[Home],"???")),"")</f>
        <v/>
      </c>
      <c r="O39" s="9" t="str">
        <f>IF(Teams[[#This Row],[Opponent]]="","",VLOOKUP(Teams[[#This Row],[Opponent]],KenPomTable[],2))</f>
        <v/>
      </c>
      <c r="P39" s="11" t="str">
        <f>IF(Teams[[#This Row],[Opponent]]="","",Teams[[#This Row],[KP Opp]]-Teams[[#This Row],[KP]])</f>
        <v/>
      </c>
      <c r="U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</row>
    <row r="40" spans="10:46">
      <c r="J40" s="24" t="s">
        <v>770</v>
      </c>
      <c r="K40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0" s="11">
        <f>VLOOKUP(Teams[[#This Row],[Teams]],KenPomTable[],2)</f>
        <v>72</v>
      </c>
      <c r="M40" s="11" t="s">
        <v>20</v>
      </c>
      <c r="N40" s="16" t="str">
        <f>IF(Teams[[#This Row],[Gm/Wk]]=1, _xlfn.XLOOKUP(Teams[[#This Row],[Teams]],Schedule[Home],Schedule[Away],_xlfn.XLOOKUP(Teams[[#This Row],[Teams]],Schedule[Away],Schedule[Home],"???")),"")</f>
        <v/>
      </c>
      <c r="O40" s="9" t="str">
        <f>IF(Teams[[#This Row],[Opponent]]="","",VLOOKUP(Teams[[#This Row],[Opponent]],KenPomTable[],2))</f>
        <v/>
      </c>
      <c r="P40" s="11" t="str">
        <f>IF(Teams[[#This Row],[Opponent]]="","",Teams[[#This Row],[KP Opp]]-Teams[[#This Row],[KP]])</f>
        <v/>
      </c>
      <c r="U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</row>
    <row r="41" spans="10:46">
      <c r="J41" s="24" t="s">
        <v>68</v>
      </c>
      <c r="K41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1" s="11">
        <f>VLOOKUP(Teams[[#This Row],[Teams]],KenPomTable[],2)</f>
        <v>69</v>
      </c>
      <c r="M41" s="11" t="s">
        <v>226</v>
      </c>
      <c r="N41" s="16" t="str">
        <f>IF(Teams[[#This Row],[Gm/Wk]]=1, _xlfn.XLOOKUP(Teams[[#This Row],[Teams]],Schedule[Home],Schedule[Away],_xlfn.XLOOKUP(Teams[[#This Row],[Teams]],Schedule[Away],Schedule[Home],"???")),"")</f>
        <v/>
      </c>
      <c r="O41" s="9" t="str">
        <f>IF(Teams[[#This Row],[Opponent]]="","",VLOOKUP(Teams[[#This Row],[Opponent]],KenPomTable[],2))</f>
        <v/>
      </c>
      <c r="P41" s="11" t="str">
        <f>IF(Teams[[#This Row],[Opponent]]="","",Teams[[#This Row],[KP Opp]]-Teams[[#This Row],[KP]])</f>
        <v/>
      </c>
      <c r="U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</row>
    <row r="42" spans="10:46">
      <c r="J42" s="26" t="s">
        <v>93</v>
      </c>
      <c r="K42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2" s="11">
        <f>VLOOKUP(Teams[[#This Row],[Teams]],KenPomTable[],2)</f>
        <v>65</v>
      </c>
      <c r="M42" s="11" t="s">
        <v>224</v>
      </c>
      <c r="N42" s="16" t="str">
        <f>IF(Teams[[#This Row],[Gm/Wk]]=1, _xlfn.XLOOKUP(Teams[[#This Row],[Teams]],Schedule[Home],Schedule[Away],_xlfn.XLOOKUP(Teams[[#This Row],[Teams]],Schedule[Away],Schedule[Home],"???")),"")</f>
        <v/>
      </c>
      <c r="O42" s="9" t="str">
        <f>IF(Teams[[#This Row],[Opponent]]="","",VLOOKUP(Teams[[#This Row],[Opponent]],KenPomTable[],2))</f>
        <v/>
      </c>
      <c r="P42" s="11" t="str">
        <f>IF(Teams[[#This Row],[Opponent]]="","",Teams[[#This Row],[KP Opp]]-Teams[[#This Row],[KP]])</f>
        <v/>
      </c>
      <c r="U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</row>
    <row r="43" spans="10:46">
      <c r="J43" s="7" t="s">
        <v>40</v>
      </c>
      <c r="K43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3" s="11">
        <f>VLOOKUP(Teams[[#This Row],[Teams]],KenPomTable[],2)</f>
        <v>64</v>
      </c>
      <c r="M43" s="11" t="s">
        <v>21</v>
      </c>
      <c r="N43" s="16" t="str">
        <f>IF(Teams[[#This Row],[Gm/Wk]]=1, _xlfn.XLOOKUP(Teams[[#This Row],[Teams]],Schedule[Home],Schedule[Away],_xlfn.XLOOKUP(Teams[[#This Row],[Teams]],Schedule[Away],Schedule[Home],"???")),"")</f>
        <v/>
      </c>
      <c r="O43" s="9" t="str">
        <f>IF(Teams[[#This Row],[Opponent]]="","",VLOOKUP(Teams[[#This Row],[Opponent]],KenPomTable[],2))</f>
        <v/>
      </c>
      <c r="P43" s="11" t="str">
        <f>IF(Teams[[#This Row],[Opponent]]="","",Teams[[#This Row],[KP Opp]]-Teams[[#This Row],[KP]])</f>
        <v/>
      </c>
      <c r="U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</row>
    <row r="44" spans="10:46">
      <c r="J44" s="7" t="s">
        <v>51</v>
      </c>
      <c r="K44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4" s="11">
        <f>VLOOKUP(Teams[[#This Row],[Teams]],KenPomTable[],2)</f>
        <v>62</v>
      </c>
      <c r="M44" s="11" t="s">
        <v>20</v>
      </c>
      <c r="N44" s="16" t="str">
        <f>IF(Teams[[#This Row],[Gm/Wk]]=1, _xlfn.XLOOKUP(Teams[[#This Row],[Teams]],Schedule[Home],Schedule[Away],_xlfn.XLOOKUP(Teams[[#This Row],[Teams]],Schedule[Away],Schedule[Home],"???")),"")</f>
        <v/>
      </c>
      <c r="O44" s="9" t="str">
        <f>IF(Teams[[#This Row],[Opponent]]="","",VLOOKUP(Teams[[#This Row],[Opponent]],KenPomTable[],2))</f>
        <v/>
      </c>
      <c r="P44" s="11" t="str">
        <f>IF(Teams[[#This Row],[Opponent]]="","",Teams[[#This Row],[KP Opp]]-Teams[[#This Row],[KP]])</f>
        <v/>
      </c>
      <c r="U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</row>
    <row r="45" spans="10:46" ht="15" customHeight="1">
      <c r="J45" s="7" t="s">
        <v>77</v>
      </c>
      <c r="K45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5" s="11">
        <f>VLOOKUP(Teams[[#This Row],[Teams]],KenPomTable[],2)</f>
        <v>59</v>
      </c>
      <c r="M45" s="11" t="s">
        <v>224</v>
      </c>
      <c r="N45" s="16" t="str">
        <f>IF(Teams[[#This Row],[Gm/Wk]]=1, _xlfn.XLOOKUP(Teams[[#This Row],[Teams]],Schedule[Home],Schedule[Away],_xlfn.XLOOKUP(Teams[[#This Row],[Teams]],Schedule[Away],Schedule[Home],"???")),"")</f>
        <v/>
      </c>
      <c r="O45" s="9" t="str">
        <f>IF(Teams[[#This Row],[Opponent]]="","",VLOOKUP(Teams[[#This Row],[Opponent]],KenPomTable[],2))</f>
        <v/>
      </c>
      <c r="P45" s="11" t="str">
        <f>IF(Teams[[#This Row],[Opponent]]="","",Teams[[#This Row],[KP Opp]]-Teams[[#This Row],[KP]])</f>
        <v/>
      </c>
      <c r="U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</row>
    <row r="46" spans="10:46">
      <c r="J46" s="7" t="s">
        <v>87</v>
      </c>
      <c r="K46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6" s="11">
        <f>VLOOKUP(Teams[[#This Row],[Teams]],KenPomTable[],2)</f>
        <v>56</v>
      </c>
      <c r="M46" s="11" t="s">
        <v>25</v>
      </c>
      <c r="N46" s="16" t="str">
        <f>IF(Teams[[#This Row],[Gm/Wk]]=1, _xlfn.XLOOKUP(Teams[[#This Row],[Teams]],Schedule[Home],Schedule[Away],_xlfn.XLOOKUP(Teams[[#This Row],[Teams]],Schedule[Away],Schedule[Home],"???")),"")</f>
        <v/>
      </c>
      <c r="O46" s="9" t="str">
        <f>IF(Teams[[#This Row],[Opponent]]="","",VLOOKUP(Teams[[#This Row],[Opponent]],KenPomTable[],2))</f>
        <v/>
      </c>
      <c r="P46" s="11" t="str">
        <f>IF(Teams[[#This Row],[Opponent]]="","",Teams[[#This Row],[KP Opp]]-Teams[[#This Row],[KP]])</f>
        <v/>
      </c>
      <c r="U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</row>
    <row r="47" spans="10:46">
      <c r="J47" s="7" t="s">
        <v>46</v>
      </c>
      <c r="K47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7" s="11">
        <f>VLOOKUP(Teams[[#This Row],[Teams]],KenPomTable[],2)</f>
        <v>54</v>
      </c>
      <c r="M47" s="11" t="s">
        <v>20</v>
      </c>
      <c r="N47" s="16" t="str">
        <f>IF(Teams[[#This Row],[Gm/Wk]]=1, _xlfn.XLOOKUP(Teams[[#This Row],[Teams]],Schedule[Home],Schedule[Away],_xlfn.XLOOKUP(Teams[[#This Row],[Teams]],Schedule[Away],Schedule[Home],"???")),"")</f>
        <v/>
      </c>
      <c r="O47" s="9" t="str">
        <f>IF(Teams[[#This Row],[Opponent]]="","",VLOOKUP(Teams[[#This Row],[Opponent]],KenPomTable[],2))</f>
        <v/>
      </c>
      <c r="P47" s="11" t="str">
        <f>IF(Teams[[#This Row],[Opponent]]="","",Teams[[#This Row],[KP Opp]]-Teams[[#This Row],[KP]])</f>
        <v/>
      </c>
      <c r="T47" s="6"/>
      <c r="V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</row>
    <row r="48" spans="10:46">
      <c r="J48" s="7" t="s">
        <v>74</v>
      </c>
      <c r="K48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8" s="11">
        <f>VLOOKUP(Teams[[#This Row],[Teams]],KenPomTable[],2)</f>
        <v>53</v>
      </c>
      <c r="M48" s="11" t="s">
        <v>224</v>
      </c>
      <c r="N48" s="16" t="str">
        <f>IF(Teams[[#This Row],[Gm/Wk]]=1, _xlfn.XLOOKUP(Teams[[#This Row],[Teams]],Schedule[Home],Schedule[Away],_xlfn.XLOOKUP(Teams[[#This Row],[Teams]],Schedule[Away],Schedule[Home],"???")),"")</f>
        <v/>
      </c>
      <c r="O48" s="9" t="str">
        <f>IF(Teams[[#This Row],[Opponent]]="","",VLOOKUP(Teams[[#This Row],[Opponent]],KenPomTable[],2))</f>
        <v/>
      </c>
      <c r="P48" s="11" t="str">
        <f>IF(Teams[[#This Row],[Opponent]]="","",Teams[[#This Row],[KP Opp]]-Teams[[#This Row],[KP]])</f>
        <v/>
      </c>
      <c r="U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</row>
    <row r="49" spans="10:46">
      <c r="J49" s="7" t="s">
        <v>32</v>
      </c>
      <c r="K49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49" s="11">
        <f>VLOOKUP(Teams[[#This Row],[Teams]],KenPomTable[],2)</f>
        <v>51</v>
      </c>
      <c r="M49" s="11" t="s">
        <v>225</v>
      </c>
      <c r="N49" s="16" t="str">
        <f>IF(Teams[[#This Row],[Gm/Wk]]=1, _xlfn.XLOOKUP(Teams[[#This Row],[Teams]],Schedule[Home],Schedule[Away],_xlfn.XLOOKUP(Teams[[#This Row],[Teams]],Schedule[Away],Schedule[Home],"???")),"")</f>
        <v/>
      </c>
      <c r="O49" s="9" t="str">
        <f>IF(Teams[[#This Row],[Opponent]]="","",VLOOKUP(Teams[[#This Row],[Opponent]],KenPomTable[],2))</f>
        <v/>
      </c>
      <c r="P49" s="11" t="str">
        <f>IF(Teams[[#This Row],[Opponent]]="","",Teams[[#This Row],[KP Opp]]-Teams[[#This Row],[KP]])</f>
        <v/>
      </c>
      <c r="U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</row>
    <row r="50" spans="10:46">
      <c r="J50" s="28" t="s">
        <v>47</v>
      </c>
      <c r="K50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0" s="11">
        <f>VLOOKUP(Teams[[#This Row],[Teams]],KenPomTable[],2)</f>
        <v>50</v>
      </c>
      <c r="M50" s="11" t="s">
        <v>20</v>
      </c>
      <c r="N50" s="16" t="str">
        <f>IF(Teams[[#This Row],[Gm/Wk]]=1, _xlfn.XLOOKUP(Teams[[#This Row],[Teams]],Schedule[Home],Schedule[Away],_xlfn.XLOOKUP(Teams[[#This Row],[Teams]],Schedule[Away],Schedule[Home],"???")),"")</f>
        <v/>
      </c>
      <c r="O50" s="9" t="str">
        <f>IF(Teams[[#This Row],[Opponent]]="","",VLOOKUP(Teams[[#This Row],[Opponent]],KenPomTable[],2))</f>
        <v/>
      </c>
      <c r="P50" s="11" t="str">
        <f>IF(Teams[[#This Row],[Opponent]]="","",Teams[[#This Row],[KP Opp]]-Teams[[#This Row],[KP]])</f>
        <v/>
      </c>
      <c r="U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</row>
    <row r="51" spans="10:46">
      <c r="J51" s="7" t="s">
        <v>56</v>
      </c>
      <c r="K51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1" s="11">
        <f>VLOOKUP(Teams[[#This Row],[Teams]],KenPomTable[],2)</f>
        <v>49</v>
      </c>
      <c r="M51" s="11" t="s">
        <v>226</v>
      </c>
      <c r="N51" s="16" t="str">
        <f>IF(Teams[[#This Row],[Gm/Wk]]=1, _xlfn.XLOOKUP(Teams[[#This Row],[Teams]],Schedule[Home],Schedule[Away],_xlfn.XLOOKUP(Teams[[#This Row],[Teams]],Schedule[Away],Schedule[Home],"???")),"")</f>
        <v/>
      </c>
      <c r="O51" s="9" t="str">
        <f>IF(Teams[[#This Row],[Opponent]]="","",VLOOKUP(Teams[[#This Row],[Opponent]],KenPomTable[],2))</f>
        <v/>
      </c>
      <c r="P51" s="11" t="str">
        <f>IF(Teams[[#This Row],[Opponent]]="","",Teams[[#This Row],[KP Opp]]-Teams[[#This Row],[KP]])</f>
        <v/>
      </c>
      <c r="U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</row>
    <row r="52" spans="10:46">
      <c r="J52" s="7" t="s">
        <v>29</v>
      </c>
      <c r="K52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2" s="11">
        <f>VLOOKUP(Teams[[#This Row],[Teams]],KenPomTable[],2)</f>
        <v>48</v>
      </c>
      <c r="M52" s="11" t="s">
        <v>225</v>
      </c>
      <c r="N52" s="16" t="str">
        <f>IF(Teams[[#This Row],[Gm/Wk]]=1, _xlfn.XLOOKUP(Teams[[#This Row],[Teams]],Schedule[Home],Schedule[Away],_xlfn.XLOOKUP(Teams[[#This Row],[Teams]],Schedule[Away],Schedule[Home],"???")),"")</f>
        <v/>
      </c>
      <c r="O52" s="9" t="str">
        <f>IF(Teams[[#This Row],[Opponent]]="","",VLOOKUP(Teams[[#This Row],[Opponent]],KenPomTable[],2))</f>
        <v/>
      </c>
      <c r="P52" s="11" t="str">
        <f>IF(Teams[[#This Row],[Opponent]]="","",Teams[[#This Row],[KP Opp]]-Teams[[#This Row],[KP]])</f>
        <v/>
      </c>
      <c r="U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</row>
    <row r="53" spans="10:46">
      <c r="J53" s="7" t="s">
        <v>762</v>
      </c>
      <c r="K53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3" s="11">
        <f>VLOOKUP(Teams[[#This Row],[Teams]],KenPomTable[],2)</f>
        <v>46</v>
      </c>
      <c r="M53" s="11" t="s">
        <v>25</v>
      </c>
      <c r="N53" s="16" t="str">
        <f>IF(Teams[[#This Row],[Gm/Wk]]=1, _xlfn.XLOOKUP(Teams[[#This Row],[Teams]],Schedule[Home],Schedule[Away],_xlfn.XLOOKUP(Teams[[#This Row],[Teams]],Schedule[Away],Schedule[Home],"???")),"")</f>
        <v/>
      </c>
      <c r="O53" s="9" t="str">
        <f>IF(Teams[[#This Row],[Opponent]]="","",VLOOKUP(Teams[[#This Row],[Opponent]],KenPomTable[],2))</f>
        <v/>
      </c>
      <c r="P53" s="11" t="str">
        <f>IF(Teams[[#This Row],[Opponent]]="","",Teams[[#This Row],[KP Opp]]-Teams[[#This Row],[KP]])</f>
        <v/>
      </c>
      <c r="U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</row>
    <row r="54" spans="10:46">
      <c r="J54" s="7" t="s">
        <v>69</v>
      </c>
      <c r="K54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4" s="11">
        <f>VLOOKUP(Teams[[#This Row],[Teams]],KenPomTable[],2)</f>
        <v>45</v>
      </c>
      <c r="M54" s="11" t="s">
        <v>224</v>
      </c>
      <c r="N54" s="16" t="str">
        <f>IF(Teams[[#This Row],[Gm/Wk]]=1, _xlfn.XLOOKUP(Teams[[#This Row],[Teams]],Schedule[Home],Schedule[Away],_xlfn.XLOOKUP(Teams[[#This Row],[Teams]],Schedule[Away],Schedule[Home],"???")),"")</f>
        <v/>
      </c>
      <c r="O54" s="9" t="str">
        <f>IF(Teams[[#This Row],[Opponent]]="","",VLOOKUP(Teams[[#This Row],[Opponent]],KenPomTable[],2))</f>
        <v/>
      </c>
      <c r="P54" s="11" t="str">
        <f>IF(Teams[[#This Row],[Opponent]]="","",Teams[[#This Row],[KP Opp]]-Teams[[#This Row],[KP]])</f>
        <v/>
      </c>
      <c r="U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</row>
    <row r="55" spans="10:46">
      <c r="J55" s="7" t="s">
        <v>36</v>
      </c>
      <c r="K55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5" s="11">
        <f>VLOOKUP(Teams[[#This Row],[Teams]],KenPomTable[],2)</f>
        <v>44</v>
      </c>
      <c r="M55" s="11" t="s">
        <v>21</v>
      </c>
      <c r="N55" s="16" t="str">
        <f>IF(Teams[[#This Row],[Gm/Wk]]=1, _xlfn.XLOOKUP(Teams[[#This Row],[Teams]],Schedule[Home],Schedule[Away],_xlfn.XLOOKUP(Teams[[#This Row],[Teams]],Schedule[Away],Schedule[Home],"???")),"")</f>
        <v/>
      </c>
      <c r="O55" s="9" t="str">
        <f>IF(Teams[[#This Row],[Opponent]]="","",VLOOKUP(Teams[[#This Row],[Opponent]],KenPomTable[],2))</f>
        <v/>
      </c>
      <c r="P55" s="11" t="str">
        <f>IF(Teams[[#This Row],[Opponent]]="","",Teams[[#This Row],[KP Opp]]-Teams[[#This Row],[KP]])</f>
        <v/>
      </c>
      <c r="U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</row>
    <row r="56" spans="10:46">
      <c r="J56" s="7" t="s">
        <v>48</v>
      </c>
      <c r="K56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6" s="11">
        <f>VLOOKUP(Teams[[#This Row],[Teams]],KenPomTable[],2)</f>
        <v>43</v>
      </c>
      <c r="M56" s="11" t="s">
        <v>20</v>
      </c>
      <c r="N56" s="16" t="str">
        <f>IF(Teams[[#This Row],[Gm/Wk]]=1, _xlfn.XLOOKUP(Teams[[#This Row],[Teams]],Schedule[Home],Schedule[Away],_xlfn.XLOOKUP(Teams[[#This Row],[Teams]],Schedule[Away],Schedule[Home],"???")),"")</f>
        <v/>
      </c>
      <c r="O56" s="9" t="str">
        <f>IF(Teams[[#This Row],[Opponent]]="","",VLOOKUP(Teams[[#This Row],[Opponent]],KenPomTable[],2))</f>
        <v/>
      </c>
      <c r="P56" s="11" t="str">
        <f>IF(Teams[[#This Row],[Opponent]]="","",Teams[[#This Row],[KP Opp]]-Teams[[#This Row],[KP]])</f>
        <v/>
      </c>
      <c r="U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</row>
    <row r="57" spans="10:46">
      <c r="J57" s="7" t="s">
        <v>39</v>
      </c>
      <c r="K57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7" s="11">
        <f>VLOOKUP(Teams[[#This Row],[Teams]],KenPomTable[],2)</f>
        <v>37</v>
      </c>
      <c r="M57" s="11" t="s">
        <v>21</v>
      </c>
      <c r="N57" s="16" t="str">
        <f>IF(Teams[[#This Row],[Gm/Wk]]=1, _xlfn.XLOOKUP(Teams[[#This Row],[Teams]],Schedule[Home],Schedule[Away],_xlfn.XLOOKUP(Teams[[#This Row],[Teams]],Schedule[Away],Schedule[Home],"???")),"")</f>
        <v/>
      </c>
      <c r="O57" s="9" t="str">
        <f>IF(Teams[[#This Row],[Opponent]]="","",VLOOKUP(Teams[[#This Row],[Opponent]],KenPomTable[],2))</f>
        <v/>
      </c>
      <c r="P57" s="11" t="str">
        <f>IF(Teams[[#This Row],[Opponent]]="","",Teams[[#This Row],[KP Opp]]-Teams[[#This Row],[KP]])</f>
        <v/>
      </c>
      <c r="U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</row>
    <row r="58" spans="10:46">
      <c r="J58" s="7" t="s">
        <v>34</v>
      </c>
      <c r="K58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8" s="11">
        <f>VLOOKUP(Teams[[#This Row],[Teams]],KenPomTable[],2)</f>
        <v>36</v>
      </c>
      <c r="M58" s="11" t="s">
        <v>225</v>
      </c>
      <c r="N58" s="16" t="str">
        <f>IF(Teams[[#This Row],[Gm/Wk]]=1, _xlfn.XLOOKUP(Teams[[#This Row],[Teams]],Schedule[Home],Schedule[Away],_xlfn.XLOOKUP(Teams[[#This Row],[Teams]],Schedule[Away],Schedule[Home],"???")),"")</f>
        <v/>
      </c>
      <c r="O58" s="9" t="str">
        <f>IF(Teams[[#This Row],[Opponent]]="","",VLOOKUP(Teams[[#This Row],[Opponent]],KenPomTable[],2))</f>
        <v/>
      </c>
      <c r="P58" s="11" t="str">
        <f>IF(Teams[[#This Row],[Opponent]]="","",Teams[[#This Row],[KP Opp]]-Teams[[#This Row],[KP]])</f>
        <v/>
      </c>
      <c r="U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</row>
    <row r="59" spans="10:46">
      <c r="J59" s="26" t="s">
        <v>302</v>
      </c>
      <c r="K59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59" s="11">
        <f>VLOOKUP(Teams[[#This Row],[Teams]],KenPomTable[],2)</f>
        <v>35</v>
      </c>
      <c r="M59" s="11" t="s">
        <v>21</v>
      </c>
      <c r="N59" s="16" t="str">
        <f>IF(Teams[[#This Row],[Gm/Wk]]=1, _xlfn.XLOOKUP(Teams[[#This Row],[Teams]],Schedule[Home],Schedule[Away],_xlfn.XLOOKUP(Teams[[#This Row],[Teams]],Schedule[Away],Schedule[Home],"???")),"")</f>
        <v/>
      </c>
      <c r="O59" s="9" t="str">
        <f>IF(Teams[[#This Row],[Opponent]]="","",VLOOKUP(Teams[[#This Row],[Opponent]],KenPomTable[],2))</f>
        <v/>
      </c>
      <c r="P59" s="11" t="str">
        <f>IF(Teams[[#This Row],[Opponent]]="","",Teams[[#This Row],[KP Opp]]-Teams[[#This Row],[KP]])</f>
        <v/>
      </c>
      <c r="T59" s="6"/>
      <c r="V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</row>
    <row r="60" spans="10:46">
      <c r="J60" s="7" t="s">
        <v>781</v>
      </c>
      <c r="K60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0" s="11">
        <f>VLOOKUP(Teams[[#This Row],[Teams]],KenPomTable[],2)</f>
        <v>34</v>
      </c>
      <c r="M60" s="11" t="s">
        <v>226</v>
      </c>
      <c r="N60" s="16" t="str">
        <f>IF(Teams[[#This Row],[Gm/Wk]]=1, _xlfn.XLOOKUP(Teams[[#This Row],[Teams]],Schedule[Home],Schedule[Away],_xlfn.XLOOKUP(Teams[[#This Row],[Teams]],Schedule[Away],Schedule[Home],"???")),"")</f>
        <v/>
      </c>
      <c r="O60" s="9" t="str">
        <f>IF(Teams[[#This Row],[Opponent]]="","",VLOOKUP(Teams[[#This Row],[Opponent]],KenPomTable[],2))</f>
        <v/>
      </c>
      <c r="P60" s="11" t="str">
        <f>IF(Teams[[#This Row],[Opponent]]="","",Teams[[#This Row],[KP Opp]]-Teams[[#This Row],[KP]])</f>
        <v/>
      </c>
      <c r="U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</row>
    <row r="61" spans="10:46">
      <c r="J61" s="7" t="s">
        <v>79</v>
      </c>
      <c r="K61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1" s="11">
        <f>VLOOKUP(Teams[[#This Row],[Teams]],KenPomTable[],2)</f>
        <v>31</v>
      </c>
      <c r="M61" s="11" t="s">
        <v>25</v>
      </c>
      <c r="N61" s="16" t="str">
        <f>IF(Teams[[#This Row],[Gm/Wk]]=1, _xlfn.XLOOKUP(Teams[[#This Row],[Teams]],Schedule[Home],Schedule[Away],_xlfn.XLOOKUP(Teams[[#This Row],[Teams]],Schedule[Away],Schedule[Home],"???")),"")</f>
        <v/>
      </c>
      <c r="O61" s="9" t="str">
        <f>IF(Teams[[#This Row],[Opponent]]="","",VLOOKUP(Teams[[#This Row],[Opponent]],KenPomTable[],2))</f>
        <v/>
      </c>
      <c r="P61" s="11" t="str">
        <f>IF(Teams[[#This Row],[Opponent]]="","",Teams[[#This Row],[KP Opp]]-Teams[[#This Row],[KP]])</f>
        <v/>
      </c>
      <c r="U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</row>
    <row r="62" spans="10:46">
      <c r="J62" s="7" t="s">
        <v>59</v>
      </c>
      <c r="K62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2" s="11">
        <f>VLOOKUP(Teams[[#This Row],[Teams]],KenPomTable[],2)</f>
        <v>30</v>
      </c>
      <c r="M62" s="11" t="s">
        <v>226</v>
      </c>
      <c r="N62" s="16" t="str">
        <f>IF(Teams[[#This Row],[Gm/Wk]]=1, _xlfn.XLOOKUP(Teams[[#This Row],[Teams]],Schedule[Home],Schedule[Away],_xlfn.XLOOKUP(Teams[[#This Row],[Teams]],Schedule[Away],Schedule[Home],"???")),"")</f>
        <v/>
      </c>
      <c r="O62" s="9" t="str">
        <f>IF(Teams[[#This Row],[Opponent]]="","",VLOOKUP(Teams[[#This Row],[Opponent]],KenPomTable[],2))</f>
        <v/>
      </c>
      <c r="P62" s="11" t="str">
        <f>IF(Teams[[#This Row],[Opponent]]="","",Teams[[#This Row],[KP Opp]]-Teams[[#This Row],[KP]])</f>
        <v/>
      </c>
      <c r="U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</row>
    <row r="63" spans="10:46">
      <c r="J63" s="7" t="s">
        <v>60</v>
      </c>
      <c r="K63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3" s="11">
        <f>VLOOKUP(Teams[[#This Row],[Teams]],KenPomTable[],2)</f>
        <v>28</v>
      </c>
      <c r="M63" s="11" t="s">
        <v>226</v>
      </c>
      <c r="N63" s="16" t="str">
        <f>IF(Teams[[#This Row],[Gm/Wk]]=1, _xlfn.XLOOKUP(Teams[[#This Row],[Teams]],Schedule[Home],Schedule[Away],_xlfn.XLOOKUP(Teams[[#This Row],[Teams]],Schedule[Away],Schedule[Home],"???")),"")</f>
        <v/>
      </c>
      <c r="O63" s="9" t="str">
        <f>IF(Teams[[#This Row],[Opponent]]="","",VLOOKUP(Teams[[#This Row],[Opponent]],KenPomTable[],2))</f>
        <v/>
      </c>
      <c r="P63" s="11" t="str">
        <f>IF(Teams[[#This Row],[Opponent]]="","",Teams[[#This Row],[KP Opp]]-Teams[[#This Row],[KP]])</f>
        <v/>
      </c>
      <c r="U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</row>
    <row r="64" spans="10:46">
      <c r="J64" s="7" t="s">
        <v>761</v>
      </c>
      <c r="K64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4" s="11">
        <f>VLOOKUP(Teams[[#This Row],[Teams]],KenPomTable[],2)</f>
        <v>27</v>
      </c>
      <c r="M64" s="11" t="s">
        <v>226</v>
      </c>
      <c r="N64" s="16" t="str">
        <f>IF(Teams[[#This Row],[Gm/Wk]]=1, _xlfn.XLOOKUP(Teams[[#This Row],[Teams]],Schedule[Home],Schedule[Away],_xlfn.XLOOKUP(Teams[[#This Row],[Teams]],Schedule[Away],Schedule[Home],"???")),"")</f>
        <v/>
      </c>
      <c r="O64" s="9" t="str">
        <f>IF(Teams[[#This Row],[Opponent]]="","",VLOOKUP(Teams[[#This Row],[Opponent]],KenPomTable[],2))</f>
        <v/>
      </c>
      <c r="P64" s="11" t="str">
        <f>IF(Teams[[#This Row],[Opponent]]="","",Teams[[#This Row],[KP Opp]]-Teams[[#This Row],[KP]])</f>
        <v/>
      </c>
      <c r="U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</row>
    <row r="65" spans="10:46">
      <c r="J65" s="7" t="s">
        <v>35</v>
      </c>
      <c r="K65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5" s="11">
        <f>VLOOKUP(Teams[[#This Row],[Teams]],KenPomTable[],2)</f>
        <v>25</v>
      </c>
      <c r="M65" s="11" t="s">
        <v>21</v>
      </c>
      <c r="N65" s="16" t="str">
        <f>IF(Teams[[#This Row],[Gm/Wk]]=1, _xlfn.XLOOKUP(Teams[[#This Row],[Teams]],Schedule[Home],Schedule[Away],_xlfn.XLOOKUP(Teams[[#This Row],[Teams]],Schedule[Away],Schedule[Home],"???")),"")</f>
        <v/>
      </c>
      <c r="O65" s="9" t="str">
        <f>IF(Teams[[#This Row],[Opponent]]="","",VLOOKUP(Teams[[#This Row],[Opponent]],KenPomTable[],2))</f>
        <v/>
      </c>
      <c r="P65" s="11" t="str">
        <f>IF(Teams[[#This Row],[Opponent]]="","",Teams[[#This Row],[KP Opp]]-Teams[[#This Row],[KP]])</f>
        <v/>
      </c>
      <c r="U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</row>
    <row r="66" spans="10:46">
      <c r="J66" s="7" t="s">
        <v>38</v>
      </c>
      <c r="K66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6" s="11">
        <f>VLOOKUP(Teams[[#This Row],[Teams]],KenPomTable[],2)</f>
        <v>24</v>
      </c>
      <c r="M66" s="11" t="s">
        <v>21</v>
      </c>
      <c r="N66" s="16" t="str">
        <f>IF(Teams[[#This Row],[Gm/Wk]]=1, _xlfn.XLOOKUP(Teams[[#This Row],[Teams]],Schedule[Home],Schedule[Away],_xlfn.XLOOKUP(Teams[[#This Row],[Teams]],Schedule[Away],Schedule[Home],"???")),"")</f>
        <v/>
      </c>
      <c r="O66" s="9" t="str">
        <f>IF(Teams[[#This Row],[Opponent]]="","",VLOOKUP(Teams[[#This Row],[Opponent]],KenPomTable[],2))</f>
        <v/>
      </c>
      <c r="P66" s="11" t="str">
        <f>IF(Teams[[#This Row],[Opponent]]="","",Teams[[#This Row],[KP Opp]]-Teams[[#This Row],[KP]])</f>
        <v/>
      </c>
      <c r="U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</row>
    <row r="67" spans="10:46">
      <c r="J67" s="7" t="s">
        <v>83</v>
      </c>
      <c r="K67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7" s="11">
        <f>VLOOKUP(Teams[[#This Row],[Teams]],KenPomTable[],2)</f>
        <v>16</v>
      </c>
      <c r="M67" s="11" t="s">
        <v>25</v>
      </c>
      <c r="N67" s="16" t="str">
        <f>IF(Teams[[#This Row],[Gm/Wk]]=1, _xlfn.XLOOKUP(Teams[[#This Row],[Teams]],Schedule[Home],Schedule[Away],_xlfn.XLOOKUP(Teams[[#This Row],[Teams]],Schedule[Away],Schedule[Home],"???")),"")</f>
        <v/>
      </c>
      <c r="O67" s="9" t="str">
        <f>IF(Teams[[#This Row],[Opponent]]="","",VLOOKUP(Teams[[#This Row],[Opponent]],KenPomTable[],2))</f>
        <v/>
      </c>
      <c r="P67" s="11" t="str">
        <f>IF(Teams[[#This Row],[Opponent]]="","",Teams[[#This Row],[KP Opp]]-Teams[[#This Row],[KP]])</f>
        <v/>
      </c>
      <c r="U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</row>
    <row r="68" spans="10:46">
      <c r="J68" s="7" t="s">
        <v>82</v>
      </c>
      <c r="K68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8" s="11">
        <f>VLOOKUP(Teams[[#This Row],[Teams]],KenPomTable[],2)</f>
        <v>15</v>
      </c>
      <c r="M68" s="11" t="s">
        <v>25</v>
      </c>
      <c r="N68" s="16" t="str">
        <f>IF(Teams[[#This Row],[Gm/Wk]]=1, _xlfn.XLOOKUP(Teams[[#This Row],[Teams]],Schedule[Home],Schedule[Away],_xlfn.XLOOKUP(Teams[[#This Row],[Teams]],Schedule[Away],Schedule[Home],"???")),"")</f>
        <v/>
      </c>
      <c r="O68" s="9" t="str">
        <f>IF(Teams[[#This Row],[Opponent]]="","",VLOOKUP(Teams[[#This Row],[Opponent]],KenPomTable[],2))</f>
        <v/>
      </c>
      <c r="P68" s="11" t="str">
        <f>IF(Teams[[#This Row],[Opponent]]="","",Teams[[#This Row],[KP Opp]]-Teams[[#This Row],[KP]])</f>
        <v/>
      </c>
      <c r="U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</row>
    <row r="69" spans="10:46">
      <c r="J69" s="7" t="s">
        <v>251</v>
      </c>
      <c r="K69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69" s="11">
        <f>VLOOKUP(Teams[[#This Row],[Teams]],KenPomTable[],2)</f>
        <v>12</v>
      </c>
      <c r="M69" s="11" t="s">
        <v>20</v>
      </c>
      <c r="N69" s="16" t="str">
        <f>IF(Teams[[#This Row],[Gm/Wk]]=1, _xlfn.XLOOKUP(Teams[[#This Row],[Teams]],Schedule[Home],Schedule[Away],_xlfn.XLOOKUP(Teams[[#This Row],[Teams]],Schedule[Away],Schedule[Home],"???")),"")</f>
        <v/>
      </c>
      <c r="O69" s="9" t="str">
        <f>IF(Teams[[#This Row],[Opponent]]="","",VLOOKUP(Teams[[#This Row],[Opponent]],KenPomTable[],2))</f>
        <v/>
      </c>
      <c r="P69" s="11" t="str">
        <f>IF(Teams[[#This Row],[Opponent]]="","",Teams[[#This Row],[KP Opp]]-Teams[[#This Row],[KP]])</f>
        <v/>
      </c>
      <c r="U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</row>
    <row r="70" spans="10:46">
      <c r="J70" s="7" t="s">
        <v>75</v>
      </c>
      <c r="K70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70" s="11">
        <f>VLOOKUP(Teams[[#This Row],[Teams]],KenPomTable[],2)</f>
        <v>11</v>
      </c>
      <c r="M70" s="11" t="s">
        <v>224</v>
      </c>
      <c r="N70" s="16" t="str">
        <f>IF(Teams[[#This Row],[Gm/Wk]]=1, _xlfn.XLOOKUP(Teams[[#This Row],[Teams]],Schedule[Home],Schedule[Away],_xlfn.XLOOKUP(Teams[[#This Row],[Teams]],Schedule[Away],Schedule[Home],"???")),"")</f>
        <v/>
      </c>
      <c r="O70" s="9" t="str">
        <f>IF(Teams[[#This Row],[Opponent]]="","",VLOOKUP(Teams[[#This Row],[Opponent]],KenPomTable[],2))</f>
        <v/>
      </c>
      <c r="P70" s="11" t="str">
        <f>IF(Teams[[#This Row],[Opponent]]="","",Teams[[#This Row],[KP Opp]]-Teams[[#This Row],[KP]])</f>
        <v/>
      </c>
      <c r="U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</row>
    <row r="71" spans="10:46">
      <c r="J71" s="7" t="s">
        <v>44</v>
      </c>
      <c r="K71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71" s="11">
        <f>VLOOKUP(Teams[[#This Row],[Teams]],KenPomTable[],2)</f>
        <v>10</v>
      </c>
      <c r="M71" s="11" t="s">
        <v>20</v>
      </c>
      <c r="N71" s="16" t="str">
        <f>IF(Teams[[#This Row],[Gm/Wk]]=1, _xlfn.XLOOKUP(Teams[[#This Row],[Teams]],Schedule[Home],Schedule[Away],_xlfn.XLOOKUP(Teams[[#This Row],[Teams]],Schedule[Away],Schedule[Home],"???")),"")</f>
        <v/>
      </c>
      <c r="O71" s="9" t="str">
        <f>IF(Teams[[#This Row],[Opponent]]="","",VLOOKUP(Teams[[#This Row],[Opponent]],KenPomTable[],2))</f>
        <v/>
      </c>
      <c r="P71" s="11" t="str">
        <f>IF(Teams[[#This Row],[Opponent]]="","",Teams[[#This Row],[KP Opp]]-Teams[[#This Row],[KP]])</f>
        <v/>
      </c>
      <c r="U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</row>
    <row r="72" spans="10:46">
      <c r="J72" s="7" t="s">
        <v>26</v>
      </c>
      <c r="K72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72" s="11">
        <f>VLOOKUP(Teams[[#This Row],[Teams]],KenPomTable[],2)</f>
        <v>9</v>
      </c>
      <c r="M72" s="11" t="s">
        <v>225</v>
      </c>
      <c r="N72" s="16" t="str">
        <f>IF(Teams[[#This Row],[Gm/Wk]]=1, _xlfn.XLOOKUP(Teams[[#This Row],[Teams]],Schedule[Home],Schedule[Away],_xlfn.XLOOKUP(Teams[[#This Row],[Teams]],Schedule[Away],Schedule[Home],"???")),"")</f>
        <v/>
      </c>
      <c r="O72" s="9" t="str">
        <f>IF(Teams[[#This Row],[Opponent]]="","",VLOOKUP(Teams[[#This Row],[Opponent]],KenPomTable[],2))</f>
        <v/>
      </c>
      <c r="P72" s="11" t="str">
        <f>IF(Teams[[#This Row],[Opponent]]="","",Teams[[#This Row],[KP Opp]]-Teams[[#This Row],[KP]])</f>
        <v/>
      </c>
      <c r="U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</row>
    <row r="73" spans="10:46">
      <c r="J73" s="7" t="s">
        <v>62</v>
      </c>
      <c r="K73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73" s="11">
        <f>VLOOKUP(Teams[[#This Row],[Teams]],KenPomTable[],2)</f>
        <v>8</v>
      </c>
      <c r="M73" s="11" t="s">
        <v>226</v>
      </c>
      <c r="N73" s="16" t="str">
        <f>IF(Teams[[#This Row],[Gm/Wk]]=1, _xlfn.XLOOKUP(Teams[[#This Row],[Teams]],Schedule[Home],Schedule[Away],_xlfn.XLOOKUP(Teams[[#This Row],[Teams]],Schedule[Away],Schedule[Home],"???")),"")</f>
        <v/>
      </c>
      <c r="O73" s="9" t="str">
        <f>IF(Teams[[#This Row],[Opponent]]="","",VLOOKUP(Teams[[#This Row],[Opponent]],KenPomTable[],2))</f>
        <v/>
      </c>
      <c r="P73" s="11" t="str">
        <f>IF(Teams[[#This Row],[Opponent]]="","",Teams[[#This Row],[KP Opp]]-Teams[[#This Row],[KP]])</f>
        <v/>
      </c>
      <c r="T73" s="6"/>
      <c r="V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</row>
    <row r="74" spans="10:46">
      <c r="J74" s="7" t="s">
        <v>28</v>
      </c>
      <c r="K74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74" s="11">
        <f>VLOOKUP(Teams[[#This Row],[Teams]],KenPomTable[],2)</f>
        <v>7</v>
      </c>
      <c r="M74" s="11" t="s">
        <v>225</v>
      </c>
      <c r="N74" s="16" t="str">
        <f>IF(Teams[[#This Row],[Gm/Wk]]=1, _xlfn.XLOOKUP(Teams[[#This Row],[Teams]],Schedule[Home],Schedule[Away],_xlfn.XLOOKUP(Teams[[#This Row],[Teams]],Schedule[Away],Schedule[Home],"???")),"")</f>
        <v/>
      </c>
      <c r="O74" s="9" t="str">
        <f>IF(Teams[[#This Row],[Opponent]]="","",VLOOKUP(Teams[[#This Row],[Opponent]],KenPomTable[],2))</f>
        <v/>
      </c>
      <c r="P74" s="11" t="str">
        <f>IF(Teams[[#This Row],[Opponent]]="","",Teams[[#This Row],[KP Opp]]-Teams[[#This Row],[KP]])</f>
        <v/>
      </c>
      <c r="U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</row>
    <row r="75" spans="10:46">
      <c r="J75" s="7" t="s">
        <v>188</v>
      </c>
      <c r="K75" s="9">
        <f>SUM(COUNTIFS(Schedule[Home],Teams[[#This Row],[Teams]],Schedule[Date],"&gt;="&amp;$G$3,Schedule[Date],"&lt;="&amp;$H$3),COUNTIFS(Schedule[Away],Teams[[#This Row],[Teams]],Schedule[Date],"&gt;="&amp;$G$3,Schedule[Date],"&lt;="&amp;$H$3))</f>
        <v>2</v>
      </c>
      <c r="L75" s="11">
        <f>VLOOKUP(Teams[[#This Row],[Teams]],KenPomTable[],2)</f>
        <v>6</v>
      </c>
      <c r="M75" s="11" t="s">
        <v>20</v>
      </c>
      <c r="N75" s="16" t="str">
        <f>IF(Teams[[#This Row],[Gm/Wk]]=1, _xlfn.XLOOKUP(Teams[[#This Row],[Teams]],Schedule[Home],Schedule[Away],_xlfn.XLOOKUP(Teams[[#This Row],[Teams]],Schedule[Away],Schedule[Home],"???")),"")</f>
        <v/>
      </c>
      <c r="O75" s="9" t="str">
        <f>IF(Teams[[#This Row],[Opponent]]="","",VLOOKUP(Teams[[#This Row],[Opponent]],KenPomTable[],2))</f>
        <v/>
      </c>
      <c r="P75" s="11" t="str">
        <f>IF(Teams[[#This Row],[Opponent]]="","",Teams[[#This Row],[KP Opp]]-Teams[[#This Row],[KP]])</f>
        <v/>
      </c>
      <c r="U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</row>
    <row r="76" spans="10:46">
      <c r="J76" s="28" t="s">
        <v>42</v>
      </c>
      <c r="K76" s="9">
        <f>SUM(COUNTIFS(Schedule[Home],Teams[[#This Row],[Teams]],Schedule[Date],"&gt;="&amp;$G$3,Schedule[Date],"&lt;="&amp;$H$3),COUNTIFS(Schedule[Away],Teams[[#This Row],[Teams]],Schedule[Date],"&gt;="&amp;$G$3,Schedule[Date],"&lt;="&amp;$H$3))</f>
        <v>3</v>
      </c>
      <c r="L76" s="11">
        <f>VLOOKUP(Teams[[#This Row],[Teams]],KenPomTable[],2)</f>
        <v>121</v>
      </c>
      <c r="M76" s="11" t="s">
        <v>21</v>
      </c>
      <c r="N76" s="16" t="str">
        <f>IF(Teams[[#This Row],[Gm/Wk]]=1, _xlfn.XLOOKUP(Teams[[#This Row],[Teams]],Schedule[Home],Schedule[Away],_xlfn.XLOOKUP(Teams[[#This Row],[Teams]],Schedule[Away],Schedule[Home],"???")),"")</f>
        <v/>
      </c>
      <c r="O76" s="9" t="str">
        <f>IF(Teams[[#This Row],[Opponent]]="","",VLOOKUP(Teams[[#This Row],[Opponent]],KenPomTable[],2))</f>
        <v/>
      </c>
      <c r="P76" s="11" t="str">
        <f>IF(Teams[[#This Row],[Opponent]]="","",Teams[[#This Row],[KP Opp]]-Teams[[#This Row],[KP]])</f>
        <v/>
      </c>
      <c r="U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</row>
    <row r="77" spans="10:46">
      <c r="J77" s="7" t="s">
        <v>80</v>
      </c>
      <c r="K77" s="9">
        <f>SUM(COUNTIFS(Schedule[Home],Teams[[#This Row],[Teams]],Schedule[Date],"&gt;="&amp;$G$3,Schedule[Date],"&lt;="&amp;$H$3),COUNTIFS(Schedule[Away],Teams[[#This Row],[Teams]],Schedule[Date],"&gt;="&amp;$G$3,Schedule[Date],"&lt;="&amp;$H$3))</f>
        <v>3</v>
      </c>
      <c r="L77" s="11">
        <f>VLOOKUP(Teams[[#This Row],[Teams]],KenPomTable[],2)</f>
        <v>1</v>
      </c>
      <c r="M77" s="11" t="s">
        <v>25</v>
      </c>
      <c r="N77" s="16" t="str">
        <f>IF(Teams[[#This Row],[Gm/Wk]]=1, _xlfn.XLOOKUP(Teams[[#This Row],[Teams]],Schedule[Home],Schedule[Away],_xlfn.XLOOKUP(Teams[[#This Row],[Teams]],Schedule[Away],Schedule[Home],"???")),"")</f>
        <v/>
      </c>
      <c r="O77" s="9" t="str">
        <f>IF(Teams[[#This Row],[Opponent]]="","",VLOOKUP(Teams[[#This Row],[Opponent]],KenPomTable[],2))</f>
        <v/>
      </c>
      <c r="P77" s="11" t="str">
        <f>IF(Teams[[#This Row],[Opponent]]="","",Teams[[#This Row],[KP Opp]]-Teams[[#This Row],[KP]])</f>
        <v/>
      </c>
      <c r="U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</row>
    <row r="78" spans="10:46">
      <c r="U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</row>
    <row r="79" spans="10:46">
      <c r="U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</row>
    <row r="80" spans="10:46">
      <c r="U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</row>
    <row r="81" spans="21:46">
      <c r="U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</row>
    <row r="82" spans="21:46">
      <c r="U82" s="6"/>
      <c r="Z82" s="6"/>
      <c r="AA82" s="6"/>
      <c r="AB82" s="6"/>
      <c r="AC82" s="6"/>
      <c r="AD82" s="6"/>
      <c r="AE82" s="6"/>
      <c r="AF82" s="6"/>
      <c r="AG82" s="6"/>
      <c r="AH82" s="6"/>
      <c r="AI82" s="6"/>
      <c r="AJ82" s="6"/>
      <c r="AK82" s="6"/>
      <c r="AL82" s="6"/>
      <c r="AM82" s="6"/>
      <c r="AN82" s="6"/>
      <c r="AO82" s="6"/>
      <c r="AP82" s="6"/>
      <c r="AQ82" s="6"/>
      <c r="AR82" s="6"/>
      <c r="AS82" s="6"/>
    </row>
    <row r="83" spans="21:46">
      <c r="U83" s="6"/>
      <c r="Z83" s="6"/>
      <c r="AA83" s="6"/>
      <c r="AB83" s="6"/>
      <c r="AC83" s="6"/>
      <c r="AD83" s="6"/>
      <c r="AE83" s="6"/>
      <c r="AF83" s="6"/>
      <c r="AG83" s="6"/>
      <c r="AH83" s="6"/>
      <c r="AI83" s="6"/>
      <c r="AJ83" s="6"/>
      <c r="AK83" s="6"/>
      <c r="AL83" s="6"/>
      <c r="AM83" s="6"/>
      <c r="AN83" s="6"/>
      <c r="AO83" s="6"/>
      <c r="AP83" s="6"/>
      <c r="AQ83" s="6"/>
      <c r="AR83" s="6"/>
      <c r="AS83" s="6"/>
    </row>
    <row r="84" spans="21:46">
      <c r="U84" s="6"/>
      <c r="Z84" s="6"/>
      <c r="AA84" s="6"/>
      <c r="AB84" s="6"/>
      <c r="AC84" s="6"/>
      <c r="AD84" s="6"/>
      <c r="AE84" s="6"/>
      <c r="AF84" s="6"/>
      <c r="AG84" s="6"/>
      <c r="AH84" s="6"/>
      <c r="AI84" s="6"/>
      <c r="AJ84" s="6"/>
      <c r="AK84" s="6"/>
      <c r="AL84" s="6"/>
      <c r="AM84" s="6"/>
      <c r="AN84" s="6"/>
      <c r="AO84" s="6"/>
      <c r="AP84" s="6"/>
      <c r="AQ84" s="6"/>
      <c r="AR84" s="6"/>
      <c r="AS84" s="6"/>
    </row>
    <row r="85" spans="21:46">
      <c r="U85" s="6"/>
      <c r="Z85" s="6"/>
      <c r="AA85" s="6"/>
      <c r="AB85" s="6"/>
      <c r="AC85" s="6"/>
      <c r="AD85" s="6"/>
      <c r="AE85" s="6"/>
      <c r="AF85" s="6"/>
      <c r="AG85" s="6"/>
      <c r="AH85" s="6"/>
      <c r="AI85" s="6"/>
      <c r="AJ85" s="6"/>
      <c r="AK85" s="6"/>
      <c r="AL85" s="6"/>
      <c r="AM85" s="6"/>
      <c r="AN85" s="6"/>
      <c r="AO85" s="6"/>
      <c r="AP85" s="6"/>
      <c r="AQ85" s="6"/>
      <c r="AR85" s="6"/>
      <c r="AS85" s="6"/>
    </row>
    <row r="86" spans="21:46">
      <c r="U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</row>
    <row r="87" spans="21:46" ht="15" customHeight="1">
      <c r="U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</row>
    <row r="88" spans="21:46">
      <c r="U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</row>
    <row r="89" spans="21:46">
      <c r="V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</row>
    <row r="90" spans="21:46">
      <c r="V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</row>
    <row r="91" spans="21:46">
      <c r="V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</row>
    <row r="92" spans="21:46">
      <c r="V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</row>
    <row r="93" spans="21:46">
      <c r="V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</row>
    <row r="94" spans="21:46">
      <c r="V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</row>
    <row r="95" spans="21:46">
      <c r="V95" s="6"/>
      <c r="AA95" s="6"/>
      <c r="AB95" s="6"/>
      <c r="AC95" s="6"/>
      <c r="AD95" s="6"/>
      <c r="AE95" s="6"/>
      <c r="AF95" s="6"/>
      <c r="AG95" s="6"/>
      <c r="AH95" s="6"/>
      <c r="AI95" s="6"/>
      <c r="AJ95" s="6"/>
      <c r="AK95" s="6"/>
      <c r="AL95" s="6"/>
      <c r="AM95" s="6"/>
      <c r="AN95" s="6"/>
      <c r="AO95" s="6"/>
      <c r="AP95" s="6"/>
      <c r="AQ95" s="6"/>
      <c r="AR95" s="6"/>
      <c r="AS95" s="6"/>
      <c r="AT95" s="6"/>
    </row>
    <row r="96" spans="21:46">
      <c r="V96" s="6"/>
      <c r="AA96" s="6"/>
      <c r="AB96" s="6"/>
      <c r="AC96" s="6"/>
      <c r="AD96" s="6"/>
      <c r="AE96" s="6"/>
      <c r="AF96" s="6"/>
      <c r="AG96" s="6"/>
      <c r="AH96" s="6"/>
      <c r="AI96" s="6"/>
      <c r="AJ96" s="6"/>
      <c r="AK96" s="6"/>
      <c r="AL96" s="6"/>
      <c r="AM96" s="6"/>
      <c r="AN96" s="6"/>
      <c r="AO96" s="6"/>
      <c r="AP96" s="6"/>
      <c r="AQ96" s="6"/>
      <c r="AR96" s="6"/>
      <c r="AS96" s="6"/>
      <c r="AT96" s="6"/>
    </row>
    <row r="97" spans="22:46">
      <c r="V97" s="6"/>
      <c r="AA97" s="6"/>
      <c r="AB97" s="6"/>
      <c r="AC97" s="6"/>
      <c r="AD97" s="6"/>
      <c r="AE97" s="6"/>
      <c r="AF97" s="6"/>
      <c r="AG97" s="6"/>
      <c r="AH97" s="6"/>
      <c r="AI97" s="6"/>
      <c r="AJ97" s="6"/>
      <c r="AK97" s="6"/>
      <c r="AL97" s="6"/>
      <c r="AM97" s="6"/>
      <c r="AN97" s="6"/>
      <c r="AO97" s="6"/>
      <c r="AP97" s="6"/>
      <c r="AQ97" s="6"/>
      <c r="AR97" s="6"/>
      <c r="AS97" s="6"/>
      <c r="AT97" s="6"/>
    </row>
    <row r="98" spans="22:46">
      <c r="V98" s="6"/>
      <c r="AA98" s="6"/>
      <c r="AB98" s="6"/>
      <c r="AC98" s="6"/>
      <c r="AD98" s="6"/>
      <c r="AE98" s="6"/>
      <c r="AF98" s="6"/>
      <c r="AG98" s="6"/>
      <c r="AH98" s="6"/>
      <c r="AI98" s="6"/>
      <c r="AJ98" s="6"/>
      <c r="AK98" s="6"/>
      <c r="AL98" s="6"/>
      <c r="AM98" s="6"/>
      <c r="AN98" s="6"/>
      <c r="AO98" s="6"/>
      <c r="AP98" s="6"/>
      <c r="AQ98" s="6"/>
      <c r="AR98" s="6"/>
      <c r="AS98" s="6"/>
      <c r="AT98" s="6"/>
    </row>
    <row r="99" spans="22:46">
      <c r="V99" s="6"/>
      <c r="AA99" s="6"/>
      <c r="AB99" s="6"/>
      <c r="AC99" s="6"/>
      <c r="AD99" s="6"/>
      <c r="AE99" s="6"/>
      <c r="AF99" s="6"/>
      <c r="AG99" s="6"/>
      <c r="AH99" s="6"/>
      <c r="AI99" s="6"/>
      <c r="AJ99" s="6"/>
      <c r="AK99" s="6"/>
      <c r="AL99" s="6"/>
      <c r="AM99" s="6"/>
      <c r="AN99" s="6"/>
      <c r="AO99" s="6"/>
      <c r="AP99" s="6"/>
      <c r="AQ99" s="6"/>
      <c r="AR99" s="6"/>
      <c r="AS99" s="6"/>
      <c r="AT99" s="6"/>
    </row>
    <row r="100" spans="22:46">
      <c r="V100" s="6"/>
      <c r="AA100" s="6"/>
      <c r="AB100" s="6"/>
      <c r="AC100" s="6"/>
      <c r="AD100" s="6"/>
      <c r="AE100" s="6"/>
      <c r="AF100" s="6"/>
      <c r="AG100" s="6"/>
      <c r="AH100" s="6"/>
      <c r="AI100" s="6"/>
      <c r="AJ100" s="6"/>
      <c r="AK100" s="6"/>
      <c r="AL100" s="6"/>
      <c r="AM100" s="6"/>
      <c r="AN100" s="6"/>
      <c r="AO100" s="6"/>
      <c r="AP100" s="6"/>
      <c r="AQ100" s="6"/>
      <c r="AR100" s="6"/>
      <c r="AS100" s="6"/>
      <c r="AT100" s="6"/>
    </row>
    <row r="101" spans="22:46">
      <c r="V101" s="6"/>
      <c r="AA101" s="6"/>
      <c r="AB101" s="6"/>
      <c r="AC101" s="6"/>
      <c r="AD101" s="6"/>
      <c r="AE101" s="6"/>
      <c r="AF101" s="6"/>
      <c r="AG101" s="6"/>
      <c r="AH101" s="6"/>
      <c r="AI101" s="6"/>
      <c r="AJ101" s="6"/>
      <c r="AK101" s="6"/>
      <c r="AL101" s="6"/>
      <c r="AM101" s="6"/>
      <c r="AN101" s="6"/>
      <c r="AO101" s="6"/>
      <c r="AP101" s="6"/>
      <c r="AQ101" s="6"/>
      <c r="AR101" s="6"/>
      <c r="AS101" s="6"/>
      <c r="AT101" s="6"/>
    </row>
    <row r="102" spans="22:46">
      <c r="V102" s="6"/>
      <c r="AA102" s="6"/>
      <c r="AB102" s="6"/>
      <c r="AC102" s="6"/>
      <c r="AD102" s="6"/>
      <c r="AE102" s="6"/>
      <c r="AF102" s="6"/>
      <c r="AG102" s="6"/>
      <c r="AH102" s="6"/>
      <c r="AI102" s="6"/>
      <c r="AJ102" s="6"/>
      <c r="AK102" s="6"/>
      <c r="AL102" s="6"/>
      <c r="AM102" s="6"/>
      <c r="AN102" s="6"/>
      <c r="AO102" s="6"/>
      <c r="AP102" s="6"/>
      <c r="AQ102" s="6"/>
      <c r="AR102" s="6"/>
      <c r="AS102" s="6"/>
      <c r="AT102" s="6"/>
    </row>
    <row r="103" spans="22:46">
      <c r="V103" s="6"/>
      <c r="AA103" s="6"/>
      <c r="AB103" s="6"/>
      <c r="AC103" s="6"/>
      <c r="AD103" s="6"/>
      <c r="AE103" s="6"/>
      <c r="AF103" s="6"/>
      <c r="AG103" s="6"/>
      <c r="AH103" s="6"/>
      <c r="AI103" s="6"/>
      <c r="AJ103" s="6"/>
      <c r="AK103" s="6"/>
      <c r="AL103" s="6"/>
      <c r="AM103" s="6"/>
      <c r="AN103" s="6"/>
      <c r="AO103" s="6"/>
      <c r="AP103" s="6"/>
      <c r="AQ103" s="6"/>
      <c r="AR103" s="6"/>
      <c r="AS103" s="6"/>
      <c r="AT103" s="6"/>
    </row>
    <row r="104" spans="22:46">
      <c r="V104" s="6"/>
      <c r="AA104" s="6"/>
      <c r="AB104" s="6"/>
      <c r="AC104" s="6"/>
      <c r="AD104" s="6"/>
      <c r="AE104" s="6"/>
      <c r="AF104" s="6"/>
      <c r="AG104" s="6"/>
      <c r="AH104" s="6"/>
      <c r="AI104" s="6"/>
      <c r="AJ104" s="6"/>
      <c r="AK104" s="6"/>
      <c r="AL104" s="6"/>
      <c r="AM104" s="6"/>
      <c r="AN104" s="6"/>
      <c r="AO104" s="6"/>
      <c r="AP104" s="6"/>
      <c r="AQ104" s="6"/>
      <c r="AR104" s="6"/>
      <c r="AS104" s="6"/>
      <c r="AT104" s="6"/>
    </row>
    <row r="105" spans="22:46">
      <c r="V105" s="6"/>
      <c r="AA105" s="6"/>
      <c r="AB105" s="6"/>
      <c r="AC105" s="6"/>
      <c r="AD105" s="6"/>
      <c r="AE105" s="6"/>
      <c r="AF105" s="6"/>
      <c r="AG105" s="6"/>
      <c r="AH105" s="6"/>
      <c r="AI105" s="6"/>
      <c r="AJ105" s="6"/>
      <c r="AK105" s="6"/>
      <c r="AL105" s="6"/>
      <c r="AM105" s="6"/>
      <c r="AN105" s="6"/>
      <c r="AO105" s="6"/>
      <c r="AP105" s="6"/>
      <c r="AQ105" s="6"/>
      <c r="AR105" s="6"/>
      <c r="AS105" s="6"/>
      <c r="AT105" s="6"/>
    </row>
    <row r="106" spans="22:46">
      <c r="V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  <c r="AK106" s="6"/>
      <c r="AL106" s="6"/>
      <c r="AM106" s="6"/>
      <c r="AN106" s="6"/>
      <c r="AO106" s="6"/>
      <c r="AP106" s="6"/>
      <c r="AQ106" s="6"/>
      <c r="AR106" s="6"/>
      <c r="AS106" s="6"/>
      <c r="AT106" s="6"/>
    </row>
    <row r="107" spans="22:46">
      <c r="V107" s="6"/>
      <c r="AA107" s="6"/>
      <c r="AB107" s="6"/>
      <c r="AC107" s="6"/>
      <c r="AD107" s="6"/>
      <c r="AE107" s="6"/>
      <c r="AF107" s="6"/>
      <c r="AG107" s="6"/>
      <c r="AH107" s="6"/>
      <c r="AI107" s="6"/>
      <c r="AJ107" s="6"/>
      <c r="AK107" s="6"/>
      <c r="AL107" s="6"/>
      <c r="AM107" s="6"/>
      <c r="AN107" s="6"/>
      <c r="AO107" s="6"/>
      <c r="AP107" s="6"/>
      <c r="AQ107" s="6"/>
      <c r="AR107" s="6"/>
      <c r="AS107" s="6"/>
      <c r="AT107" s="6"/>
    </row>
    <row r="108" spans="22:46">
      <c r="V108" s="6"/>
      <c r="AA108" s="6"/>
      <c r="AB108" s="6"/>
      <c r="AC108" s="6"/>
      <c r="AD108" s="6"/>
      <c r="AE108" s="6"/>
      <c r="AF108" s="6"/>
      <c r="AG108" s="6"/>
      <c r="AH108" s="6"/>
      <c r="AI108" s="6"/>
      <c r="AJ108" s="6"/>
      <c r="AK108" s="6"/>
      <c r="AL108" s="6"/>
      <c r="AM108" s="6"/>
      <c r="AN108" s="6"/>
      <c r="AO108" s="6"/>
      <c r="AP108" s="6"/>
      <c r="AQ108" s="6"/>
      <c r="AR108" s="6"/>
      <c r="AS108" s="6"/>
      <c r="AT108" s="6"/>
    </row>
    <row r="109" spans="22:46">
      <c r="V109" s="6"/>
      <c r="AA109" s="6"/>
      <c r="AB109" s="6"/>
      <c r="AC109" s="6"/>
      <c r="AD109" s="6"/>
      <c r="AE109" s="6"/>
      <c r="AF109" s="6"/>
      <c r="AG109" s="6"/>
      <c r="AH109" s="6"/>
      <c r="AI109" s="6"/>
      <c r="AJ109" s="6"/>
      <c r="AK109" s="6"/>
      <c r="AL109" s="6"/>
      <c r="AM109" s="6"/>
      <c r="AN109" s="6"/>
      <c r="AO109" s="6"/>
      <c r="AP109" s="6"/>
      <c r="AQ109" s="6"/>
      <c r="AR109" s="6"/>
      <c r="AS109" s="6"/>
      <c r="AT109" s="6"/>
    </row>
    <row r="110" spans="22:46">
      <c r="V110" s="6"/>
      <c r="AA110" s="6"/>
      <c r="AB110" s="6"/>
      <c r="AC110" s="6"/>
      <c r="AD110" s="6"/>
      <c r="AE110" s="6"/>
      <c r="AF110" s="6"/>
      <c r="AG110" s="6"/>
      <c r="AH110" s="6"/>
      <c r="AI110" s="6"/>
      <c r="AJ110" s="6"/>
      <c r="AK110" s="6"/>
      <c r="AL110" s="6"/>
      <c r="AM110" s="6"/>
      <c r="AN110" s="6"/>
      <c r="AO110" s="6"/>
      <c r="AP110" s="6"/>
      <c r="AQ110" s="6"/>
      <c r="AR110" s="6"/>
      <c r="AS110" s="6"/>
      <c r="AT110" s="6"/>
    </row>
    <row r="111" spans="22:46">
      <c r="V111" s="6"/>
      <c r="AA111" s="6"/>
      <c r="AB111" s="6"/>
      <c r="AC111" s="6"/>
      <c r="AD111" s="6"/>
      <c r="AE111" s="6"/>
      <c r="AF111" s="6"/>
      <c r="AG111" s="6"/>
      <c r="AH111" s="6"/>
      <c r="AI111" s="6"/>
      <c r="AJ111" s="6"/>
      <c r="AK111" s="6"/>
      <c r="AL111" s="6"/>
      <c r="AM111" s="6"/>
      <c r="AN111" s="6"/>
      <c r="AO111" s="6"/>
      <c r="AP111" s="6"/>
      <c r="AQ111" s="6"/>
      <c r="AR111" s="6"/>
      <c r="AS111" s="6"/>
      <c r="AT111" s="6"/>
    </row>
    <row r="112" spans="22:46">
      <c r="V112" s="6"/>
      <c r="AA112" s="6"/>
      <c r="AB112" s="6"/>
      <c r="AC112" s="6"/>
      <c r="AD112" s="6"/>
      <c r="AE112" s="6"/>
      <c r="AF112" s="6"/>
      <c r="AG112" s="6"/>
      <c r="AH112" s="6"/>
      <c r="AI112" s="6"/>
      <c r="AJ112" s="6"/>
      <c r="AK112" s="6"/>
      <c r="AL112" s="6"/>
      <c r="AM112" s="6"/>
      <c r="AN112" s="6"/>
      <c r="AO112" s="6"/>
      <c r="AP112" s="6"/>
      <c r="AQ112" s="6"/>
      <c r="AR112" s="6"/>
      <c r="AS112" s="6"/>
      <c r="AT112" s="6"/>
    </row>
    <row r="113" spans="22:46">
      <c r="V113" s="6"/>
      <c r="AA113" s="6"/>
      <c r="AB113" s="6"/>
      <c r="AC113" s="6"/>
      <c r="AD113" s="6"/>
      <c r="AE113" s="6"/>
      <c r="AF113" s="6"/>
      <c r="AG113" s="6"/>
      <c r="AH113" s="6"/>
      <c r="AI113" s="6"/>
      <c r="AJ113" s="6"/>
      <c r="AK113" s="6"/>
      <c r="AL113" s="6"/>
      <c r="AM113" s="6"/>
      <c r="AN113" s="6"/>
      <c r="AO113" s="6"/>
      <c r="AP113" s="6"/>
      <c r="AQ113" s="6"/>
      <c r="AR113" s="6"/>
      <c r="AS113" s="6"/>
      <c r="AT113" s="6"/>
    </row>
    <row r="114" spans="22:46">
      <c r="V114" s="6"/>
      <c r="AA114" s="6"/>
      <c r="AB114" s="6"/>
      <c r="AC114" s="6"/>
      <c r="AD114" s="6"/>
      <c r="AE114" s="6"/>
      <c r="AF114" s="6"/>
      <c r="AG114" s="6"/>
      <c r="AH114" s="6"/>
      <c r="AI114" s="6"/>
      <c r="AJ114" s="6"/>
      <c r="AK114" s="6"/>
      <c r="AL114" s="6"/>
      <c r="AM114" s="6"/>
      <c r="AN114" s="6"/>
      <c r="AO114" s="6"/>
      <c r="AP114" s="6"/>
      <c r="AQ114" s="6"/>
      <c r="AR114" s="6"/>
      <c r="AS114" s="6"/>
      <c r="AT114" s="6"/>
    </row>
    <row r="115" spans="22:46">
      <c r="V115" s="6"/>
      <c r="AA115" s="6"/>
      <c r="AB115" s="6"/>
      <c r="AC115" s="6"/>
      <c r="AD115" s="6"/>
      <c r="AE115" s="6"/>
      <c r="AF115" s="6"/>
      <c r="AG115" s="6"/>
      <c r="AH115" s="6"/>
      <c r="AI115" s="6"/>
      <c r="AJ115" s="6"/>
      <c r="AK115" s="6"/>
      <c r="AL115" s="6"/>
      <c r="AM115" s="6"/>
      <c r="AN115" s="6"/>
      <c r="AO115" s="6"/>
      <c r="AP115" s="6"/>
      <c r="AQ115" s="6"/>
      <c r="AR115" s="6"/>
      <c r="AS115" s="6"/>
      <c r="AT115" s="6"/>
    </row>
    <row r="116" spans="22:46">
      <c r="V116" s="6"/>
      <c r="AA116" s="6"/>
      <c r="AB116" s="6"/>
      <c r="AC116" s="6"/>
      <c r="AD116" s="6"/>
      <c r="AE116" s="6"/>
      <c r="AF116" s="6"/>
      <c r="AG116" s="6"/>
      <c r="AH116" s="6"/>
      <c r="AI116" s="6"/>
      <c r="AJ116" s="6"/>
      <c r="AK116" s="6"/>
      <c r="AL116" s="6"/>
      <c r="AM116" s="6"/>
      <c r="AN116" s="6"/>
      <c r="AO116" s="6"/>
      <c r="AP116" s="6"/>
      <c r="AQ116" s="6"/>
      <c r="AR116" s="6"/>
      <c r="AS116" s="6"/>
      <c r="AT116" s="6"/>
    </row>
    <row r="117" spans="22:46">
      <c r="V117" s="6"/>
      <c r="AA117" s="6"/>
      <c r="AB117" s="6"/>
      <c r="AC117" s="6"/>
      <c r="AD117" s="6"/>
      <c r="AE117" s="6"/>
      <c r="AF117" s="6"/>
      <c r="AG117" s="6"/>
      <c r="AH117" s="6"/>
      <c r="AI117" s="6"/>
      <c r="AJ117" s="6"/>
      <c r="AK117" s="6"/>
      <c r="AL117" s="6"/>
      <c r="AM117" s="6"/>
      <c r="AN117" s="6"/>
      <c r="AO117" s="6"/>
      <c r="AP117" s="6"/>
      <c r="AQ117" s="6"/>
      <c r="AR117" s="6"/>
      <c r="AS117" s="6"/>
      <c r="AT117" s="6"/>
    </row>
    <row r="118" spans="22:46">
      <c r="V118" s="6"/>
      <c r="AA118" s="6"/>
      <c r="AB118" s="6"/>
      <c r="AC118" s="6"/>
      <c r="AD118" s="6"/>
      <c r="AE118" s="6"/>
      <c r="AF118" s="6"/>
      <c r="AG118" s="6"/>
      <c r="AH118" s="6"/>
      <c r="AI118" s="6"/>
      <c r="AJ118" s="6"/>
      <c r="AK118" s="6"/>
      <c r="AL118" s="6"/>
      <c r="AM118" s="6"/>
      <c r="AN118" s="6"/>
      <c r="AO118" s="6"/>
      <c r="AP118" s="6"/>
      <c r="AQ118" s="6"/>
      <c r="AR118" s="6"/>
      <c r="AS118" s="6"/>
      <c r="AT118" s="6"/>
    </row>
    <row r="119" spans="22:46">
      <c r="V119" s="6"/>
      <c r="AA119" s="6"/>
      <c r="AB119" s="6"/>
      <c r="AC119" s="6"/>
      <c r="AD119" s="6"/>
      <c r="AE119" s="6"/>
      <c r="AF119" s="6"/>
      <c r="AG119" s="6"/>
      <c r="AH119" s="6"/>
      <c r="AI119" s="6"/>
      <c r="AJ119" s="6"/>
      <c r="AK119" s="6"/>
      <c r="AL119" s="6"/>
      <c r="AM119" s="6"/>
      <c r="AN119" s="6"/>
      <c r="AO119" s="6"/>
      <c r="AP119" s="6"/>
      <c r="AQ119" s="6"/>
      <c r="AR119" s="6"/>
      <c r="AS119" s="6"/>
      <c r="AT119" s="6"/>
    </row>
    <row r="120" spans="22:46">
      <c r="V120" s="6"/>
      <c r="AA120" s="6"/>
      <c r="AB120" s="6"/>
      <c r="AC120" s="6"/>
      <c r="AD120" s="6"/>
      <c r="AE120" s="6"/>
      <c r="AF120" s="6"/>
      <c r="AG120" s="6"/>
      <c r="AH120" s="6"/>
      <c r="AI120" s="6"/>
      <c r="AJ120" s="6"/>
      <c r="AK120" s="6"/>
      <c r="AL120" s="6"/>
      <c r="AM120" s="6"/>
      <c r="AN120" s="6"/>
      <c r="AO120" s="6"/>
      <c r="AP120" s="6"/>
      <c r="AQ120" s="6"/>
      <c r="AR120" s="6"/>
      <c r="AS120" s="6"/>
      <c r="AT120" s="6"/>
    </row>
    <row r="121" spans="22:46">
      <c r="V121" s="6"/>
      <c r="AA121" s="6"/>
      <c r="AB121" s="6"/>
      <c r="AC121" s="6"/>
      <c r="AD121" s="6"/>
      <c r="AE121" s="6"/>
      <c r="AF121" s="6"/>
      <c r="AG121" s="6"/>
      <c r="AH121" s="6"/>
      <c r="AI121" s="6"/>
      <c r="AJ121" s="6"/>
      <c r="AK121" s="6"/>
      <c r="AL121" s="6"/>
      <c r="AM121" s="6"/>
      <c r="AN121" s="6"/>
      <c r="AO121" s="6"/>
      <c r="AP121" s="6"/>
      <c r="AQ121" s="6"/>
      <c r="AR121" s="6"/>
      <c r="AS121" s="6"/>
      <c r="AT121" s="6"/>
    </row>
    <row r="122" spans="22:46">
      <c r="V122" s="6"/>
      <c r="AA122" s="6"/>
      <c r="AB122" s="6"/>
      <c r="AC122" s="6"/>
      <c r="AD122" s="6"/>
      <c r="AE122" s="6"/>
      <c r="AF122" s="6"/>
      <c r="AG122" s="6"/>
      <c r="AH122" s="6"/>
      <c r="AI122" s="6"/>
      <c r="AJ122" s="6"/>
      <c r="AK122" s="6"/>
      <c r="AL122" s="6"/>
      <c r="AM122" s="6"/>
      <c r="AN122" s="6"/>
      <c r="AO122" s="6"/>
      <c r="AP122" s="6"/>
      <c r="AQ122" s="6"/>
      <c r="AR122" s="6"/>
      <c r="AS122" s="6"/>
      <c r="AT122" s="6"/>
    </row>
    <row r="123" spans="22:46">
      <c r="V123" s="6"/>
      <c r="AA123" s="6"/>
      <c r="AB123" s="6"/>
      <c r="AC123" s="6"/>
      <c r="AD123" s="6"/>
      <c r="AE123" s="6"/>
      <c r="AF123" s="6"/>
      <c r="AG123" s="6"/>
      <c r="AH123" s="6"/>
      <c r="AI123" s="6"/>
      <c r="AJ123" s="6"/>
      <c r="AK123" s="6"/>
      <c r="AL123" s="6"/>
      <c r="AM123" s="6"/>
      <c r="AN123" s="6"/>
      <c r="AO123" s="6"/>
      <c r="AP123" s="6"/>
      <c r="AQ123" s="6"/>
      <c r="AR123" s="6"/>
      <c r="AS123" s="6"/>
      <c r="AT123" s="6"/>
    </row>
    <row r="124" spans="22:46">
      <c r="V124" s="6"/>
      <c r="AA124" s="6"/>
      <c r="AB124" s="6"/>
      <c r="AC124" s="6"/>
      <c r="AD124" s="6"/>
      <c r="AE124" s="6"/>
      <c r="AF124" s="6"/>
      <c r="AG124" s="6"/>
      <c r="AH124" s="6"/>
      <c r="AI124" s="6"/>
      <c r="AJ124" s="6"/>
      <c r="AK124" s="6"/>
      <c r="AL124" s="6"/>
      <c r="AM124" s="6"/>
      <c r="AN124" s="6"/>
      <c r="AO124" s="6"/>
      <c r="AP124" s="6"/>
      <c r="AQ124" s="6"/>
      <c r="AR124" s="6"/>
      <c r="AS124" s="6"/>
      <c r="AT124" s="6"/>
    </row>
    <row r="125" spans="22:46">
      <c r="V125" s="6"/>
      <c r="AA125" s="6"/>
      <c r="AB125" s="6"/>
      <c r="AC125" s="6"/>
      <c r="AD125" s="6"/>
      <c r="AE125" s="6"/>
      <c r="AF125" s="6"/>
      <c r="AG125" s="6"/>
      <c r="AH125" s="6"/>
      <c r="AI125" s="6"/>
      <c r="AJ125" s="6"/>
      <c r="AK125" s="6"/>
      <c r="AL125" s="6"/>
      <c r="AM125" s="6"/>
      <c r="AN125" s="6"/>
      <c r="AO125" s="6"/>
      <c r="AP125" s="6"/>
      <c r="AQ125" s="6"/>
      <c r="AR125" s="6"/>
      <c r="AS125" s="6"/>
      <c r="AT125" s="6"/>
    </row>
    <row r="126" spans="22:46">
      <c r="V126" s="6"/>
      <c r="AA126" s="6"/>
      <c r="AB126" s="6"/>
      <c r="AC126" s="6"/>
      <c r="AD126" s="6"/>
      <c r="AE126" s="6"/>
      <c r="AF126" s="6"/>
      <c r="AG126" s="6"/>
      <c r="AH126" s="6"/>
      <c r="AI126" s="6"/>
      <c r="AJ126" s="6"/>
      <c r="AK126" s="6"/>
      <c r="AL126" s="6"/>
      <c r="AM126" s="6"/>
      <c r="AN126" s="6"/>
      <c r="AO126" s="6"/>
      <c r="AP126" s="6"/>
      <c r="AQ126" s="6"/>
      <c r="AR126" s="6"/>
      <c r="AS126" s="6"/>
      <c r="AT126" s="6"/>
    </row>
    <row r="127" spans="22:46">
      <c r="V127" s="6"/>
      <c r="AA127" s="6"/>
      <c r="AB127" s="6"/>
      <c r="AC127" s="6"/>
      <c r="AD127" s="6"/>
      <c r="AE127" s="6"/>
      <c r="AF127" s="6"/>
      <c r="AG127" s="6"/>
      <c r="AH127" s="6"/>
      <c r="AI127" s="6"/>
      <c r="AJ127" s="6"/>
      <c r="AK127" s="6"/>
      <c r="AL127" s="6"/>
      <c r="AM127" s="6"/>
      <c r="AN127" s="6"/>
      <c r="AO127" s="6"/>
      <c r="AP127" s="6"/>
      <c r="AQ127" s="6"/>
      <c r="AR127" s="6"/>
      <c r="AS127" s="6"/>
      <c r="AT127" s="6"/>
    </row>
    <row r="128" spans="22:46">
      <c r="V128" s="6"/>
      <c r="AA128" s="6"/>
      <c r="AB128" s="6"/>
      <c r="AC128" s="6"/>
      <c r="AD128" s="6"/>
      <c r="AE128" s="6"/>
      <c r="AF128" s="6"/>
      <c r="AG128" s="6"/>
      <c r="AH128" s="6"/>
      <c r="AI128" s="6"/>
      <c r="AJ128" s="6"/>
      <c r="AK128" s="6"/>
      <c r="AL128" s="6"/>
      <c r="AM128" s="6"/>
      <c r="AN128" s="6"/>
      <c r="AO128" s="6"/>
      <c r="AP128" s="6"/>
      <c r="AQ128" s="6"/>
      <c r="AR128" s="6"/>
      <c r="AS128" s="6"/>
      <c r="AT128" s="6"/>
    </row>
    <row r="129" spans="22:46" ht="15" customHeight="1">
      <c r="V129" s="6"/>
      <c r="AA129" s="6"/>
      <c r="AB129" s="6"/>
      <c r="AC129" s="6"/>
      <c r="AD129" s="6"/>
      <c r="AE129" s="6"/>
      <c r="AF129" s="6"/>
      <c r="AG129" s="6"/>
      <c r="AH129" s="6"/>
      <c r="AI129" s="6"/>
      <c r="AJ129" s="6"/>
      <c r="AK129" s="6"/>
      <c r="AL129" s="6"/>
      <c r="AM129" s="6"/>
      <c r="AN129" s="6"/>
      <c r="AO129" s="6"/>
      <c r="AP129" s="6"/>
      <c r="AQ129" s="6"/>
      <c r="AR129" s="6"/>
      <c r="AS129" s="6"/>
      <c r="AT129" s="6"/>
    </row>
    <row r="130" spans="22:46">
      <c r="V130" s="6"/>
      <c r="AA130" s="6"/>
      <c r="AB130" s="6"/>
      <c r="AC130" s="6"/>
      <c r="AD130" s="6"/>
      <c r="AE130" s="6"/>
      <c r="AF130" s="6"/>
      <c r="AG130" s="6"/>
      <c r="AH130" s="6"/>
      <c r="AI130" s="6"/>
      <c r="AJ130" s="6"/>
      <c r="AK130" s="6"/>
      <c r="AL130" s="6"/>
      <c r="AM130" s="6"/>
      <c r="AN130" s="6"/>
      <c r="AO130" s="6"/>
      <c r="AP130" s="6"/>
      <c r="AQ130" s="6"/>
      <c r="AR130" s="6"/>
      <c r="AS130" s="6"/>
      <c r="AT130" s="6"/>
    </row>
    <row r="131" spans="22:46">
      <c r="V131" s="6"/>
      <c r="AA131" s="6"/>
      <c r="AB131" s="6"/>
      <c r="AC131" s="6"/>
      <c r="AD131" s="6"/>
      <c r="AE131" s="6"/>
      <c r="AF131" s="6"/>
      <c r="AG131" s="6"/>
      <c r="AH131" s="6"/>
      <c r="AI131" s="6"/>
      <c r="AJ131" s="6"/>
      <c r="AK131" s="6"/>
      <c r="AL131" s="6"/>
      <c r="AM131" s="6"/>
      <c r="AN131" s="6"/>
      <c r="AO131" s="6"/>
      <c r="AP131" s="6"/>
      <c r="AQ131" s="6"/>
      <c r="AR131" s="6"/>
      <c r="AS131" s="6"/>
      <c r="AT131" s="6"/>
    </row>
    <row r="132" spans="22:46">
      <c r="V132" s="6"/>
      <c r="AA132" s="6"/>
      <c r="AB132" s="6"/>
      <c r="AC132" s="6"/>
      <c r="AD132" s="6"/>
      <c r="AE132" s="6"/>
      <c r="AF132" s="6"/>
      <c r="AG132" s="6"/>
      <c r="AH132" s="6"/>
      <c r="AI132" s="6"/>
      <c r="AJ132" s="6"/>
      <c r="AK132" s="6"/>
      <c r="AL132" s="6"/>
      <c r="AM132" s="6"/>
      <c r="AN132" s="6"/>
      <c r="AO132" s="6"/>
      <c r="AP132" s="6"/>
      <c r="AQ132" s="6"/>
      <c r="AR132" s="6"/>
      <c r="AS132" s="6"/>
      <c r="AT132" s="6"/>
    </row>
    <row r="133" spans="22:46">
      <c r="V133" s="6"/>
      <c r="AA133" s="6"/>
      <c r="AB133" s="6"/>
      <c r="AC133" s="6"/>
      <c r="AD133" s="6"/>
      <c r="AE133" s="6"/>
      <c r="AF133" s="6"/>
      <c r="AG133" s="6"/>
      <c r="AH133" s="6"/>
      <c r="AI133" s="6"/>
      <c r="AJ133" s="6"/>
      <c r="AK133" s="6"/>
      <c r="AL133" s="6"/>
      <c r="AM133" s="6"/>
      <c r="AN133" s="6"/>
      <c r="AO133" s="6"/>
      <c r="AP133" s="6"/>
      <c r="AQ133" s="6"/>
      <c r="AR133" s="6"/>
      <c r="AS133" s="6"/>
      <c r="AT133" s="6"/>
    </row>
    <row r="134" spans="22:46">
      <c r="V134" s="6"/>
      <c r="AA134" s="6"/>
      <c r="AB134" s="6"/>
      <c r="AC134" s="6"/>
      <c r="AD134" s="6"/>
      <c r="AE134" s="6"/>
      <c r="AF134" s="6"/>
      <c r="AG134" s="6"/>
      <c r="AH134" s="6"/>
      <c r="AI134" s="6"/>
      <c r="AJ134" s="6"/>
      <c r="AK134" s="6"/>
      <c r="AL134" s="6"/>
      <c r="AM134" s="6"/>
      <c r="AN134" s="6"/>
      <c r="AO134" s="6"/>
      <c r="AP134" s="6"/>
      <c r="AQ134" s="6"/>
      <c r="AR134" s="6"/>
      <c r="AS134" s="6"/>
      <c r="AT134" s="6"/>
    </row>
    <row r="135" spans="22:46">
      <c r="V135" s="6"/>
      <c r="AA135" s="6"/>
      <c r="AB135" s="6"/>
      <c r="AC135" s="6"/>
      <c r="AD135" s="6"/>
      <c r="AE135" s="6"/>
      <c r="AF135" s="6"/>
      <c r="AG135" s="6"/>
      <c r="AH135" s="6"/>
      <c r="AI135" s="6"/>
      <c r="AJ135" s="6"/>
      <c r="AK135" s="6"/>
      <c r="AL135" s="6"/>
      <c r="AM135" s="6"/>
      <c r="AN135" s="6"/>
      <c r="AO135" s="6"/>
      <c r="AP135" s="6"/>
      <c r="AQ135" s="6"/>
      <c r="AR135" s="6"/>
      <c r="AS135" s="6"/>
      <c r="AT135" s="6"/>
    </row>
    <row r="136" spans="22:46">
      <c r="V136" s="6"/>
      <c r="AA136" s="6"/>
      <c r="AB136" s="6"/>
      <c r="AC136" s="6"/>
      <c r="AD136" s="6"/>
      <c r="AE136" s="6"/>
      <c r="AF136" s="6"/>
      <c r="AG136" s="6"/>
      <c r="AH136" s="6"/>
      <c r="AI136" s="6"/>
      <c r="AJ136" s="6"/>
      <c r="AK136" s="6"/>
      <c r="AL136" s="6"/>
      <c r="AM136" s="6"/>
      <c r="AN136" s="6"/>
      <c r="AO136" s="6"/>
      <c r="AP136" s="6"/>
      <c r="AQ136" s="6"/>
      <c r="AR136" s="6"/>
      <c r="AS136" s="6"/>
      <c r="AT136" s="6"/>
    </row>
    <row r="137" spans="22:46">
      <c r="V137" s="6"/>
      <c r="AA137" s="6"/>
      <c r="AB137" s="6"/>
      <c r="AC137" s="6"/>
      <c r="AD137" s="6"/>
      <c r="AE137" s="6"/>
      <c r="AF137" s="6"/>
      <c r="AG137" s="6"/>
      <c r="AH137" s="6"/>
      <c r="AI137" s="6"/>
      <c r="AJ137" s="6"/>
      <c r="AK137" s="6"/>
      <c r="AL137" s="6"/>
      <c r="AM137" s="6"/>
      <c r="AN137" s="6"/>
      <c r="AO137" s="6"/>
      <c r="AP137" s="6"/>
      <c r="AQ137" s="6"/>
      <c r="AR137" s="6"/>
      <c r="AS137" s="6"/>
      <c r="AT137" s="6"/>
    </row>
    <row r="138" spans="22:46">
      <c r="V138" s="6"/>
      <c r="AA138" s="6"/>
      <c r="AB138" s="6"/>
      <c r="AC138" s="6"/>
      <c r="AD138" s="6"/>
      <c r="AE138" s="6"/>
      <c r="AF138" s="6"/>
      <c r="AG138" s="6"/>
      <c r="AH138" s="6"/>
      <c r="AI138" s="6"/>
      <c r="AJ138" s="6"/>
      <c r="AK138" s="6"/>
      <c r="AL138" s="6"/>
      <c r="AM138" s="6"/>
      <c r="AN138" s="6"/>
      <c r="AO138" s="6"/>
      <c r="AP138" s="6"/>
      <c r="AQ138" s="6"/>
      <c r="AR138" s="6"/>
      <c r="AS138" s="6"/>
      <c r="AT138" s="6"/>
    </row>
    <row r="139" spans="22:46">
      <c r="V139" s="6"/>
      <c r="AA139" s="6"/>
      <c r="AB139" s="6"/>
      <c r="AC139" s="6"/>
      <c r="AD139" s="6"/>
      <c r="AE139" s="6"/>
      <c r="AF139" s="6"/>
      <c r="AG139" s="6"/>
      <c r="AH139" s="6"/>
      <c r="AI139" s="6"/>
      <c r="AJ139" s="6"/>
      <c r="AK139" s="6"/>
      <c r="AL139" s="6"/>
      <c r="AM139" s="6"/>
      <c r="AN139" s="6"/>
      <c r="AO139" s="6"/>
      <c r="AP139" s="6"/>
      <c r="AQ139" s="6"/>
      <c r="AR139" s="6"/>
      <c r="AS139" s="6"/>
      <c r="AT139" s="6"/>
    </row>
    <row r="140" spans="22:46">
      <c r="V140" s="6"/>
      <c r="AA140" s="6"/>
      <c r="AB140" s="6"/>
      <c r="AC140" s="6"/>
      <c r="AD140" s="6"/>
      <c r="AE140" s="6"/>
      <c r="AF140" s="6"/>
      <c r="AG140" s="6"/>
      <c r="AH140" s="6"/>
      <c r="AI140" s="6"/>
      <c r="AJ140" s="6"/>
      <c r="AK140" s="6"/>
      <c r="AL140" s="6"/>
      <c r="AM140" s="6"/>
      <c r="AN140" s="6"/>
      <c r="AO140" s="6"/>
      <c r="AP140" s="6"/>
      <c r="AQ140" s="6"/>
      <c r="AR140" s="6"/>
      <c r="AS140" s="6"/>
      <c r="AT140" s="6"/>
    </row>
    <row r="141" spans="22:46">
      <c r="V141" s="6"/>
      <c r="AA141" s="6"/>
      <c r="AB141" s="6"/>
      <c r="AC141" s="6"/>
      <c r="AD141" s="6"/>
      <c r="AE141" s="6"/>
      <c r="AF141" s="6"/>
      <c r="AG141" s="6"/>
      <c r="AH141" s="6"/>
      <c r="AI141" s="6"/>
      <c r="AJ141" s="6"/>
      <c r="AK141" s="6"/>
      <c r="AL141" s="6"/>
      <c r="AM141" s="6"/>
      <c r="AN141" s="6"/>
      <c r="AO141" s="6"/>
      <c r="AP141" s="6"/>
      <c r="AQ141" s="6"/>
      <c r="AR141" s="6"/>
      <c r="AS141" s="6"/>
      <c r="AT141" s="6"/>
    </row>
    <row r="142" spans="22:46">
      <c r="V142" s="6"/>
      <c r="AA142" s="6"/>
      <c r="AB142" s="6"/>
      <c r="AC142" s="6"/>
      <c r="AD142" s="6"/>
      <c r="AE142" s="6"/>
      <c r="AF142" s="6"/>
      <c r="AG142" s="6"/>
      <c r="AH142" s="6"/>
      <c r="AI142" s="6"/>
      <c r="AJ142" s="6"/>
      <c r="AK142" s="6"/>
      <c r="AL142" s="6"/>
      <c r="AM142" s="6"/>
      <c r="AN142" s="6"/>
      <c r="AO142" s="6"/>
      <c r="AP142" s="6"/>
      <c r="AQ142" s="6"/>
      <c r="AR142" s="6"/>
      <c r="AS142" s="6"/>
      <c r="AT142" s="6"/>
    </row>
    <row r="143" spans="22:46">
      <c r="V143" s="6"/>
      <c r="AA143" s="6"/>
      <c r="AB143" s="6"/>
      <c r="AC143" s="6"/>
      <c r="AD143" s="6"/>
      <c r="AE143" s="6"/>
      <c r="AF143" s="6"/>
      <c r="AG143" s="6"/>
      <c r="AH143" s="6"/>
      <c r="AI143" s="6"/>
      <c r="AJ143" s="6"/>
      <c r="AK143" s="6"/>
      <c r="AL143" s="6"/>
      <c r="AM143" s="6"/>
      <c r="AN143" s="6"/>
      <c r="AO143" s="6"/>
      <c r="AP143" s="6"/>
      <c r="AQ143" s="6"/>
      <c r="AR143" s="6"/>
      <c r="AS143" s="6"/>
      <c r="AT143" s="6"/>
    </row>
    <row r="144" spans="22:46">
      <c r="V144" s="6"/>
      <c r="AA144" s="6"/>
      <c r="AB144" s="6"/>
      <c r="AC144" s="6"/>
      <c r="AD144" s="6"/>
      <c r="AE144" s="6"/>
      <c r="AF144" s="6"/>
      <c r="AG144" s="6"/>
      <c r="AH144" s="6"/>
      <c r="AI144" s="6"/>
      <c r="AJ144" s="6"/>
      <c r="AK144" s="6"/>
      <c r="AL144" s="6"/>
      <c r="AM144" s="6"/>
      <c r="AN144" s="6"/>
      <c r="AO144" s="6"/>
      <c r="AP144" s="6"/>
      <c r="AQ144" s="6"/>
      <c r="AR144" s="6"/>
      <c r="AS144" s="6"/>
      <c r="AT144" s="6"/>
    </row>
    <row r="145" spans="22:46">
      <c r="V145" s="6"/>
      <c r="AA145" s="6"/>
      <c r="AB145" s="6"/>
      <c r="AC145" s="6"/>
      <c r="AD145" s="6"/>
      <c r="AE145" s="6"/>
      <c r="AF145" s="6"/>
      <c r="AG145" s="6"/>
      <c r="AH145" s="6"/>
      <c r="AI145" s="6"/>
      <c r="AJ145" s="6"/>
      <c r="AK145" s="6"/>
      <c r="AL145" s="6"/>
      <c r="AM145" s="6"/>
      <c r="AN145" s="6"/>
      <c r="AO145" s="6"/>
      <c r="AP145" s="6"/>
      <c r="AQ145" s="6"/>
      <c r="AR145" s="6"/>
      <c r="AS145" s="6"/>
      <c r="AT145" s="6"/>
    </row>
    <row r="146" spans="22:46">
      <c r="V146" s="6"/>
      <c r="AA146" s="6"/>
      <c r="AB146" s="6"/>
      <c r="AC146" s="6"/>
      <c r="AD146" s="6"/>
      <c r="AE146" s="6"/>
      <c r="AF146" s="6"/>
      <c r="AG146" s="6"/>
      <c r="AH146" s="6"/>
      <c r="AI146" s="6"/>
      <c r="AJ146" s="6"/>
      <c r="AK146" s="6"/>
      <c r="AL146" s="6"/>
      <c r="AM146" s="6"/>
      <c r="AN146" s="6"/>
      <c r="AO146" s="6"/>
      <c r="AP146" s="6"/>
      <c r="AQ146" s="6"/>
      <c r="AR146" s="6"/>
      <c r="AS146" s="6"/>
      <c r="AT146" s="6"/>
    </row>
    <row r="147" spans="22:46">
      <c r="V147" s="6"/>
      <c r="AA147" s="6"/>
      <c r="AB147" s="6"/>
      <c r="AC147" s="6"/>
      <c r="AD147" s="6"/>
      <c r="AE147" s="6"/>
      <c r="AF147" s="6"/>
      <c r="AG147" s="6"/>
      <c r="AH147" s="6"/>
      <c r="AI147" s="6"/>
      <c r="AJ147" s="6"/>
      <c r="AK147" s="6"/>
      <c r="AL147" s="6"/>
      <c r="AM147" s="6"/>
      <c r="AN147" s="6"/>
      <c r="AO147" s="6"/>
      <c r="AP147" s="6"/>
      <c r="AQ147" s="6"/>
      <c r="AR147" s="6"/>
      <c r="AS147" s="6"/>
      <c r="AT147" s="6"/>
    </row>
    <row r="148" spans="22:46">
      <c r="V148" s="6"/>
      <c r="AA148" s="6"/>
      <c r="AB148" s="6"/>
      <c r="AC148" s="6"/>
      <c r="AD148" s="6"/>
      <c r="AE148" s="6"/>
      <c r="AF148" s="6"/>
      <c r="AG148" s="6"/>
      <c r="AH148" s="6"/>
      <c r="AI148" s="6"/>
      <c r="AJ148" s="6"/>
      <c r="AK148" s="6"/>
      <c r="AL148" s="6"/>
      <c r="AM148" s="6"/>
      <c r="AN148" s="6"/>
      <c r="AO148" s="6"/>
      <c r="AP148" s="6"/>
      <c r="AQ148" s="6"/>
      <c r="AR148" s="6"/>
      <c r="AS148" s="6"/>
      <c r="AT148" s="6"/>
    </row>
    <row r="149" spans="22:46">
      <c r="V149" s="6"/>
      <c r="AA149" s="6"/>
      <c r="AB149" s="6"/>
      <c r="AC149" s="6"/>
      <c r="AD149" s="6"/>
      <c r="AE149" s="6"/>
      <c r="AF149" s="6"/>
      <c r="AG149" s="6"/>
      <c r="AH149" s="6"/>
      <c r="AI149" s="6"/>
      <c r="AJ149" s="6"/>
      <c r="AK149" s="6"/>
      <c r="AL149" s="6"/>
      <c r="AM149" s="6"/>
      <c r="AN149" s="6"/>
      <c r="AO149" s="6"/>
      <c r="AP149" s="6"/>
      <c r="AQ149" s="6"/>
      <c r="AR149" s="6"/>
      <c r="AS149" s="6"/>
      <c r="AT149" s="6"/>
    </row>
    <row r="150" spans="22:46">
      <c r="V150" s="6"/>
      <c r="AA150" s="6"/>
      <c r="AB150" s="6"/>
      <c r="AC150" s="6"/>
      <c r="AD150" s="6"/>
      <c r="AE150" s="6"/>
      <c r="AF150" s="6"/>
      <c r="AG150" s="6"/>
      <c r="AH150" s="6"/>
      <c r="AI150" s="6"/>
      <c r="AJ150" s="6"/>
      <c r="AK150" s="6"/>
      <c r="AL150" s="6"/>
      <c r="AM150" s="6"/>
      <c r="AN150" s="6"/>
      <c r="AO150" s="6"/>
      <c r="AP150" s="6"/>
      <c r="AQ150" s="6"/>
      <c r="AR150" s="6"/>
      <c r="AS150" s="6"/>
      <c r="AT150" s="6"/>
    </row>
    <row r="151" spans="22:46">
      <c r="V151" s="6"/>
      <c r="AA151" s="6"/>
      <c r="AB151" s="6"/>
      <c r="AC151" s="6"/>
      <c r="AD151" s="6"/>
      <c r="AE151" s="6"/>
      <c r="AF151" s="6"/>
      <c r="AG151" s="6"/>
      <c r="AH151" s="6"/>
      <c r="AI151" s="6"/>
      <c r="AJ151" s="6"/>
      <c r="AK151" s="6"/>
      <c r="AL151" s="6"/>
      <c r="AM151" s="6"/>
      <c r="AN151" s="6"/>
      <c r="AO151" s="6"/>
      <c r="AP151" s="6"/>
      <c r="AQ151" s="6"/>
      <c r="AR151" s="6"/>
      <c r="AS151" s="6"/>
      <c r="AT151" s="6"/>
    </row>
    <row r="152" spans="22:46">
      <c r="V152" s="6"/>
      <c r="AA152" s="6"/>
      <c r="AB152" s="6"/>
      <c r="AC152" s="6"/>
      <c r="AD152" s="6"/>
      <c r="AE152" s="6"/>
      <c r="AF152" s="6"/>
      <c r="AG152" s="6"/>
      <c r="AH152" s="6"/>
      <c r="AI152" s="6"/>
      <c r="AJ152" s="6"/>
      <c r="AK152" s="6"/>
      <c r="AL152" s="6"/>
      <c r="AM152" s="6"/>
      <c r="AN152" s="6"/>
      <c r="AO152" s="6"/>
      <c r="AP152" s="6"/>
      <c r="AQ152" s="6"/>
      <c r="AR152" s="6"/>
      <c r="AS152" s="6"/>
      <c r="AT152" s="6"/>
    </row>
    <row r="153" spans="22:46">
      <c r="V153" s="6"/>
      <c r="AA153" s="6"/>
      <c r="AB153" s="6"/>
      <c r="AC153" s="6"/>
      <c r="AD153" s="6"/>
      <c r="AE153" s="6"/>
      <c r="AF153" s="6"/>
      <c r="AG153" s="6"/>
      <c r="AH153" s="6"/>
      <c r="AI153" s="6"/>
      <c r="AJ153" s="6"/>
      <c r="AK153" s="6"/>
      <c r="AL153" s="6"/>
      <c r="AM153" s="6"/>
      <c r="AN153" s="6"/>
      <c r="AO153" s="6"/>
      <c r="AP153" s="6"/>
      <c r="AQ153" s="6"/>
      <c r="AR153" s="6"/>
      <c r="AS153" s="6"/>
      <c r="AT153" s="6"/>
    </row>
    <row r="154" spans="22:46">
      <c r="V154" s="6"/>
      <c r="AA154" s="6"/>
      <c r="AB154" s="6"/>
      <c r="AC154" s="6"/>
      <c r="AD154" s="6"/>
      <c r="AE154" s="6"/>
      <c r="AF154" s="6"/>
      <c r="AG154" s="6"/>
      <c r="AH154" s="6"/>
      <c r="AI154" s="6"/>
      <c r="AJ154" s="6"/>
      <c r="AK154" s="6"/>
      <c r="AL154" s="6"/>
      <c r="AM154" s="6"/>
      <c r="AN154" s="6"/>
      <c r="AO154" s="6"/>
      <c r="AP154" s="6"/>
      <c r="AQ154" s="6"/>
      <c r="AR154" s="6"/>
      <c r="AS154" s="6"/>
      <c r="AT154" s="6"/>
    </row>
    <row r="155" spans="22:46">
      <c r="V155" s="6"/>
      <c r="AA155" s="6"/>
      <c r="AB155" s="6"/>
      <c r="AC155" s="6"/>
      <c r="AD155" s="6"/>
      <c r="AE155" s="6"/>
      <c r="AF155" s="6"/>
      <c r="AG155" s="6"/>
      <c r="AH155" s="6"/>
      <c r="AI155" s="6"/>
      <c r="AJ155" s="6"/>
      <c r="AK155" s="6"/>
      <c r="AL155" s="6"/>
      <c r="AM155" s="6"/>
      <c r="AN155" s="6"/>
      <c r="AO155" s="6"/>
      <c r="AP155" s="6"/>
      <c r="AQ155" s="6"/>
      <c r="AR155" s="6"/>
      <c r="AS155" s="6"/>
      <c r="AT155" s="6"/>
    </row>
    <row r="156" spans="22:46">
      <c r="V156" s="6"/>
      <c r="AA156" s="6"/>
      <c r="AB156" s="6"/>
      <c r="AC156" s="6"/>
      <c r="AD156" s="6"/>
      <c r="AE156" s="6"/>
      <c r="AF156" s="6"/>
      <c r="AG156" s="6"/>
      <c r="AH156" s="6"/>
      <c r="AI156" s="6"/>
      <c r="AJ156" s="6"/>
      <c r="AK156" s="6"/>
      <c r="AL156" s="6"/>
      <c r="AM156" s="6"/>
      <c r="AN156" s="6"/>
      <c r="AO156" s="6"/>
      <c r="AP156" s="6"/>
      <c r="AQ156" s="6"/>
      <c r="AR156" s="6"/>
      <c r="AS156" s="6"/>
      <c r="AT156" s="6"/>
    </row>
    <row r="157" spans="22:46">
      <c r="V157" s="6"/>
      <c r="AA157" s="6"/>
      <c r="AB157" s="6"/>
      <c r="AC157" s="6"/>
      <c r="AD157" s="6"/>
      <c r="AE157" s="6"/>
      <c r="AF157" s="6"/>
      <c r="AG157" s="6"/>
      <c r="AH157" s="6"/>
      <c r="AI157" s="6"/>
      <c r="AJ157" s="6"/>
      <c r="AK157" s="6"/>
      <c r="AL157" s="6"/>
      <c r="AM157" s="6"/>
      <c r="AN157" s="6"/>
      <c r="AO157" s="6"/>
      <c r="AP157" s="6"/>
      <c r="AQ157" s="6"/>
      <c r="AR157" s="6"/>
      <c r="AS157" s="6"/>
      <c r="AT157" s="6"/>
    </row>
    <row r="158" spans="22:46">
      <c r="V158" s="6"/>
      <c r="AA158" s="6"/>
      <c r="AB158" s="6"/>
      <c r="AC158" s="6"/>
      <c r="AD158" s="6"/>
      <c r="AE158" s="6"/>
      <c r="AF158" s="6"/>
      <c r="AG158" s="6"/>
      <c r="AH158" s="6"/>
      <c r="AI158" s="6"/>
      <c r="AJ158" s="6"/>
      <c r="AK158" s="6"/>
      <c r="AL158" s="6"/>
      <c r="AM158" s="6"/>
      <c r="AN158" s="6"/>
      <c r="AO158" s="6"/>
      <c r="AP158" s="6"/>
      <c r="AQ158" s="6"/>
      <c r="AR158" s="6"/>
      <c r="AS158" s="6"/>
      <c r="AT158" s="6"/>
    </row>
    <row r="159" spans="22:46">
      <c r="V159" s="6"/>
      <c r="AA159" s="6"/>
      <c r="AB159" s="6"/>
      <c r="AC159" s="6"/>
      <c r="AD159" s="6"/>
      <c r="AE159" s="6"/>
      <c r="AF159" s="6"/>
      <c r="AG159" s="6"/>
      <c r="AH159" s="6"/>
      <c r="AI159" s="6"/>
      <c r="AJ159" s="6"/>
      <c r="AK159" s="6"/>
      <c r="AL159" s="6"/>
      <c r="AM159" s="6"/>
      <c r="AN159" s="6"/>
      <c r="AO159" s="6"/>
      <c r="AP159" s="6"/>
      <c r="AQ159" s="6"/>
      <c r="AR159" s="6"/>
      <c r="AS159" s="6"/>
      <c r="AT159" s="6"/>
    </row>
    <row r="160" spans="22:46">
      <c r="V160" s="6"/>
      <c r="AA160" s="6"/>
      <c r="AB160" s="6"/>
      <c r="AC160" s="6"/>
      <c r="AD160" s="6"/>
      <c r="AE160" s="6"/>
      <c r="AF160" s="6"/>
      <c r="AG160" s="6"/>
      <c r="AH160" s="6"/>
      <c r="AI160" s="6"/>
      <c r="AJ160" s="6"/>
      <c r="AK160" s="6"/>
      <c r="AL160" s="6"/>
      <c r="AM160" s="6"/>
      <c r="AN160" s="6"/>
      <c r="AO160" s="6"/>
      <c r="AP160" s="6"/>
      <c r="AQ160" s="6"/>
      <c r="AR160" s="6"/>
      <c r="AS160" s="6"/>
      <c r="AT160" s="6"/>
    </row>
    <row r="161" spans="22:46">
      <c r="V161" s="6"/>
      <c r="AA161" s="6"/>
      <c r="AB161" s="6"/>
      <c r="AC161" s="6"/>
      <c r="AD161" s="6"/>
      <c r="AE161" s="6"/>
      <c r="AF161" s="6"/>
      <c r="AG161" s="6"/>
      <c r="AH161" s="6"/>
      <c r="AI161" s="6"/>
      <c r="AJ161" s="6"/>
      <c r="AK161" s="6"/>
      <c r="AL161" s="6"/>
      <c r="AM161" s="6"/>
      <c r="AN161" s="6"/>
      <c r="AO161" s="6"/>
      <c r="AP161" s="6"/>
      <c r="AQ161" s="6"/>
      <c r="AR161" s="6"/>
      <c r="AS161" s="6"/>
      <c r="AT161" s="6"/>
    </row>
    <row r="162" spans="22:46">
      <c r="V162" s="6"/>
      <c r="AA162" s="6"/>
      <c r="AB162" s="6"/>
      <c r="AC162" s="6"/>
      <c r="AD162" s="6"/>
      <c r="AE162" s="6"/>
      <c r="AF162" s="6"/>
      <c r="AG162" s="6"/>
      <c r="AH162" s="6"/>
      <c r="AI162" s="6"/>
      <c r="AJ162" s="6"/>
      <c r="AK162" s="6"/>
      <c r="AL162" s="6"/>
      <c r="AM162" s="6"/>
      <c r="AN162" s="6"/>
      <c r="AO162" s="6"/>
      <c r="AP162" s="6"/>
      <c r="AQ162" s="6"/>
      <c r="AR162" s="6"/>
      <c r="AS162" s="6"/>
      <c r="AT162" s="6"/>
    </row>
    <row r="163" spans="22:46">
      <c r="V163" s="6"/>
      <c r="AA163" s="6"/>
      <c r="AB163" s="6"/>
      <c r="AC163" s="6"/>
      <c r="AD163" s="6"/>
      <c r="AE163" s="6"/>
      <c r="AF163" s="6"/>
      <c r="AG163" s="6"/>
      <c r="AH163" s="6"/>
      <c r="AI163" s="6"/>
      <c r="AJ163" s="6"/>
      <c r="AK163" s="6"/>
      <c r="AL163" s="6"/>
      <c r="AM163" s="6"/>
      <c r="AN163" s="6"/>
      <c r="AO163" s="6"/>
      <c r="AP163" s="6"/>
      <c r="AQ163" s="6"/>
      <c r="AR163" s="6"/>
      <c r="AS163" s="6"/>
      <c r="AT163" s="6"/>
    </row>
    <row r="164" spans="22:46">
      <c r="V164" s="6"/>
      <c r="AA164" s="6"/>
      <c r="AB164" s="6"/>
      <c r="AC164" s="6"/>
      <c r="AD164" s="6"/>
      <c r="AE164" s="6"/>
      <c r="AF164" s="6"/>
      <c r="AG164" s="6"/>
      <c r="AH164" s="6"/>
      <c r="AI164" s="6"/>
      <c r="AJ164" s="6"/>
      <c r="AK164" s="6"/>
      <c r="AL164" s="6"/>
      <c r="AM164" s="6"/>
      <c r="AN164" s="6"/>
      <c r="AO164" s="6"/>
      <c r="AP164" s="6"/>
      <c r="AQ164" s="6"/>
      <c r="AR164" s="6"/>
      <c r="AS164" s="6"/>
      <c r="AT164" s="6"/>
    </row>
    <row r="165" spans="22:46">
      <c r="V165" s="6"/>
      <c r="AA165" s="6"/>
      <c r="AB165" s="6"/>
      <c r="AC165" s="6"/>
      <c r="AD165" s="6"/>
      <c r="AE165" s="6"/>
      <c r="AF165" s="6"/>
      <c r="AG165" s="6"/>
      <c r="AH165" s="6"/>
      <c r="AI165" s="6"/>
      <c r="AJ165" s="6"/>
      <c r="AK165" s="6"/>
      <c r="AL165" s="6"/>
      <c r="AM165" s="6"/>
      <c r="AN165" s="6"/>
      <c r="AO165" s="6"/>
      <c r="AP165" s="6"/>
      <c r="AQ165" s="6"/>
      <c r="AR165" s="6"/>
      <c r="AS165" s="6"/>
      <c r="AT165" s="6"/>
    </row>
    <row r="166" spans="22:46">
      <c r="V166" s="6"/>
      <c r="AA166" s="6"/>
      <c r="AB166" s="6"/>
      <c r="AC166" s="6"/>
      <c r="AD166" s="6"/>
      <c r="AE166" s="6"/>
      <c r="AF166" s="6"/>
      <c r="AG166" s="6"/>
      <c r="AH166" s="6"/>
      <c r="AI166" s="6"/>
      <c r="AJ166" s="6"/>
      <c r="AK166" s="6"/>
      <c r="AL166" s="6"/>
      <c r="AM166" s="6"/>
      <c r="AN166" s="6"/>
      <c r="AO166" s="6"/>
      <c r="AP166" s="6"/>
      <c r="AQ166" s="6"/>
      <c r="AR166" s="6"/>
      <c r="AS166" s="6"/>
      <c r="AT166" s="6"/>
    </row>
    <row r="167" spans="22:46">
      <c r="V167" s="6"/>
      <c r="AA167" s="6"/>
      <c r="AB167" s="6"/>
      <c r="AC167" s="6"/>
      <c r="AD167" s="6"/>
      <c r="AE167" s="6"/>
      <c r="AF167" s="6"/>
      <c r="AG167" s="6"/>
      <c r="AH167" s="6"/>
      <c r="AI167" s="6"/>
      <c r="AJ167" s="6"/>
      <c r="AK167" s="6"/>
      <c r="AL167" s="6"/>
      <c r="AM167" s="6"/>
      <c r="AN167" s="6"/>
      <c r="AO167" s="6"/>
      <c r="AP167" s="6"/>
      <c r="AQ167" s="6"/>
      <c r="AR167" s="6"/>
      <c r="AS167" s="6"/>
      <c r="AT167" s="6"/>
    </row>
    <row r="168" spans="22:46">
      <c r="V168" s="6"/>
      <c r="AA168" s="6"/>
      <c r="AB168" s="6"/>
      <c r="AC168" s="6"/>
      <c r="AD168" s="6"/>
      <c r="AE168" s="6"/>
      <c r="AF168" s="6"/>
      <c r="AG168" s="6"/>
      <c r="AH168" s="6"/>
      <c r="AI168" s="6"/>
      <c r="AJ168" s="6"/>
      <c r="AK168" s="6"/>
      <c r="AL168" s="6"/>
      <c r="AM168" s="6"/>
      <c r="AN168" s="6"/>
      <c r="AO168" s="6"/>
      <c r="AP168" s="6"/>
      <c r="AQ168" s="6"/>
      <c r="AR168" s="6"/>
      <c r="AS168" s="6"/>
      <c r="AT168" s="6"/>
    </row>
    <row r="169" spans="22:46">
      <c r="V169" s="6"/>
      <c r="AA169" s="6"/>
      <c r="AB169" s="6"/>
      <c r="AC169" s="6"/>
      <c r="AD169" s="6"/>
      <c r="AE169" s="6"/>
      <c r="AF169" s="6"/>
      <c r="AG169" s="6"/>
      <c r="AH169" s="6"/>
      <c r="AI169" s="6"/>
      <c r="AJ169" s="6"/>
      <c r="AK169" s="6"/>
      <c r="AL169" s="6"/>
      <c r="AM169" s="6"/>
      <c r="AN169" s="6"/>
      <c r="AO169" s="6"/>
      <c r="AP169" s="6"/>
      <c r="AQ169" s="6"/>
      <c r="AR169" s="6"/>
      <c r="AS169" s="6"/>
      <c r="AT169" s="6"/>
    </row>
    <row r="170" spans="22:46">
      <c r="V170" s="6"/>
      <c r="AA170" s="6"/>
      <c r="AB170" s="6"/>
      <c r="AC170" s="6"/>
      <c r="AD170" s="6"/>
      <c r="AE170" s="6"/>
      <c r="AF170" s="6"/>
      <c r="AG170" s="6"/>
      <c r="AH170" s="6"/>
      <c r="AI170" s="6"/>
      <c r="AJ170" s="6"/>
      <c r="AK170" s="6"/>
      <c r="AL170" s="6"/>
      <c r="AM170" s="6"/>
      <c r="AN170" s="6"/>
      <c r="AO170" s="6"/>
      <c r="AP170" s="6"/>
      <c r="AQ170" s="6"/>
      <c r="AR170" s="6"/>
      <c r="AS170" s="6"/>
      <c r="AT170" s="6"/>
    </row>
    <row r="171" spans="22:46" ht="15" customHeight="1">
      <c r="V171" s="6"/>
      <c r="AA171" s="6"/>
      <c r="AB171" s="6"/>
      <c r="AC171" s="6"/>
      <c r="AD171" s="6"/>
      <c r="AE171" s="6"/>
      <c r="AF171" s="6"/>
      <c r="AG171" s="6"/>
      <c r="AH171" s="6"/>
      <c r="AI171" s="6"/>
      <c r="AJ171" s="6"/>
      <c r="AK171" s="6"/>
      <c r="AL171" s="6"/>
      <c r="AM171" s="6"/>
      <c r="AN171" s="6"/>
      <c r="AO171" s="6"/>
      <c r="AP171" s="6"/>
      <c r="AQ171" s="6"/>
      <c r="AR171" s="6"/>
      <c r="AS171" s="6"/>
      <c r="AT171" s="6"/>
    </row>
    <row r="172" spans="22:46">
      <c r="V172" s="6"/>
      <c r="AA172" s="6"/>
      <c r="AB172" s="6"/>
      <c r="AC172" s="6"/>
      <c r="AD172" s="6"/>
      <c r="AE172" s="6"/>
      <c r="AF172" s="6"/>
      <c r="AG172" s="6"/>
      <c r="AH172" s="6"/>
      <c r="AI172" s="6"/>
      <c r="AJ172" s="6"/>
      <c r="AK172" s="6"/>
      <c r="AL172" s="6"/>
      <c r="AM172" s="6"/>
      <c r="AN172" s="6"/>
      <c r="AO172" s="6"/>
      <c r="AP172" s="6"/>
      <c r="AQ172" s="6"/>
      <c r="AR172" s="6"/>
      <c r="AS172" s="6"/>
      <c r="AT172" s="6"/>
    </row>
    <row r="173" spans="22:46">
      <c r="V173" s="6"/>
      <c r="AA173" s="6"/>
      <c r="AB173" s="6"/>
      <c r="AC173" s="6"/>
      <c r="AD173" s="6"/>
      <c r="AE173" s="6"/>
      <c r="AF173" s="6"/>
      <c r="AG173" s="6"/>
      <c r="AH173" s="6"/>
      <c r="AI173" s="6"/>
      <c r="AJ173" s="6"/>
      <c r="AK173" s="6"/>
      <c r="AL173" s="6"/>
      <c r="AM173" s="6"/>
      <c r="AN173" s="6"/>
      <c r="AO173" s="6"/>
      <c r="AP173" s="6"/>
      <c r="AQ173" s="6"/>
      <c r="AR173" s="6"/>
      <c r="AS173" s="6"/>
      <c r="AT173" s="6"/>
    </row>
    <row r="174" spans="22:46">
      <c r="V174" s="6"/>
      <c r="AA174" s="6"/>
      <c r="AB174" s="6"/>
      <c r="AC174" s="6"/>
      <c r="AD174" s="6"/>
      <c r="AE174" s="6"/>
      <c r="AF174" s="6"/>
      <c r="AG174" s="6"/>
      <c r="AH174" s="6"/>
      <c r="AI174" s="6"/>
      <c r="AJ174" s="6"/>
      <c r="AK174" s="6"/>
      <c r="AL174" s="6"/>
      <c r="AM174" s="6"/>
      <c r="AN174" s="6"/>
      <c r="AO174" s="6"/>
      <c r="AP174" s="6"/>
      <c r="AQ174" s="6"/>
      <c r="AR174" s="6"/>
      <c r="AS174" s="6"/>
      <c r="AT174" s="6"/>
    </row>
    <row r="175" spans="22:46">
      <c r="V175" s="6"/>
      <c r="AA175" s="6"/>
      <c r="AB175" s="6"/>
      <c r="AC175" s="6"/>
      <c r="AD175" s="6"/>
      <c r="AE175" s="6"/>
      <c r="AF175" s="6"/>
      <c r="AG175" s="6"/>
      <c r="AH175" s="6"/>
      <c r="AI175" s="6"/>
      <c r="AJ175" s="6"/>
      <c r="AK175" s="6"/>
      <c r="AL175" s="6"/>
      <c r="AM175" s="6"/>
      <c r="AN175" s="6"/>
      <c r="AO175" s="6"/>
      <c r="AP175" s="6"/>
      <c r="AQ175" s="6"/>
      <c r="AR175" s="6"/>
      <c r="AS175" s="6"/>
      <c r="AT175" s="6"/>
    </row>
    <row r="176" spans="22:46">
      <c r="V176" s="6"/>
      <c r="AA176" s="6"/>
      <c r="AB176" s="6"/>
      <c r="AC176" s="6"/>
      <c r="AD176" s="6"/>
      <c r="AE176" s="6"/>
      <c r="AF176" s="6"/>
      <c r="AG176" s="6"/>
      <c r="AH176" s="6"/>
      <c r="AI176" s="6"/>
      <c r="AJ176" s="6"/>
      <c r="AK176" s="6"/>
      <c r="AL176" s="6"/>
      <c r="AM176" s="6"/>
      <c r="AN176" s="6"/>
      <c r="AO176" s="6"/>
      <c r="AP176" s="6"/>
      <c r="AQ176" s="6"/>
      <c r="AR176" s="6"/>
      <c r="AS176" s="6"/>
      <c r="AT176" s="6"/>
    </row>
    <row r="177" spans="22:46">
      <c r="V177" s="6"/>
      <c r="AA177" s="6"/>
      <c r="AB177" s="6"/>
      <c r="AC177" s="6"/>
      <c r="AD177" s="6"/>
      <c r="AE177" s="6"/>
      <c r="AF177" s="6"/>
      <c r="AG177" s="6"/>
      <c r="AH177" s="6"/>
      <c r="AI177" s="6"/>
      <c r="AJ177" s="6"/>
      <c r="AK177" s="6"/>
      <c r="AL177" s="6"/>
      <c r="AM177" s="6"/>
      <c r="AN177" s="6"/>
      <c r="AO177" s="6"/>
      <c r="AP177" s="6"/>
      <c r="AQ177" s="6"/>
      <c r="AR177" s="6"/>
      <c r="AS177" s="6"/>
      <c r="AT177" s="6"/>
    </row>
    <row r="178" spans="22:46">
      <c r="V178" s="6"/>
      <c r="AA178" s="6"/>
      <c r="AB178" s="6"/>
      <c r="AC178" s="6"/>
      <c r="AD178" s="6"/>
      <c r="AE178" s="6"/>
      <c r="AF178" s="6"/>
      <c r="AG178" s="6"/>
      <c r="AH178" s="6"/>
      <c r="AI178" s="6"/>
      <c r="AJ178" s="6"/>
      <c r="AK178" s="6"/>
      <c r="AL178" s="6"/>
      <c r="AM178" s="6"/>
      <c r="AN178" s="6"/>
      <c r="AO178" s="6"/>
      <c r="AP178" s="6"/>
      <c r="AQ178" s="6"/>
      <c r="AR178" s="6"/>
      <c r="AS178" s="6"/>
      <c r="AT178" s="6"/>
    </row>
    <row r="179" spans="22:46">
      <c r="V179" s="6"/>
      <c r="AA179" s="6"/>
      <c r="AB179" s="6"/>
      <c r="AC179" s="6"/>
      <c r="AD179" s="6"/>
      <c r="AE179" s="6"/>
      <c r="AF179" s="6"/>
      <c r="AG179" s="6"/>
      <c r="AH179" s="6"/>
      <c r="AI179" s="6"/>
      <c r="AJ179" s="6"/>
      <c r="AK179" s="6"/>
      <c r="AL179" s="6"/>
      <c r="AM179" s="6"/>
      <c r="AN179" s="6"/>
      <c r="AO179" s="6"/>
      <c r="AP179" s="6"/>
      <c r="AQ179" s="6"/>
      <c r="AR179" s="6"/>
      <c r="AS179" s="6"/>
      <c r="AT179" s="6"/>
    </row>
    <row r="180" spans="22:46">
      <c r="V180" s="6"/>
      <c r="AA180" s="6"/>
      <c r="AB180" s="6"/>
      <c r="AC180" s="6"/>
      <c r="AD180" s="6"/>
      <c r="AE180" s="6"/>
      <c r="AF180" s="6"/>
      <c r="AG180" s="6"/>
      <c r="AH180" s="6"/>
      <c r="AI180" s="6"/>
      <c r="AJ180" s="6"/>
      <c r="AK180" s="6"/>
      <c r="AL180" s="6"/>
      <c r="AM180" s="6"/>
      <c r="AN180" s="6"/>
      <c r="AO180" s="6"/>
      <c r="AP180" s="6"/>
      <c r="AQ180" s="6"/>
      <c r="AR180" s="6"/>
      <c r="AS180" s="6"/>
      <c r="AT180" s="6"/>
    </row>
    <row r="181" spans="22:46">
      <c r="V181" s="6"/>
      <c r="AA181" s="6"/>
      <c r="AB181" s="6"/>
      <c r="AC181" s="6"/>
      <c r="AD181" s="6"/>
      <c r="AE181" s="6"/>
      <c r="AF181" s="6"/>
      <c r="AG181" s="6"/>
      <c r="AH181" s="6"/>
      <c r="AI181" s="6"/>
      <c r="AJ181" s="6"/>
      <c r="AK181" s="6"/>
      <c r="AL181" s="6"/>
      <c r="AM181" s="6"/>
      <c r="AN181" s="6"/>
      <c r="AO181" s="6"/>
      <c r="AP181" s="6"/>
      <c r="AQ181" s="6"/>
      <c r="AR181" s="6"/>
      <c r="AS181" s="6"/>
      <c r="AT181" s="6"/>
    </row>
    <row r="182" spans="22:46">
      <c r="V182" s="6"/>
      <c r="AA182" s="6"/>
      <c r="AB182" s="6"/>
      <c r="AC182" s="6"/>
      <c r="AD182" s="6"/>
      <c r="AE182" s="6"/>
      <c r="AF182" s="6"/>
      <c r="AG182" s="6"/>
      <c r="AH182" s="6"/>
      <c r="AI182" s="6"/>
      <c r="AJ182" s="6"/>
      <c r="AK182" s="6"/>
      <c r="AL182" s="6"/>
      <c r="AM182" s="6"/>
      <c r="AN182" s="6"/>
      <c r="AO182" s="6"/>
      <c r="AP182" s="6"/>
      <c r="AQ182" s="6"/>
      <c r="AR182" s="6"/>
      <c r="AS182" s="6"/>
      <c r="AT182" s="6"/>
    </row>
    <row r="183" spans="22:46">
      <c r="V183" s="6"/>
      <c r="AA183" s="6"/>
      <c r="AB183" s="6"/>
      <c r="AC183" s="6"/>
      <c r="AD183" s="6"/>
      <c r="AE183" s="6"/>
      <c r="AF183" s="6"/>
      <c r="AG183" s="6"/>
      <c r="AH183" s="6"/>
      <c r="AI183" s="6"/>
      <c r="AJ183" s="6"/>
      <c r="AK183" s="6"/>
      <c r="AL183" s="6"/>
      <c r="AM183" s="6"/>
      <c r="AN183" s="6"/>
      <c r="AO183" s="6"/>
      <c r="AP183" s="6"/>
      <c r="AQ183" s="6"/>
      <c r="AR183" s="6"/>
      <c r="AS183" s="6"/>
      <c r="AT183" s="6"/>
    </row>
    <row r="184" spans="22:46">
      <c r="V184" s="6"/>
      <c r="AA184" s="6"/>
      <c r="AB184" s="6"/>
      <c r="AC184" s="6"/>
      <c r="AD184" s="6"/>
      <c r="AE184" s="6"/>
      <c r="AF184" s="6"/>
      <c r="AG184" s="6"/>
      <c r="AH184" s="6"/>
      <c r="AI184" s="6"/>
      <c r="AJ184" s="6"/>
      <c r="AK184" s="6"/>
      <c r="AL184" s="6"/>
      <c r="AM184" s="6"/>
      <c r="AN184" s="6"/>
      <c r="AO184" s="6"/>
      <c r="AP184" s="6"/>
      <c r="AQ184" s="6"/>
      <c r="AR184" s="6"/>
      <c r="AS184" s="6"/>
      <c r="AT184" s="6"/>
    </row>
    <row r="185" spans="22:46">
      <c r="V185" s="6"/>
      <c r="AA185" s="6"/>
      <c r="AB185" s="6"/>
      <c r="AC185" s="6"/>
      <c r="AD185" s="6"/>
      <c r="AE185" s="6"/>
      <c r="AF185" s="6"/>
      <c r="AG185" s="6"/>
      <c r="AH185" s="6"/>
      <c r="AI185" s="6"/>
      <c r="AJ185" s="6"/>
      <c r="AK185" s="6"/>
      <c r="AL185" s="6"/>
      <c r="AM185" s="6"/>
      <c r="AN185" s="6"/>
      <c r="AO185" s="6"/>
      <c r="AP185" s="6"/>
      <c r="AQ185" s="6"/>
      <c r="AR185" s="6"/>
      <c r="AS185" s="6"/>
      <c r="AT185" s="6"/>
    </row>
    <row r="186" spans="22:46">
      <c r="V186" s="6"/>
      <c r="AA186" s="6"/>
      <c r="AB186" s="6"/>
      <c r="AC186" s="6"/>
      <c r="AD186" s="6"/>
      <c r="AE186" s="6"/>
      <c r="AF186" s="6"/>
      <c r="AG186" s="6"/>
      <c r="AH186" s="6"/>
      <c r="AI186" s="6"/>
      <c r="AJ186" s="6"/>
      <c r="AK186" s="6"/>
      <c r="AL186" s="6"/>
      <c r="AM186" s="6"/>
      <c r="AN186" s="6"/>
      <c r="AO186" s="6"/>
      <c r="AP186" s="6"/>
      <c r="AQ186" s="6"/>
      <c r="AR186" s="6"/>
      <c r="AS186" s="6"/>
      <c r="AT186" s="6"/>
    </row>
    <row r="187" spans="22:46">
      <c r="V187" s="6"/>
      <c r="AA187" s="6"/>
      <c r="AB187" s="6"/>
      <c r="AC187" s="6"/>
      <c r="AD187" s="6"/>
      <c r="AE187" s="6"/>
      <c r="AF187" s="6"/>
      <c r="AG187" s="6"/>
      <c r="AH187" s="6"/>
      <c r="AI187" s="6"/>
      <c r="AJ187" s="6"/>
      <c r="AK187" s="6"/>
      <c r="AL187" s="6"/>
      <c r="AM187" s="6"/>
      <c r="AN187" s="6"/>
      <c r="AO187" s="6"/>
      <c r="AP187" s="6"/>
      <c r="AQ187" s="6"/>
      <c r="AR187" s="6"/>
      <c r="AS187" s="6"/>
      <c r="AT187" s="6"/>
    </row>
    <row r="188" spans="22:46">
      <c r="V188" s="6"/>
      <c r="AA188" s="6"/>
      <c r="AB188" s="6"/>
      <c r="AC188" s="6"/>
      <c r="AD188" s="6"/>
      <c r="AE188" s="6"/>
      <c r="AF188" s="6"/>
      <c r="AG188" s="6"/>
      <c r="AH188" s="6"/>
      <c r="AI188" s="6"/>
      <c r="AJ188" s="6"/>
      <c r="AK188" s="6"/>
      <c r="AL188" s="6"/>
      <c r="AM188" s="6"/>
      <c r="AN188" s="6"/>
      <c r="AO188" s="6"/>
      <c r="AP188" s="6"/>
      <c r="AQ188" s="6"/>
      <c r="AR188" s="6"/>
      <c r="AS188" s="6"/>
      <c r="AT188" s="6"/>
    </row>
    <row r="189" spans="22:46">
      <c r="V189" s="6"/>
      <c r="AA189" s="6"/>
      <c r="AB189" s="6"/>
      <c r="AC189" s="6"/>
      <c r="AD189" s="6"/>
      <c r="AE189" s="6"/>
      <c r="AF189" s="6"/>
      <c r="AG189" s="6"/>
      <c r="AH189" s="6"/>
      <c r="AI189" s="6"/>
      <c r="AJ189" s="6"/>
      <c r="AK189" s="6"/>
      <c r="AL189" s="6"/>
      <c r="AM189" s="6"/>
      <c r="AN189" s="6"/>
      <c r="AO189" s="6"/>
      <c r="AP189" s="6"/>
      <c r="AQ189" s="6"/>
      <c r="AR189" s="6"/>
      <c r="AS189" s="6"/>
      <c r="AT189" s="6"/>
    </row>
    <row r="190" spans="22:46">
      <c r="V190" s="6"/>
      <c r="AA190" s="6"/>
      <c r="AB190" s="6"/>
      <c r="AC190" s="6"/>
      <c r="AD190" s="6"/>
      <c r="AE190" s="6"/>
      <c r="AF190" s="6"/>
      <c r="AG190" s="6"/>
      <c r="AH190" s="6"/>
      <c r="AI190" s="6"/>
      <c r="AJ190" s="6"/>
      <c r="AK190" s="6"/>
      <c r="AL190" s="6"/>
      <c r="AM190" s="6"/>
      <c r="AN190" s="6"/>
      <c r="AO190" s="6"/>
      <c r="AP190" s="6"/>
      <c r="AQ190" s="6"/>
      <c r="AR190" s="6"/>
      <c r="AS190" s="6"/>
      <c r="AT190" s="6"/>
    </row>
    <row r="191" spans="22:46">
      <c r="V191" s="6"/>
      <c r="AA191" s="6"/>
      <c r="AB191" s="6"/>
      <c r="AC191" s="6"/>
      <c r="AD191" s="6"/>
      <c r="AE191" s="6"/>
      <c r="AF191" s="6"/>
      <c r="AG191" s="6"/>
      <c r="AH191" s="6"/>
      <c r="AI191" s="6"/>
      <c r="AJ191" s="6"/>
      <c r="AK191" s="6"/>
      <c r="AL191" s="6"/>
      <c r="AM191" s="6"/>
      <c r="AN191" s="6"/>
      <c r="AO191" s="6"/>
      <c r="AP191" s="6"/>
      <c r="AQ191" s="6"/>
      <c r="AR191" s="6"/>
      <c r="AS191" s="6"/>
      <c r="AT191" s="6"/>
    </row>
    <row r="192" spans="22:46">
      <c r="V192" s="6"/>
      <c r="AA192" s="6"/>
      <c r="AB192" s="6"/>
      <c r="AC192" s="6"/>
      <c r="AD192" s="6"/>
      <c r="AE192" s="6"/>
      <c r="AF192" s="6"/>
      <c r="AG192" s="6"/>
      <c r="AH192" s="6"/>
      <c r="AI192" s="6"/>
      <c r="AJ192" s="6"/>
      <c r="AK192" s="6"/>
      <c r="AL192" s="6"/>
      <c r="AM192" s="6"/>
      <c r="AN192" s="6"/>
      <c r="AO192" s="6"/>
      <c r="AP192" s="6"/>
      <c r="AQ192" s="6"/>
      <c r="AR192" s="6"/>
      <c r="AS192" s="6"/>
      <c r="AT192" s="6"/>
    </row>
    <row r="193" spans="22:46">
      <c r="V193" s="6"/>
      <c r="AA193" s="6"/>
      <c r="AB193" s="6"/>
      <c r="AC193" s="6"/>
      <c r="AD193" s="6"/>
      <c r="AE193" s="6"/>
      <c r="AF193" s="6"/>
      <c r="AG193" s="6"/>
      <c r="AH193" s="6"/>
      <c r="AI193" s="6"/>
      <c r="AJ193" s="6"/>
      <c r="AK193" s="6"/>
      <c r="AL193" s="6"/>
      <c r="AM193" s="6"/>
      <c r="AN193" s="6"/>
      <c r="AO193" s="6"/>
      <c r="AP193" s="6"/>
      <c r="AQ193" s="6"/>
      <c r="AR193" s="6"/>
      <c r="AS193" s="6"/>
      <c r="AT193" s="6"/>
    </row>
    <row r="194" spans="22:46">
      <c r="V194" s="6"/>
      <c r="AA194" s="6"/>
      <c r="AB194" s="6"/>
      <c r="AC194" s="6"/>
      <c r="AD194" s="6"/>
      <c r="AE194" s="6"/>
      <c r="AF194" s="6"/>
      <c r="AG194" s="6"/>
      <c r="AH194" s="6"/>
      <c r="AI194" s="6"/>
      <c r="AJ194" s="6"/>
      <c r="AK194" s="6"/>
      <c r="AL194" s="6"/>
      <c r="AM194" s="6"/>
      <c r="AN194" s="6"/>
      <c r="AO194" s="6"/>
      <c r="AP194" s="6"/>
      <c r="AQ194" s="6"/>
      <c r="AR194" s="6"/>
      <c r="AS194" s="6"/>
      <c r="AT194" s="6"/>
    </row>
    <row r="195" spans="22:46">
      <c r="V195" s="6"/>
      <c r="AA195" s="6"/>
      <c r="AB195" s="6"/>
      <c r="AC195" s="6"/>
      <c r="AD195" s="6"/>
      <c r="AE195" s="6"/>
      <c r="AF195" s="6"/>
      <c r="AG195" s="6"/>
      <c r="AH195" s="6"/>
      <c r="AI195" s="6"/>
      <c r="AJ195" s="6"/>
      <c r="AK195" s="6"/>
      <c r="AL195" s="6"/>
      <c r="AM195" s="6"/>
      <c r="AN195" s="6"/>
      <c r="AO195" s="6"/>
      <c r="AP195" s="6"/>
      <c r="AQ195" s="6"/>
      <c r="AR195" s="6"/>
      <c r="AS195" s="6"/>
      <c r="AT195" s="6"/>
    </row>
    <row r="196" spans="22:46">
      <c r="V196" s="6"/>
      <c r="AA196" s="6"/>
      <c r="AB196" s="6"/>
      <c r="AC196" s="6"/>
      <c r="AD196" s="6"/>
      <c r="AE196" s="6"/>
      <c r="AF196" s="6"/>
      <c r="AG196" s="6"/>
      <c r="AH196" s="6"/>
      <c r="AI196" s="6"/>
      <c r="AJ196" s="6"/>
      <c r="AK196" s="6"/>
      <c r="AL196" s="6"/>
      <c r="AM196" s="6"/>
      <c r="AN196" s="6"/>
      <c r="AO196" s="6"/>
      <c r="AP196" s="6"/>
      <c r="AQ196" s="6"/>
      <c r="AR196" s="6"/>
      <c r="AS196" s="6"/>
      <c r="AT196" s="6"/>
    </row>
    <row r="197" spans="22:46">
      <c r="V197" s="6"/>
      <c r="AA197" s="6"/>
      <c r="AB197" s="6"/>
      <c r="AC197" s="6"/>
      <c r="AD197" s="6"/>
      <c r="AE197" s="6"/>
      <c r="AF197" s="6"/>
      <c r="AG197" s="6"/>
      <c r="AH197" s="6"/>
      <c r="AI197" s="6"/>
      <c r="AJ197" s="6"/>
      <c r="AK197" s="6"/>
      <c r="AL197" s="6"/>
      <c r="AM197" s="6"/>
      <c r="AN197" s="6"/>
      <c r="AO197" s="6"/>
      <c r="AP197" s="6"/>
      <c r="AQ197" s="6"/>
      <c r="AR197" s="6"/>
      <c r="AS197" s="6"/>
      <c r="AT197" s="6"/>
    </row>
    <row r="198" spans="22:46">
      <c r="V198" s="6"/>
      <c r="AA198" s="6"/>
      <c r="AB198" s="6"/>
      <c r="AC198" s="6"/>
      <c r="AD198" s="6"/>
      <c r="AE198" s="6"/>
      <c r="AF198" s="6"/>
      <c r="AG198" s="6"/>
      <c r="AH198" s="6"/>
      <c r="AI198" s="6"/>
      <c r="AJ198" s="6"/>
      <c r="AK198" s="6"/>
      <c r="AL198" s="6"/>
      <c r="AM198" s="6"/>
      <c r="AN198" s="6"/>
      <c r="AO198" s="6"/>
      <c r="AP198" s="6"/>
      <c r="AQ198" s="6"/>
      <c r="AR198" s="6"/>
      <c r="AS198" s="6"/>
      <c r="AT198" s="6"/>
    </row>
    <row r="199" spans="22:46">
      <c r="V199" s="6"/>
      <c r="AA199" s="6"/>
      <c r="AB199" s="6"/>
      <c r="AC199" s="6"/>
      <c r="AD199" s="6"/>
      <c r="AE199" s="6"/>
      <c r="AF199" s="6"/>
      <c r="AG199" s="6"/>
      <c r="AH199" s="6"/>
      <c r="AI199" s="6"/>
      <c r="AJ199" s="6"/>
      <c r="AK199" s="6"/>
      <c r="AL199" s="6"/>
      <c r="AM199" s="6"/>
      <c r="AN199" s="6"/>
      <c r="AO199" s="6"/>
      <c r="AP199" s="6"/>
      <c r="AQ199" s="6"/>
      <c r="AR199" s="6"/>
      <c r="AS199" s="6"/>
      <c r="AT199" s="6"/>
    </row>
    <row r="200" spans="22:46">
      <c r="V200" s="6"/>
      <c r="AA200" s="6"/>
      <c r="AB200" s="6"/>
      <c r="AC200" s="6"/>
      <c r="AD200" s="6"/>
      <c r="AE200" s="6"/>
      <c r="AF200" s="6"/>
      <c r="AG200" s="6"/>
      <c r="AH200" s="6"/>
      <c r="AI200" s="6"/>
      <c r="AJ200" s="6"/>
      <c r="AK200" s="6"/>
      <c r="AL200" s="6"/>
      <c r="AM200" s="6"/>
      <c r="AN200" s="6"/>
      <c r="AO200" s="6"/>
      <c r="AP200" s="6"/>
      <c r="AQ200" s="6"/>
      <c r="AR200" s="6"/>
      <c r="AS200" s="6"/>
      <c r="AT200" s="6"/>
    </row>
    <row r="201" spans="22:46">
      <c r="V201" s="6"/>
      <c r="AA201" s="6"/>
      <c r="AB201" s="6"/>
      <c r="AC201" s="6"/>
      <c r="AD201" s="6"/>
      <c r="AE201" s="6"/>
      <c r="AF201" s="6"/>
      <c r="AG201" s="6"/>
      <c r="AH201" s="6"/>
      <c r="AI201" s="6"/>
      <c r="AJ201" s="6"/>
      <c r="AK201" s="6"/>
      <c r="AL201" s="6"/>
      <c r="AM201" s="6"/>
      <c r="AN201" s="6"/>
      <c r="AO201" s="6"/>
      <c r="AP201" s="6"/>
      <c r="AQ201" s="6"/>
      <c r="AR201" s="6"/>
      <c r="AS201" s="6"/>
      <c r="AT201" s="6"/>
    </row>
    <row r="202" spans="22:46">
      <c r="V202" s="6"/>
      <c r="AA202" s="6"/>
      <c r="AB202" s="6"/>
      <c r="AC202" s="6"/>
      <c r="AD202" s="6"/>
      <c r="AE202" s="6"/>
      <c r="AF202" s="6"/>
      <c r="AG202" s="6"/>
      <c r="AH202" s="6"/>
      <c r="AI202" s="6"/>
      <c r="AJ202" s="6"/>
      <c r="AK202" s="6"/>
      <c r="AL202" s="6"/>
      <c r="AM202" s="6"/>
      <c r="AN202" s="6"/>
      <c r="AO202" s="6"/>
      <c r="AP202" s="6"/>
      <c r="AQ202" s="6"/>
      <c r="AR202" s="6"/>
      <c r="AS202" s="6"/>
      <c r="AT202" s="6"/>
    </row>
    <row r="203" spans="22:46">
      <c r="V203" s="6"/>
      <c r="AA203" s="6"/>
      <c r="AB203" s="6"/>
      <c r="AC203" s="6"/>
      <c r="AD203" s="6"/>
      <c r="AE203" s="6"/>
      <c r="AF203" s="6"/>
      <c r="AG203" s="6"/>
      <c r="AH203" s="6"/>
      <c r="AI203" s="6"/>
      <c r="AJ203" s="6"/>
      <c r="AK203" s="6"/>
      <c r="AL203" s="6"/>
      <c r="AM203" s="6"/>
      <c r="AN203" s="6"/>
      <c r="AO203" s="6"/>
      <c r="AP203" s="6"/>
      <c r="AQ203" s="6"/>
      <c r="AR203" s="6"/>
      <c r="AS203" s="6"/>
      <c r="AT203" s="6"/>
    </row>
    <row r="204" spans="22:46">
      <c r="V204" s="6"/>
      <c r="AA204" s="6"/>
      <c r="AB204" s="6"/>
      <c r="AC204" s="6"/>
      <c r="AD204" s="6"/>
      <c r="AE204" s="6"/>
      <c r="AF204" s="6"/>
      <c r="AG204" s="6"/>
      <c r="AH204" s="6"/>
      <c r="AI204" s="6"/>
      <c r="AJ204" s="6"/>
      <c r="AK204" s="6"/>
      <c r="AL204" s="6"/>
      <c r="AM204" s="6"/>
      <c r="AN204" s="6"/>
      <c r="AO204" s="6"/>
      <c r="AP204" s="6"/>
      <c r="AQ204" s="6"/>
      <c r="AR204" s="6"/>
      <c r="AS204" s="6"/>
      <c r="AT204" s="6"/>
    </row>
    <row r="205" spans="22:46">
      <c r="V205" s="6"/>
      <c r="AA205" s="6"/>
      <c r="AB205" s="6"/>
      <c r="AC205" s="6"/>
      <c r="AD205" s="6"/>
      <c r="AE205" s="6"/>
      <c r="AF205" s="6"/>
      <c r="AG205" s="6"/>
      <c r="AH205" s="6"/>
      <c r="AI205" s="6"/>
      <c r="AJ205" s="6"/>
      <c r="AK205" s="6"/>
      <c r="AL205" s="6"/>
      <c r="AM205" s="6"/>
      <c r="AN205" s="6"/>
      <c r="AO205" s="6"/>
      <c r="AP205" s="6"/>
      <c r="AQ205" s="6"/>
      <c r="AR205" s="6"/>
      <c r="AS205" s="6"/>
      <c r="AT205" s="6"/>
    </row>
    <row r="206" spans="22:46">
      <c r="V206" s="6"/>
      <c r="AA206" s="6"/>
      <c r="AB206" s="6"/>
      <c r="AC206" s="6"/>
      <c r="AD206" s="6"/>
      <c r="AE206" s="6"/>
      <c r="AF206" s="6"/>
      <c r="AG206" s="6"/>
      <c r="AH206" s="6"/>
      <c r="AI206" s="6"/>
      <c r="AJ206" s="6"/>
      <c r="AK206" s="6"/>
      <c r="AL206" s="6"/>
      <c r="AM206" s="6"/>
      <c r="AN206" s="6"/>
      <c r="AO206" s="6"/>
      <c r="AP206" s="6"/>
      <c r="AQ206" s="6"/>
      <c r="AR206" s="6"/>
      <c r="AS206" s="6"/>
      <c r="AT206" s="6"/>
    </row>
    <row r="207" spans="22:46">
      <c r="V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6"/>
      <c r="AL207" s="6"/>
      <c r="AM207" s="6"/>
      <c r="AN207" s="6"/>
      <c r="AO207" s="6"/>
      <c r="AP207" s="6"/>
      <c r="AQ207" s="6"/>
      <c r="AR207" s="6"/>
      <c r="AS207" s="6"/>
      <c r="AT207" s="6"/>
    </row>
    <row r="208" spans="22:46">
      <c r="V208" s="6"/>
      <c r="AA208" s="6"/>
      <c r="AB208" s="6"/>
      <c r="AC208" s="6"/>
      <c r="AD208" s="6"/>
      <c r="AE208" s="6"/>
      <c r="AF208" s="6"/>
      <c r="AG208" s="6"/>
      <c r="AH208" s="6"/>
      <c r="AI208" s="6"/>
      <c r="AJ208" s="6"/>
      <c r="AK208" s="6"/>
      <c r="AL208" s="6"/>
      <c r="AM208" s="6"/>
      <c r="AN208" s="6"/>
      <c r="AO208" s="6"/>
      <c r="AP208" s="6"/>
      <c r="AQ208" s="6"/>
      <c r="AR208" s="6"/>
      <c r="AS208" s="6"/>
      <c r="AT208" s="6"/>
    </row>
    <row r="209" spans="22:46">
      <c r="V209" s="6"/>
      <c r="AA209" s="6"/>
      <c r="AB209" s="6"/>
      <c r="AC209" s="6"/>
      <c r="AD209" s="6"/>
      <c r="AE209" s="6"/>
      <c r="AF209" s="6"/>
      <c r="AG209" s="6"/>
      <c r="AH209" s="6"/>
      <c r="AI209" s="6"/>
      <c r="AJ209" s="6"/>
      <c r="AK209" s="6"/>
      <c r="AL209" s="6"/>
      <c r="AM209" s="6"/>
      <c r="AN209" s="6"/>
      <c r="AO209" s="6"/>
      <c r="AP209" s="6"/>
      <c r="AQ209" s="6"/>
      <c r="AR209" s="6"/>
      <c r="AS209" s="6"/>
      <c r="AT209" s="6"/>
    </row>
    <row r="210" spans="22:46">
      <c r="V210" s="6"/>
      <c r="AA210" s="6"/>
      <c r="AB210" s="6"/>
      <c r="AC210" s="6"/>
      <c r="AD210" s="6"/>
      <c r="AE210" s="6"/>
      <c r="AF210" s="6"/>
      <c r="AG210" s="6"/>
      <c r="AH210" s="6"/>
      <c r="AI210" s="6"/>
      <c r="AJ210" s="6"/>
      <c r="AK210" s="6"/>
      <c r="AL210" s="6"/>
      <c r="AM210" s="6"/>
      <c r="AN210" s="6"/>
      <c r="AO210" s="6"/>
      <c r="AP210" s="6"/>
      <c r="AQ210" s="6"/>
      <c r="AR210" s="6"/>
      <c r="AS210" s="6"/>
      <c r="AT210" s="6"/>
    </row>
    <row r="211" spans="22:46">
      <c r="V211" s="6"/>
      <c r="AA211" s="6"/>
      <c r="AB211" s="6"/>
      <c r="AC211" s="6"/>
      <c r="AD211" s="6"/>
      <c r="AE211" s="6"/>
      <c r="AF211" s="6"/>
      <c r="AG211" s="6"/>
      <c r="AH211" s="6"/>
      <c r="AI211" s="6"/>
      <c r="AJ211" s="6"/>
      <c r="AK211" s="6"/>
      <c r="AL211" s="6"/>
      <c r="AM211" s="6"/>
      <c r="AN211" s="6"/>
      <c r="AO211" s="6"/>
      <c r="AP211" s="6"/>
      <c r="AQ211" s="6"/>
      <c r="AR211" s="6"/>
      <c r="AS211" s="6"/>
      <c r="AT211" s="6"/>
    </row>
    <row r="212" spans="22:46">
      <c r="V212" s="6"/>
      <c r="AA212" s="6"/>
      <c r="AB212" s="6"/>
      <c r="AC212" s="6"/>
      <c r="AD212" s="6"/>
      <c r="AE212" s="6"/>
      <c r="AF212" s="6"/>
      <c r="AG212" s="6"/>
      <c r="AH212" s="6"/>
      <c r="AI212" s="6"/>
      <c r="AJ212" s="6"/>
      <c r="AK212" s="6"/>
      <c r="AL212" s="6"/>
      <c r="AM212" s="6"/>
      <c r="AN212" s="6"/>
      <c r="AO212" s="6"/>
      <c r="AP212" s="6"/>
      <c r="AQ212" s="6"/>
      <c r="AR212" s="6"/>
      <c r="AS212" s="6"/>
      <c r="AT212" s="6"/>
    </row>
    <row r="213" spans="22:46" ht="15" customHeight="1">
      <c r="V213" s="6"/>
      <c r="AA213" s="6"/>
      <c r="AB213" s="6"/>
      <c r="AC213" s="6"/>
      <c r="AD213" s="6"/>
      <c r="AE213" s="6"/>
      <c r="AF213" s="6"/>
      <c r="AG213" s="6"/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</row>
    <row r="214" spans="22:46">
      <c r="V214" s="6"/>
      <c r="AA214" s="6"/>
      <c r="AB214" s="6"/>
      <c r="AC214" s="6"/>
      <c r="AD214" s="6"/>
      <c r="AE214" s="6"/>
      <c r="AF214" s="6"/>
      <c r="AG214" s="6"/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</row>
    <row r="215" spans="22:46">
      <c r="V215" s="6"/>
      <c r="AA215" s="6"/>
      <c r="AB215" s="6"/>
      <c r="AC215" s="6"/>
      <c r="AD215" s="6"/>
      <c r="AE215" s="6"/>
      <c r="AF215" s="6"/>
      <c r="AG215" s="6"/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</row>
    <row r="216" spans="22:46">
      <c r="V216" s="6"/>
      <c r="AA216" s="6"/>
      <c r="AB216" s="6"/>
      <c r="AC216" s="6"/>
      <c r="AD216" s="6"/>
      <c r="AE216" s="6"/>
      <c r="AF216" s="6"/>
      <c r="AG216" s="6"/>
      <c r="AH216" s="6"/>
      <c r="AI216" s="6"/>
      <c r="AJ216" s="6"/>
      <c r="AK216" s="6"/>
      <c r="AL216" s="6"/>
      <c r="AM216" s="6"/>
      <c r="AN216" s="6"/>
      <c r="AO216" s="6"/>
      <c r="AP216" s="6"/>
      <c r="AQ216" s="6"/>
      <c r="AR216" s="6"/>
      <c r="AS216" s="6"/>
      <c r="AT216" s="6"/>
    </row>
    <row r="217" spans="22:46">
      <c r="V217" s="6"/>
      <c r="AA217" s="6"/>
      <c r="AB217" s="6"/>
      <c r="AC217" s="6"/>
      <c r="AD217" s="6"/>
      <c r="AE217" s="6"/>
      <c r="AF217" s="6"/>
      <c r="AG217" s="6"/>
      <c r="AH217" s="6"/>
      <c r="AI217" s="6"/>
      <c r="AJ217" s="6"/>
      <c r="AK217" s="6"/>
      <c r="AL217" s="6"/>
      <c r="AM217" s="6"/>
      <c r="AN217" s="6"/>
      <c r="AO217" s="6"/>
      <c r="AP217" s="6"/>
      <c r="AQ217" s="6"/>
      <c r="AR217" s="6"/>
      <c r="AS217" s="6"/>
      <c r="AT217" s="6"/>
    </row>
    <row r="218" spans="22:46">
      <c r="V218" s="6"/>
      <c r="AA218" s="6"/>
      <c r="AB218" s="6"/>
      <c r="AC218" s="6"/>
      <c r="AD218" s="6"/>
      <c r="AE218" s="6"/>
      <c r="AF218" s="6"/>
      <c r="AG218" s="6"/>
      <c r="AH218" s="6"/>
      <c r="AI218" s="6"/>
      <c r="AJ218" s="6"/>
      <c r="AK218" s="6"/>
      <c r="AL218" s="6"/>
      <c r="AM218" s="6"/>
      <c r="AN218" s="6"/>
      <c r="AO218" s="6"/>
      <c r="AP218" s="6"/>
      <c r="AQ218" s="6"/>
      <c r="AR218" s="6"/>
      <c r="AS218" s="6"/>
      <c r="AT218" s="6"/>
    </row>
    <row r="219" spans="22:46">
      <c r="V219" s="6"/>
      <c r="AA219" s="6"/>
      <c r="AB219" s="6"/>
      <c r="AC219" s="6"/>
      <c r="AD219" s="6"/>
      <c r="AE219" s="6"/>
      <c r="AF219" s="6"/>
      <c r="AG219" s="6"/>
      <c r="AH219" s="6"/>
      <c r="AI219" s="6"/>
      <c r="AJ219" s="6"/>
      <c r="AK219" s="6"/>
      <c r="AL219" s="6"/>
      <c r="AM219" s="6"/>
      <c r="AN219" s="6"/>
      <c r="AO219" s="6"/>
      <c r="AP219" s="6"/>
      <c r="AQ219" s="6"/>
      <c r="AR219" s="6"/>
      <c r="AS219" s="6"/>
      <c r="AT219" s="6"/>
    </row>
    <row r="220" spans="22:46">
      <c r="V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6"/>
      <c r="AM220" s="6"/>
      <c r="AN220" s="6"/>
      <c r="AO220" s="6"/>
      <c r="AP220" s="6"/>
      <c r="AQ220" s="6"/>
      <c r="AR220" s="6"/>
      <c r="AS220" s="6"/>
      <c r="AT220" s="6"/>
    </row>
    <row r="221" spans="22:46">
      <c r="V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6"/>
      <c r="AM221" s="6"/>
      <c r="AN221" s="6"/>
      <c r="AO221" s="6"/>
      <c r="AP221" s="6"/>
      <c r="AQ221" s="6"/>
      <c r="AR221" s="6"/>
      <c r="AS221" s="6"/>
      <c r="AT221" s="6"/>
    </row>
    <row r="222" spans="22:46">
      <c r="V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6"/>
      <c r="AM222" s="6"/>
      <c r="AN222" s="6"/>
      <c r="AO222" s="6"/>
      <c r="AP222" s="6"/>
      <c r="AQ222" s="6"/>
      <c r="AR222" s="6"/>
      <c r="AS222" s="6"/>
      <c r="AT222" s="6"/>
    </row>
    <row r="223" spans="22:46">
      <c r="V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6"/>
      <c r="AM223" s="6"/>
      <c r="AN223" s="6"/>
      <c r="AO223" s="6"/>
      <c r="AP223" s="6"/>
      <c r="AQ223" s="6"/>
      <c r="AR223" s="6"/>
      <c r="AS223" s="6"/>
      <c r="AT223" s="6"/>
    </row>
    <row r="224" spans="22:46">
      <c r="V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6"/>
      <c r="AM224" s="6"/>
      <c r="AN224" s="6"/>
      <c r="AO224" s="6"/>
      <c r="AP224" s="6"/>
      <c r="AQ224" s="6"/>
      <c r="AR224" s="6"/>
      <c r="AS224" s="6"/>
      <c r="AT224" s="6"/>
    </row>
    <row r="225" spans="22:46">
      <c r="V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6"/>
      <c r="AM225" s="6"/>
      <c r="AN225" s="6"/>
      <c r="AO225" s="6"/>
      <c r="AP225" s="6"/>
      <c r="AQ225" s="6"/>
      <c r="AR225" s="6"/>
      <c r="AS225" s="6"/>
      <c r="AT225" s="6"/>
    </row>
    <row r="226" spans="22:46">
      <c r="V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6"/>
      <c r="AM226" s="6"/>
      <c r="AN226" s="6"/>
      <c r="AO226" s="6"/>
      <c r="AP226" s="6"/>
      <c r="AQ226" s="6"/>
      <c r="AR226" s="6"/>
      <c r="AS226" s="6"/>
      <c r="AT226" s="6"/>
    </row>
    <row r="227" spans="22:46">
      <c r="V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6"/>
      <c r="AM227" s="6"/>
      <c r="AN227" s="6"/>
      <c r="AO227" s="6"/>
      <c r="AP227" s="6"/>
      <c r="AQ227" s="6"/>
      <c r="AR227" s="6"/>
      <c r="AS227" s="6"/>
      <c r="AT227" s="6"/>
    </row>
    <row r="228" spans="22:46">
      <c r="V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6"/>
      <c r="AM228" s="6"/>
      <c r="AN228" s="6"/>
      <c r="AO228" s="6"/>
      <c r="AP228" s="6"/>
      <c r="AQ228" s="6"/>
      <c r="AR228" s="6"/>
      <c r="AS228" s="6"/>
      <c r="AT228" s="6"/>
    </row>
    <row r="229" spans="22:46">
      <c r="V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6"/>
      <c r="AM229" s="6"/>
      <c r="AN229" s="6"/>
      <c r="AO229" s="6"/>
      <c r="AP229" s="6"/>
      <c r="AQ229" s="6"/>
      <c r="AR229" s="6"/>
      <c r="AS229" s="6"/>
      <c r="AT229" s="6"/>
    </row>
    <row r="230" spans="22:46">
      <c r="V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6"/>
      <c r="AM230" s="6"/>
      <c r="AN230" s="6"/>
      <c r="AO230" s="6"/>
      <c r="AP230" s="6"/>
      <c r="AQ230" s="6"/>
      <c r="AR230" s="6"/>
      <c r="AS230" s="6"/>
      <c r="AT230" s="6"/>
    </row>
    <row r="231" spans="22:46">
      <c r="V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6"/>
      <c r="AM231" s="6"/>
      <c r="AN231" s="6"/>
      <c r="AO231" s="6"/>
      <c r="AP231" s="6"/>
      <c r="AQ231" s="6"/>
      <c r="AR231" s="6"/>
      <c r="AS231" s="6"/>
      <c r="AT231" s="6"/>
    </row>
    <row r="232" spans="22:46">
      <c r="V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6"/>
      <c r="AM232" s="6"/>
      <c r="AN232" s="6"/>
      <c r="AO232" s="6"/>
      <c r="AP232" s="6"/>
      <c r="AQ232" s="6"/>
      <c r="AR232" s="6"/>
      <c r="AS232" s="6"/>
      <c r="AT232" s="6"/>
    </row>
    <row r="233" spans="22:46">
      <c r="V233" s="6"/>
      <c r="AA233" s="6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6"/>
      <c r="AM233" s="6"/>
      <c r="AN233" s="6"/>
      <c r="AO233" s="6"/>
      <c r="AP233" s="6"/>
      <c r="AQ233" s="6"/>
      <c r="AR233" s="6"/>
      <c r="AS233" s="6"/>
      <c r="AT233" s="6"/>
    </row>
    <row r="234" spans="22:46">
      <c r="V234" s="6"/>
      <c r="AA234" s="6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6"/>
      <c r="AM234" s="6"/>
      <c r="AN234" s="6"/>
      <c r="AO234" s="6"/>
      <c r="AP234" s="6"/>
      <c r="AQ234" s="6"/>
      <c r="AR234" s="6"/>
      <c r="AS234" s="6"/>
      <c r="AT234" s="6"/>
    </row>
    <row r="235" spans="22:46">
      <c r="V235" s="6"/>
      <c r="AA235" s="6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6"/>
      <c r="AM235" s="6"/>
      <c r="AN235" s="6"/>
      <c r="AO235" s="6"/>
      <c r="AP235" s="6"/>
      <c r="AQ235" s="6"/>
      <c r="AR235" s="6"/>
      <c r="AS235" s="6"/>
      <c r="AT235" s="6"/>
    </row>
    <row r="236" spans="22:46">
      <c r="V236" s="6"/>
      <c r="AA236" s="6"/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6"/>
      <c r="AM236" s="6"/>
      <c r="AN236" s="6"/>
      <c r="AO236" s="6"/>
      <c r="AP236" s="6"/>
      <c r="AQ236" s="6"/>
      <c r="AR236" s="6"/>
      <c r="AS236" s="6"/>
      <c r="AT236" s="6"/>
    </row>
    <row r="237" spans="22:46">
      <c r="V237" s="6"/>
      <c r="AA237" s="6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6"/>
      <c r="AM237" s="6"/>
      <c r="AN237" s="6"/>
      <c r="AO237" s="6"/>
      <c r="AP237" s="6"/>
      <c r="AQ237" s="6"/>
      <c r="AR237" s="6"/>
      <c r="AS237" s="6"/>
      <c r="AT237" s="6"/>
    </row>
    <row r="238" spans="22:46">
      <c r="V238" s="6"/>
      <c r="AA238" s="6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6"/>
      <c r="AM238" s="6"/>
      <c r="AN238" s="6"/>
      <c r="AO238" s="6"/>
      <c r="AP238" s="6"/>
      <c r="AQ238" s="6"/>
      <c r="AR238" s="6"/>
      <c r="AS238" s="6"/>
      <c r="AT238" s="6"/>
    </row>
    <row r="239" spans="22:46">
      <c r="V239" s="6"/>
      <c r="AA239" s="6"/>
      <c r="AB239" s="6"/>
      <c r="AC239" s="6"/>
      <c r="AD239" s="6"/>
      <c r="AE239" s="6"/>
      <c r="AF239" s="6"/>
      <c r="AG239" s="6"/>
      <c r="AH239" s="6"/>
      <c r="AI239" s="6"/>
      <c r="AJ239" s="6"/>
      <c r="AK239" s="6"/>
      <c r="AL239" s="6"/>
      <c r="AM239" s="6"/>
      <c r="AN239" s="6"/>
      <c r="AO239" s="6"/>
      <c r="AP239" s="6"/>
      <c r="AQ239" s="6"/>
      <c r="AR239" s="6"/>
      <c r="AS239" s="6"/>
      <c r="AT239" s="6"/>
    </row>
    <row r="240" spans="22:46">
      <c r="V240" s="6"/>
      <c r="AA240" s="6"/>
      <c r="AB240" s="6"/>
      <c r="AC240" s="6"/>
      <c r="AD240" s="6"/>
      <c r="AE240" s="6"/>
      <c r="AF240" s="6"/>
      <c r="AG240" s="6"/>
      <c r="AH240" s="6"/>
      <c r="AI240" s="6"/>
      <c r="AJ240" s="6"/>
      <c r="AK240" s="6"/>
      <c r="AL240" s="6"/>
      <c r="AM240" s="6"/>
      <c r="AN240" s="6"/>
      <c r="AO240" s="6"/>
      <c r="AP240" s="6"/>
      <c r="AQ240" s="6"/>
      <c r="AR240" s="6"/>
      <c r="AS240" s="6"/>
      <c r="AT240" s="6"/>
    </row>
    <row r="241" spans="22:46">
      <c r="V241" s="6"/>
      <c r="AA241" s="6"/>
      <c r="AB241" s="6"/>
      <c r="AC241" s="6"/>
      <c r="AD241" s="6"/>
      <c r="AE241" s="6"/>
      <c r="AF241" s="6"/>
      <c r="AG241" s="6"/>
      <c r="AH241" s="6"/>
      <c r="AI241" s="6"/>
      <c r="AJ241" s="6"/>
      <c r="AK241" s="6"/>
      <c r="AL241" s="6"/>
      <c r="AM241" s="6"/>
      <c r="AN241" s="6"/>
      <c r="AO241" s="6"/>
      <c r="AP241" s="6"/>
      <c r="AQ241" s="6"/>
      <c r="AR241" s="6"/>
      <c r="AS241" s="6"/>
      <c r="AT241" s="6"/>
    </row>
    <row r="242" spans="22:46">
      <c r="V242" s="6"/>
      <c r="AA242" s="6"/>
      <c r="AB242" s="6"/>
      <c r="AC242" s="6"/>
      <c r="AD242" s="6"/>
      <c r="AE242" s="6"/>
      <c r="AF242" s="6"/>
      <c r="AG242" s="6"/>
      <c r="AH242" s="6"/>
      <c r="AI242" s="6"/>
      <c r="AJ242" s="6"/>
      <c r="AK242" s="6"/>
      <c r="AL242" s="6"/>
      <c r="AM242" s="6"/>
      <c r="AN242" s="6"/>
      <c r="AO242" s="6"/>
      <c r="AP242" s="6"/>
      <c r="AQ242" s="6"/>
      <c r="AR242" s="6"/>
      <c r="AS242" s="6"/>
      <c r="AT242" s="6"/>
    </row>
    <row r="243" spans="22:46">
      <c r="V243" s="6"/>
      <c r="AA243" s="6"/>
      <c r="AB243" s="6"/>
      <c r="AC243" s="6"/>
      <c r="AD243" s="6"/>
      <c r="AE243" s="6"/>
      <c r="AF243" s="6"/>
      <c r="AG243" s="6"/>
      <c r="AH243" s="6"/>
      <c r="AI243" s="6"/>
      <c r="AJ243" s="6"/>
      <c r="AK243" s="6"/>
      <c r="AL243" s="6"/>
      <c r="AM243" s="6"/>
      <c r="AN243" s="6"/>
      <c r="AO243" s="6"/>
      <c r="AP243" s="6"/>
      <c r="AQ243" s="6"/>
      <c r="AR243" s="6"/>
      <c r="AS243" s="6"/>
      <c r="AT243" s="6"/>
    </row>
    <row r="244" spans="22:46">
      <c r="V244" s="6"/>
      <c r="AA244" s="6"/>
      <c r="AB244" s="6"/>
      <c r="AC244" s="6"/>
      <c r="AD244" s="6"/>
      <c r="AE244" s="6"/>
      <c r="AF244" s="6"/>
      <c r="AG244" s="6"/>
      <c r="AH244" s="6"/>
      <c r="AI244" s="6"/>
      <c r="AJ244" s="6"/>
      <c r="AK244" s="6"/>
      <c r="AL244" s="6"/>
      <c r="AM244" s="6"/>
      <c r="AN244" s="6"/>
      <c r="AO244" s="6"/>
      <c r="AP244" s="6"/>
      <c r="AQ244" s="6"/>
      <c r="AR244" s="6"/>
      <c r="AS244" s="6"/>
      <c r="AT244" s="6"/>
    </row>
    <row r="245" spans="22:46">
      <c r="V245" s="6"/>
      <c r="AA245" s="6"/>
      <c r="AB245" s="6"/>
      <c r="AC245" s="6"/>
      <c r="AD245" s="6"/>
      <c r="AE245" s="6"/>
      <c r="AF245" s="6"/>
      <c r="AG245" s="6"/>
      <c r="AH245" s="6"/>
      <c r="AI245" s="6"/>
      <c r="AJ245" s="6"/>
      <c r="AK245" s="6"/>
      <c r="AL245" s="6"/>
      <c r="AM245" s="6"/>
      <c r="AN245" s="6"/>
      <c r="AO245" s="6"/>
      <c r="AP245" s="6"/>
      <c r="AQ245" s="6"/>
      <c r="AR245" s="6"/>
      <c r="AS245" s="6"/>
      <c r="AT245" s="6"/>
    </row>
    <row r="246" spans="22:46">
      <c r="V246" s="6"/>
      <c r="AA246" s="6"/>
      <c r="AB246" s="6"/>
      <c r="AC246" s="6"/>
      <c r="AD246" s="6"/>
      <c r="AE246" s="6"/>
      <c r="AF246" s="6"/>
      <c r="AG246" s="6"/>
      <c r="AH246" s="6"/>
      <c r="AI246" s="6"/>
      <c r="AJ246" s="6"/>
      <c r="AK246" s="6"/>
      <c r="AL246" s="6"/>
      <c r="AM246" s="6"/>
      <c r="AN246" s="6"/>
      <c r="AO246" s="6"/>
      <c r="AP246" s="6"/>
      <c r="AQ246" s="6"/>
      <c r="AR246" s="6"/>
      <c r="AS246" s="6"/>
      <c r="AT246" s="6"/>
    </row>
    <row r="247" spans="22:46">
      <c r="V247" s="6"/>
      <c r="AA247" s="6"/>
      <c r="AB247" s="6"/>
      <c r="AC247" s="6"/>
      <c r="AD247" s="6"/>
      <c r="AE247" s="6"/>
      <c r="AF247" s="6"/>
      <c r="AG247" s="6"/>
      <c r="AH247" s="6"/>
      <c r="AI247" s="6"/>
      <c r="AJ247" s="6"/>
      <c r="AK247" s="6"/>
      <c r="AL247" s="6"/>
      <c r="AM247" s="6"/>
      <c r="AN247" s="6"/>
      <c r="AO247" s="6"/>
      <c r="AP247" s="6"/>
      <c r="AQ247" s="6"/>
      <c r="AR247" s="6"/>
      <c r="AS247" s="6"/>
      <c r="AT247" s="6"/>
    </row>
    <row r="248" spans="22:46">
      <c r="V248" s="6"/>
      <c r="AA248" s="6"/>
      <c r="AB248" s="6"/>
      <c r="AC248" s="6"/>
      <c r="AD248" s="6"/>
      <c r="AE248" s="6"/>
      <c r="AF248" s="6"/>
      <c r="AG248" s="6"/>
      <c r="AH248" s="6"/>
      <c r="AI248" s="6"/>
      <c r="AJ248" s="6"/>
      <c r="AK248" s="6"/>
      <c r="AL248" s="6"/>
      <c r="AM248" s="6"/>
      <c r="AN248" s="6"/>
      <c r="AO248" s="6"/>
      <c r="AP248" s="6"/>
      <c r="AQ248" s="6"/>
      <c r="AR248" s="6"/>
      <c r="AS248" s="6"/>
      <c r="AT248" s="6"/>
    </row>
    <row r="249" spans="22:46">
      <c r="V249" s="6"/>
      <c r="AA249" s="6"/>
      <c r="AB249" s="6"/>
      <c r="AC249" s="6"/>
      <c r="AD249" s="6"/>
      <c r="AE249" s="6"/>
      <c r="AF249" s="6"/>
      <c r="AG249" s="6"/>
      <c r="AH249" s="6"/>
      <c r="AI249" s="6"/>
      <c r="AJ249" s="6"/>
      <c r="AK249" s="6"/>
      <c r="AL249" s="6"/>
      <c r="AM249" s="6"/>
      <c r="AN249" s="6"/>
      <c r="AO249" s="6"/>
      <c r="AP249" s="6"/>
      <c r="AQ249" s="6"/>
      <c r="AR249" s="6"/>
      <c r="AS249" s="6"/>
      <c r="AT249" s="6"/>
    </row>
    <row r="250" spans="22:46">
      <c r="V250" s="6"/>
      <c r="AA250" s="6"/>
      <c r="AB250" s="6"/>
      <c r="AC250" s="6"/>
      <c r="AD250" s="6"/>
      <c r="AE250" s="6"/>
      <c r="AF250" s="6"/>
      <c r="AG250" s="6"/>
      <c r="AH250" s="6"/>
      <c r="AI250" s="6"/>
      <c r="AJ250" s="6"/>
      <c r="AK250" s="6"/>
      <c r="AL250" s="6"/>
      <c r="AM250" s="6"/>
      <c r="AN250" s="6"/>
      <c r="AO250" s="6"/>
      <c r="AP250" s="6"/>
      <c r="AQ250" s="6"/>
      <c r="AR250" s="6"/>
      <c r="AS250" s="6"/>
      <c r="AT250" s="6"/>
    </row>
    <row r="251" spans="22:46">
      <c r="V251" s="6"/>
      <c r="AA251" s="6"/>
      <c r="AB251" s="6"/>
      <c r="AC251" s="6"/>
      <c r="AD251" s="6"/>
      <c r="AE251" s="6"/>
      <c r="AF251" s="6"/>
      <c r="AG251" s="6"/>
      <c r="AH251" s="6"/>
      <c r="AI251" s="6"/>
      <c r="AJ251" s="6"/>
      <c r="AK251" s="6"/>
      <c r="AL251" s="6"/>
      <c r="AM251" s="6"/>
      <c r="AN251" s="6"/>
      <c r="AO251" s="6"/>
      <c r="AP251" s="6"/>
      <c r="AQ251" s="6"/>
      <c r="AR251" s="6"/>
      <c r="AS251" s="6"/>
      <c r="AT251" s="6"/>
    </row>
    <row r="252" spans="22:46">
      <c r="V252" s="6"/>
      <c r="AA252" s="6"/>
      <c r="AB252" s="6"/>
      <c r="AC252" s="6"/>
      <c r="AD252" s="6"/>
      <c r="AE252" s="6"/>
      <c r="AF252" s="6"/>
      <c r="AG252" s="6"/>
      <c r="AH252" s="6"/>
      <c r="AI252" s="6"/>
      <c r="AJ252" s="6"/>
      <c r="AK252" s="6"/>
      <c r="AL252" s="6"/>
      <c r="AM252" s="6"/>
      <c r="AN252" s="6"/>
      <c r="AO252" s="6"/>
      <c r="AP252" s="6"/>
      <c r="AQ252" s="6"/>
      <c r="AR252" s="6"/>
      <c r="AS252" s="6"/>
      <c r="AT252" s="6"/>
    </row>
    <row r="253" spans="22:46">
      <c r="V253" s="6"/>
      <c r="AA253" s="6"/>
      <c r="AB253" s="6"/>
      <c r="AC253" s="6"/>
      <c r="AD253" s="6"/>
      <c r="AE253" s="6"/>
      <c r="AF253" s="6"/>
      <c r="AG253" s="6"/>
      <c r="AH253" s="6"/>
      <c r="AI253" s="6"/>
      <c r="AJ253" s="6"/>
      <c r="AK253" s="6"/>
      <c r="AL253" s="6"/>
      <c r="AM253" s="6"/>
      <c r="AN253" s="6"/>
      <c r="AO253" s="6"/>
      <c r="AP253" s="6"/>
      <c r="AQ253" s="6"/>
      <c r="AR253" s="6"/>
      <c r="AS253" s="6"/>
      <c r="AT253" s="6"/>
    </row>
    <row r="254" spans="22:46">
      <c r="V254" s="6"/>
      <c r="AA254" s="6"/>
      <c r="AB254" s="6"/>
      <c r="AC254" s="6"/>
      <c r="AD254" s="6"/>
      <c r="AE254" s="6"/>
      <c r="AF254" s="6"/>
      <c r="AG254" s="6"/>
      <c r="AH254" s="6"/>
      <c r="AI254" s="6"/>
      <c r="AJ254" s="6"/>
      <c r="AK254" s="6"/>
      <c r="AL254" s="6"/>
      <c r="AM254" s="6"/>
      <c r="AN254" s="6"/>
      <c r="AO254" s="6"/>
      <c r="AP254" s="6"/>
      <c r="AQ254" s="6"/>
      <c r="AR254" s="6"/>
      <c r="AS254" s="6"/>
      <c r="AT254" s="6"/>
    </row>
    <row r="255" spans="22:46" ht="15" customHeight="1">
      <c r="V255" s="6"/>
      <c r="AA255" s="6"/>
      <c r="AB255" s="6"/>
      <c r="AC255" s="6"/>
      <c r="AD255" s="6"/>
      <c r="AE255" s="6"/>
      <c r="AF255" s="6"/>
      <c r="AG255" s="6"/>
      <c r="AH255" s="6"/>
      <c r="AI255" s="6"/>
      <c r="AJ255" s="6"/>
      <c r="AK255" s="6"/>
      <c r="AL255" s="6"/>
      <c r="AM255" s="6"/>
      <c r="AN255" s="6"/>
      <c r="AO255" s="6"/>
      <c r="AP255" s="6"/>
      <c r="AQ255" s="6"/>
      <c r="AR255" s="6"/>
      <c r="AS255" s="6"/>
      <c r="AT255" s="6"/>
    </row>
    <row r="256" spans="22:46">
      <c r="V256" s="6"/>
      <c r="AA256" s="6"/>
      <c r="AB256" s="6"/>
      <c r="AC256" s="6"/>
      <c r="AD256" s="6"/>
      <c r="AE256" s="6"/>
      <c r="AF256" s="6"/>
      <c r="AG256" s="6"/>
      <c r="AH256" s="6"/>
      <c r="AI256" s="6"/>
      <c r="AJ256" s="6"/>
      <c r="AK256" s="6"/>
      <c r="AL256" s="6"/>
      <c r="AM256" s="6"/>
      <c r="AN256" s="6"/>
      <c r="AO256" s="6"/>
      <c r="AP256" s="6"/>
      <c r="AQ256" s="6"/>
      <c r="AR256" s="6"/>
      <c r="AS256" s="6"/>
      <c r="AT256" s="6"/>
    </row>
    <row r="257" spans="22:46">
      <c r="V257" s="6"/>
      <c r="AA257" s="6"/>
      <c r="AB257" s="6"/>
      <c r="AC257" s="6"/>
      <c r="AD257" s="6"/>
      <c r="AE257" s="6"/>
      <c r="AF257" s="6"/>
      <c r="AG257" s="6"/>
      <c r="AH257" s="6"/>
      <c r="AI257" s="6"/>
      <c r="AJ257" s="6"/>
      <c r="AK257" s="6"/>
      <c r="AL257" s="6"/>
      <c r="AM257" s="6"/>
      <c r="AN257" s="6"/>
      <c r="AO257" s="6"/>
      <c r="AP257" s="6"/>
      <c r="AQ257" s="6"/>
      <c r="AR257" s="6"/>
      <c r="AS257" s="6"/>
      <c r="AT257" s="6"/>
    </row>
    <row r="258" spans="22:46">
      <c r="V258" s="6"/>
      <c r="AA258" s="6"/>
      <c r="AB258" s="6"/>
      <c r="AC258" s="6"/>
      <c r="AD258" s="6"/>
      <c r="AE258" s="6"/>
      <c r="AF258" s="6"/>
      <c r="AG258" s="6"/>
      <c r="AH258" s="6"/>
      <c r="AI258" s="6"/>
      <c r="AJ258" s="6"/>
      <c r="AK258" s="6"/>
      <c r="AL258" s="6"/>
      <c r="AM258" s="6"/>
      <c r="AN258" s="6"/>
      <c r="AO258" s="6"/>
      <c r="AP258" s="6"/>
      <c r="AQ258" s="6"/>
      <c r="AR258" s="6"/>
      <c r="AS258" s="6"/>
      <c r="AT258" s="6"/>
    </row>
    <row r="259" spans="22:46">
      <c r="V259" s="6"/>
      <c r="AA259" s="6"/>
      <c r="AB259" s="6"/>
      <c r="AC259" s="6"/>
      <c r="AD259" s="6"/>
      <c r="AE259" s="6"/>
      <c r="AF259" s="6"/>
      <c r="AG259" s="6"/>
      <c r="AH259" s="6"/>
      <c r="AI259" s="6"/>
      <c r="AJ259" s="6"/>
      <c r="AK259" s="6"/>
      <c r="AL259" s="6"/>
      <c r="AM259" s="6"/>
      <c r="AN259" s="6"/>
      <c r="AO259" s="6"/>
      <c r="AP259" s="6"/>
      <c r="AQ259" s="6"/>
      <c r="AR259" s="6"/>
      <c r="AS259" s="6"/>
      <c r="AT259" s="6"/>
    </row>
    <row r="260" spans="22:46">
      <c r="V260" s="6"/>
      <c r="AA260" s="6"/>
      <c r="AB260" s="6"/>
      <c r="AC260" s="6"/>
      <c r="AD260" s="6"/>
      <c r="AE260" s="6"/>
      <c r="AF260" s="6"/>
      <c r="AG260" s="6"/>
      <c r="AH260" s="6"/>
      <c r="AI260" s="6"/>
      <c r="AJ260" s="6"/>
      <c r="AK260" s="6"/>
      <c r="AL260" s="6"/>
      <c r="AM260" s="6"/>
      <c r="AN260" s="6"/>
      <c r="AO260" s="6"/>
      <c r="AP260" s="6"/>
      <c r="AQ260" s="6"/>
      <c r="AR260" s="6"/>
      <c r="AS260" s="6"/>
      <c r="AT260" s="6"/>
    </row>
    <row r="261" spans="22:46">
      <c r="V261" s="6"/>
      <c r="AA261" s="6"/>
      <c r="AB261" s="6"/>
      <c r="AC261" s="6"/>
      <c r="AD261" s="6"/>
      <c r="AE261" s="6"/>
      <c r="AF261" s="6"/>
      <c r="AG261" s="6"/>
      <c r="AH261" s="6"/>
      <c r="AI261" s="6"/>
      <c r="AJ261" s="6"/>
      <c r="AK261" s="6"/>
      <c r="AL261" s="6"/>
      <c r="AM261" s="6"/>
      <c r="AN261" s="6"/>
      <c r="AO261" s="6"/>
      <c r="AP261" s="6"/>
      <c r="AQ261" s="6"/>
      <c r="AR261" s="6"/>
      <c r="AS261" s="6"/>
      <c r="AT261" s="6"/>
    </row>
    <row r="262" spans="22:46">
      <c r="V262" s="6"/>
      <c r="AA262" s="6"/>
      <c r="AB262" s="6"/>
      <c r="AC262" s="6"/>
      <c r="AD262" s="6"/>
      <c r="AE262" s="6"/>
      <c r="AF262" s="6"/>
      <c r="AG262" s="6"/>
      <c r="AH262" s="6"/>
      <c r="AI262" s="6"/>
      <c r="AJ262" s="6"/>
      <c r="AK262" s="6"/>
      <c r="AL262" s="6"/>
      <c r="AM262" s="6"/>
      <c r="AN262" s="6"/>
      <c r="AO262" s="6"/>
      <c r="AP262" s="6"/>
      <c r="AQ262" s="6"/>
      <c r="AR262" s="6"/>
      <c r="AS262" s="6"/>
      <c r="AT262" s="6"/>
    </row>
    <row r="263" spans="22:46">
      <c r="V263" s="6"/>
      <c r="AA263" s="6"/>
      <c r="AB263" s="6"/>
      <c r="AC263" s="6"/>
      <c r="AD263" s="6"/>
      <c r="AE263" s="6"/>
      <c r="AF263" s="6"/>
      <c r="AG263" s="6"/>
      <c r="AH263" s="6"/>
      <c r="AI263" s="6"/>
      <c r="AJ263" s="6"/>
      <c r="AK263" s="6"/>
      <c r="AL263" s="6"/>
      <c r="AM263" s="6"/>
      <c r="AN263" s="6"/>
      <c r="AO263" s="6"/>
      <c r="AP263" s="6"/>
      <c r="AQ263" s="6"/>
      <c r="AR263" s="6"/>
      <c r="AS263" s="6"/>
      <c r="AT263" s="6"/>
    </row>
    <row r="264" spans="22:46">
      <c r="V264" s="6"/>
      <c r="AA264" s="6"/>
      <c r="AB264" s="6"/>
      <c r="AC264" s="6"/>
      <c r="AD264" s="6"/>
      <c r="AE264" s="6"/>
      <c r="AF264" s="6"/>
      <c r="AG264" s="6"/>
      <c r="AH264" s="6"/>
      <c r="AI264" s="6"/>
      <c r="AJ264" s="6"/>
      <c r="AK264" s="6"/>
      <c r="AL264" s="6"/>
      <c r="AM264" s="6"/>
      <c r="AN264" s="6"/>
      <c r="AO264" s="6"/>
      <c r="AP264" s="6"/>
      <c r="AQ264" s="6"/>
      <c r="AR264" s="6"/>
      <c r="AS264" s="6"/>
      <c r="AT264" s="6"/>
    </row>
    <row r="265" spans="22:46">
      <c r="V265" s="6"/>
      <c r="AA265" s="6"/>
      <c r="AB265" s="6"/>
      <c r="AC265" s="6"/>
      <c r="AD265" s="6"/>
      <c r="AE265" s="6"/>
      <c r="AF265" s="6"/>
      <c r="AG265" s="6"/>
      <c r="AH265" s="6"/>
      <c r="AI265" s="6"/>
      <c r="AJ265" s="6"/>
      <c r="AK265" s="6"/>
      <c r="AL265" s="6"/>
      <c r="AM265" s="6"/>
      <c r="AN265" s="6"/>
      <c r="AO265" s="6"/>
      <c r="AP265" s="6"/>
      <c r="AQ265" s="6"/>
      <c r="AR265" s="6"/>
      <c r="AS265" s="6"/>
      <c r="AT265" s="6"/>
    </row>
    <row r="266" spans="22:46">
      <c r="V266" s="6"/>
      <c r="AA266" s="6"/>
      <c r="AB266" s="6"/>
      <c r="AC266" s="6"/>
      <c r="AD266" s="6"/>
      <c r="AE266" s="6"/>
      <c r="AF266" s="6"/>
      <c r="AG266" s="6"/>
      <c r="AH266" s="6"/>
      <c r="AI266" s="6"/>
      <c r="AJ266" s="6"/>
      <c r="AK266" s="6"/>
      <c r="AL266" s="6"/>
      <c r="AM266" s="6"/>
      <c r="AN266" s="6"/>
      <c r="AO266" s="6"/>
      <c r="AP266" s="6"/>
      <c r="AQ266" s="6"/>
      <c r="AR266" s="6"/>
      <c r="AS266" s="6"/>
      <c r="AT266" s="6"/>
    </row>
    <row r="267" spans="22:46">
      <c r="V267" s="6"/>
      <c r="AA267" s="6"/>
      <c r="AB267" s="6"/>
      <c r="AC267" s="6"/>
      <c r="AD267" s="6"/>
      <c r="AE267" s="6"/>
      <c r="AF267" s="6"/>
      <c r="AG267" s="6"/>
      <c r="AH267" s="6"/>
      <c r="AI267" s="6"/>
      <c r="AJ267" s="6"/>
      <c r="AK267" s="6"/>
      <c r="AL267" s="6"/>
      <c r="AM267" s="6"/>
      <c r="AN267" s="6"/>
      <c r="AO267" s="6"/>
      <c r="AP267" s="6"/>
      <c r="AQ267" s="6"/>
      <c r="AR267" s="6"/>
      <c r="AS267" s="6"/>
      <c r="AT267" s="6"/>
    </row>
    <row r="268" spans="22:46">
      <c r="V268" s="6"/>
      <c r="AA268" s="6"/>
      <c r="AB268" s="6"/>
      <c r="AC268" s="6"/>
      <c r="AD268" s="6"/>
      <c r="AE268" s="6"/>
      <c r="AF268" s="6"/>
      <c r="AG268" s="6"/>
      <c r="AH268" s="6"/>
      <c r="AI268" s="6"/>
      <c r="AJ268" s="6"/>
      <c r="AK268" s="6"/>
      <c r="AL268" s="6"/>
      <c r="AM268" s="6"/>
      <c r="AN268" s="6"/>
      <c r="AO268" s="6"/>
      <c r="AP268" s="6"/>
      <c r="AQ268" s="6"/>
      <c r="AR268" s="6"/>
      <c r="AS268" s="6"/>
      <c r="AT268" s="6"/>
    </row>
    <row r="269" spans="22:46">
      <c r="V269" s="6"/>
      <c r="AA269" s="6"/>
      <c r="AB269" s="6"/>
      <c r="AC269" s="6"/>
      <c r="AD269" s="6"/>
      <c r="AE269" s="6"/>
      <c r="AF269" s="6"/>
      <c r="AG269" s="6"/>
      <c r="AH269" s="6"/>
      <c r="AI269" s="6"/>
      <c r="AJ269" s="6"/>
      <c r="AK269" s="6"/>
      <c r="AL269" s="6"/>
      <c r="AM269" s="6"/>
      <c r="AN269" s="6"/>
      <c r="AO269" s="6"/>
      <c r="AP269" s="6"/>
      <c r="AQ269" s="6"/>
      <c r="AR269" s="6"/>
      <c r="AS269" s="6"/>
      <c r="AT269" s="6"/>
    </row>
    <row r="270" spans="22:46">
      <c r="V270" s="6"/>
      <c r="AA270" s="6"/>
      <c r="AB270" s="6"/>
      <c r="AC270" s="6"/>
      <c r="AD270" s="6"/>
      <c r="AE270" s="6"/>
      <c r="AF270" s="6"/>
      <c r="AG270" s="6"/>
      <c r="AH270" s="6"/>
      <c r="AI270" s="6"/>
      <c r="AJ270" s="6"/>
      <c r="AK270" s="6"/>
      <c r="AL270" s="6"/>
      <c r="AM270" s="6"/>
      <c r="AN270" s="6"/>
      <c r="AO270" s="6"/>
      <c r="AP270" s="6"/>
      <c r="AQ270" s="6"/>
      <c r="AR270" s="6"/>
      <c r="AS270" s="6"/>
      <c r="AT270" s="6"/>
    </row>
    <row r="271" spans="22:46">
      <c r="V271" s="6"/>
      <c r="AA271" s="6"/>
      <c r="AB271" s="6"/>
      <c r="AC271" s="6"/>
      <c r="AD271" s="6"/>
      <c r="AE271" s="6"/>
      <c r="AF271" s="6"/>
      <c r="AG271" s="6"/>
      <c r="AH271" s="6"/>
      <c r="AI271" s="6"/>
      <c r="AJ271" s="6"/>
      <c r="AK271" s="6"/>
      <c r="AL271" s="6"/>
      <c r="AM271" s="6"/>
      <c r="AN271" s="6"/>
      <c r="AO271" s="6"/>
      <c r="AP271" s="6"/>
      <c r="AQ271" s="6"/>
      <c r="AR271" s="6"/>
      <c r="AS271" s="6"/>
      <c r="AT271" s="6"/>
    </row>
    <row r="272" spans="22:46">
      <c r="V272" s="6"/>
      <c r="AA272" s="6"/>
      <c r="AB272" s="6"/>
      <c r="AC272" s="6"/>
      <c r="AD272" s="6"/>
      <c r="AE272" s="6"/>
      <c r="AF272" s="6"/>
      <c r="AG272" s="6"/>
      <c r="AH272" s="6"/>
      <c r="AI272" s="6"/>
      <c r="AJ272" s="6"/>
      <c r="AK272" s="6"/>
      <c r="AL272" s="6"/>
      <c r="AM272" s="6"/>
      <c r="AN272" s="6"/>
      <c r="AO272" s="6"/>
      <c r="AP272" s="6"/>
      <c r="AQ272" s="6"/>
      <c r="AR272" s="6"/>
      <c r="AS272" s="6"/>
      <c r="AT272" s="6"/>
    </row>
    <row r="273" spans="22:46">
      <c r="V273" s="6"/>
      <c r="AA273" s="6"/>
      <c r="AB273" s="6"/>
      <c r="AC273" s="6"/>
      <c r="AD273" s="6"/>
      <c r="AE273" s="6"/>
      <c r="AF273" s="6"/>
      <c r="AG273" s="6"/>
      <c r="AH273" s="6"/>
      <c r="AI273" s="6"/>
      <c r="AJ273" s="6"/>
      <c r="AK273" s="6"/>
      <c r="AL273" s="6"/>
      <c r="AM273" s="6"/>
      <c r="AN273" s="6"/>
      <c r="AO273" s="6"/>
      <c r="AP273" s="6"/>
      <c r="AQ273" s="6"/>
      <c r="AR273" s="6"/>
      <c r="AS273" s="6"/>
      <c r="AT273" s="6"/>
    </row>
    <row r="274" spans="22:46">
      <c r="V274" s="6"/>
      <c r="AA274" s="6"/>
      <c r="AB274" s="6"/>
      <c r="AC274" s="6"/>
      <c r="AD274" s="6"/>
      <c r="AE274" s="6"/>
      <c r="AF274" s="6"/>
      <c r="AG274" s="6"/>
      <c r="AH274" s="6"/>
      <c r="AI274" s="6"/>
      <c r="AJ274" s="6"/>
      <c r="AK274" s="6"/>
      <c r="AL274" s="6"/>
      <c r="AM274" s="6"/>
      <c r="AN274" s="6"/>
      <c r="AO274" s="6"/>
      <c r="AP274" s="6"/>
      <c r="AQ274" s="6"/>
      <c r="AR274" s="6"/>
      <c r="AS274" s="6"/>
      <c r="AT274" s="6"/>
    </row>
    <row r="275" spans="22:46">
      <c r="V275" s="6"/>
      <c r="AA275" s="6"/>
      <c r="AB275" s="6"/>
      <c r="AC275" s="6"/>
      <c r="AD275" s="6"/>
      <c r="AE275" s="6"/>
      <c r="AF275" s="6"/>
      <c r="AG275" s="6"/>
      <c r="AH275" s="6"/>
      <c r="AI275" s="6"/>
      <c r="AJ275" s="6"/>
      <c r="AK275" s="6"/>
      <c r="AL275" s="6"/>
      <c r="AM275" s="6"/>
      <c r="AN275" s="6"/>
      <c r="AO275" s="6"/>
      <c r="AP275" s="6"/>
      <c r="AQ275" s="6"/>
      <c r="AR275" s="6"/>
      <c r="AS275" s="6"/>
      <c r="AT275" s="6"/>
    </row>
    <row r="276" spans="22:46">
      <c r="V276" s="6"/>
      <c r="AA276" s="6"/>
      <c r="AB276" s="6"/>
      <c r="AC276" s="6"/>
      <c r="AD276" s="6"/>
      <c r="AE276" s="6"/>
      <c r="AF276" s="6"/>
      <c r="AG276" s="6"/>
      <c r="AH276" s="6"/>
      <c r="AI276" s="6"/>
      <c r="AJ276" s="6"/>
      <c r="AK276" s="6"/>
      <c r="AL276" s="6"/>
      <c r="AM276" s="6"/>
      <c r="AN276" s="6"/>
      <c r="AO276" s="6"/>
      <c r="AP276" s="6"/>
      <c r="AQ276" s="6"/>
      <c r="AR276" s="6"/>
      <c r="AS276" s="6"/>
      <c r="AT276" s="6"/>
    </row>
    <row r="277" spans="22:46">
      <c r="V277" s="6"/>
      <c r="AA277" s="6"/>
      <c r="AB277" s="6"/>
      <c r="AC277" s="6"/>
      <c r="AD277" s="6"/>
      <c r="AE277" s="6"/>
      <c r="AF277" s="6"/>
      <c r="AG277" s="6"/>
      <c r="AH277" s="6"/>
      <c r="AI277" s="6"/>
      <c r="AJ277" s="6"/>
      <c r="AK277" s="6"/>
      <c r="AL277" s="6"/>
      <c r="AM277" s="6"/>
      <c r="AN277" s="6"/>
      <c r="AO277" s="6"/>
      <c r="AP277" s="6"/>
      <c r="AQ277" s="6"/>
      <c r="AR277" s="6"/>
      <c r="AS277" s="6"/>
      <c r="AT277" s="6"/>
    </row>
    <row r="278" spans="22:46">
      <c r="V278" s="6"/>
      <c r="AA278" s="6"/>
      <c r="AB278" s="6"/>
      <c r="AC278" s="6"/>
      <c r="AD278" s="6"/>
      <c r="AE278" s="6"/>
      <c r="AF278" s="6"/>
      <c r="AG278" s="6"/>
      <c r="AH278" s="6"/>
      <c r="AI278" s="6"/>
      <c r="AJ278" s="6"/>
      <c r="AK278" s="6"/>
      <c r="AL278" s="6"/>
      <c r="AM278" s="6"/>
      <c r="AN278" s="6"/>
      <c r="AO278" s="6"/>
      <c r="AP278" s="6"/>
      <c r="AQ278" s="6"/>
      <c r="AR278" s="6"/>
      <c r="AS278" s="6"/>
      <c r="AT278" s="6"/>
    </row>
    <row r="279" spans="22:46">
      <c r="V279" s="6"/>
      <c r="AA279" s="6"/>
      <c r="AB279" s="6"/>
      <c r="AC279" s="6"/>
      <c r="AD279" s="6"/>
      <c r="AE279" s="6"/>
      <c r="AF279" s="6"/>
      <c r="AG279" s="6"/>
      <c r="AH279" s="6"/>
      <c r="AI279" s="6"/>
      <c r="AJ279" s="6"/>
      <c r="AK279" s="6"/>
      <c r="AL279" s="6"/>
      <c r="AM279" s="6"/>
      <c r="AN279" s="6"/>
      <c r="AO279" s="6"/>
      <c r="AP279" s="6"/>
      <c r="AQ279" s="6"/>
      <c r="AR279" s="6"/>
      <c r="AS279" s="6"/>
      <c r="AT279" s="6"/>
    </row>
    <row r="280" spans="22:46">
      <c r="V280" s="6"/>
      <c r="AA280" s="6"/>
      <c r="AB280" s="6"/>
      <c r="AC280" s="6"/>
      <c r="AD280" s="6"/>
      <c r="AE280" s="6"/>
      <c r="AF280" s="6"/>
      <c r="AG280" s="6"/>
      <c r="AH280" s="6"/>
      <c r="AI280" s="6"/>
      <c r="AJ280" s="6"/>
      <c r="AK280" s="6"/>
      <c r="AL280" s="6"/>
      <c r="AM280" s="6"/>
      <c r="AN280" s="6"/>
      <c r="AO280" s="6"/>
      <c r="AP280" s="6"/>
      <c r="AQ280" s="6"/>
      <c r="AR280" s="6"/>
      <c r="AS280" s="6"/>
      <c r="AT280" s="6"/>
    </row>
    <row r="281" spans="22:46">
      <c r="V281" s="6"/>
      <c r="AA281" s="6"/>
      <c r="AB281" s="6"/>
      <c r="AC281" s="6"/>
      <c r="AD281" s="6"/>
      <c r="AE281" s="6"/>
      <c r="AF281" s="6"/>
      <c r="AG281" s="6"/>
      <c r="AH281" s="6"/>
      <c r="AI281" s="6"/>
      <c r="AJ281" s="6"/>
      <c r="AK281" s="6"/>
      <c r="AL281" s="6"/>
      <c r="AM281" s="6"/>
      <c r="AN281" s="6"/>
      <c r="AO281" s="6"/>
      <c r="AP281" s="6"/>
      <c r="AQ281" s="6"/>
      <c r="AR281" s="6"/>
      <c r="AS281" s="6"/>
      <c r="AT281" s="6"/>
    </row>
    <row r="282" spans="22:46">
      <c r="V282" s="6"/>
      <c r="AA282" s="6"/>
      <c r="AB282" s="6"/>
      <c r="AC282" s="6"/>
      <c r="AD282" s="6"/>
      <c r="AE282" s="6"/>
      <c r="AF282" s="6"/>
      <c r="AG282" s="6"/>
      <c r="AH282" s="6"/>
      <c r="AI282" s="6"/>
      <c r="AJ282" s="6"/>
      <c r="AK282" s="6"/>
      <c r="AL282" s="6"/>
      <c r="AM282" s="6"/>
      <c r="AN282" s="6"/>
      <c r="AO282" s="6"/>
      <c r="AP282" s="6"/>
      <c r="AQ282" s="6"/>
      <c r="AR282" s="6"/>
      <c r="AS282" s="6"/>
      <c r="AT282" s="6"/>
    </row>
    <row r="283" spans="22:46">
      <c r="V283" s="6"/>
      <c r="AA283" s="6"/>
      <c r="AB283" s="6"/>
      <c r="AC283" s="6"/>
      <c r="AD283" s="6"/>
      <c r="AE283" s="6"/>
      <c r="AF283" s="6"/>
      <c r="AG283" s="6"/>
      <c r="AH283" s="6"/>
      <c r="AI283" s="6"/>
      <c r="AJ283" s="6"/>
      <c r="AK283" s="6"/>
      <c r="AL283" s="6"/>
      <c r="AM283" s="6"/>
      <c r="AN283" s="6"/>
      <c r="AO283" s="6"/>
      <c r="AP283" s="6"/>
      <c r="AQ283" s="6"/>
      <c r="AR283" s="6"/>
      <c r="AS283" s="6"/>
      <c r="AT283" s="6"/>
    </row>
    <row r="284" spans="22:46">
      <c r="V284" s="6"/>
      <c r="AA284" s="6"/>
      <c r="AB284" s="6"/>
      <c r="AC284" s="6"/>
      <c r="AD284" s="6"/>
      <c r="AE284" s="6"/>
      <c r="AF284" s="6"/>
      <c r="AG284" s="6"/>
      <c r="AH284" s="6"/>
      <c r="AI284" s="6"/>
      <c r="AJ284" s="6"/>
      <c r="AK284" s="6"/>
      <c r="AL284" s="6"/>
      <c r="AM284" s="6"/>
      <c r="AN284" s="6"/>
      <c r="AO284" s="6"/>
      <c r="AP284" s="6"/>
      <c r="AQ284" s="6"/>
      <c r="AR284" s="6"/>
      <c r="AS284" s="6"/>
      <c r="AT284" s="6"/>
    </row>
    <row r="285" spans="22:46">
      <c r="V285" s="6"/>
      <c r="AA285" s="6"/>
      <c r="AB285" s="6"/>
      <c r="AC285" s="6"/>
      <c r="AD285" s="6"/>
      <c r="AE285" s="6"/>
      <c r="AF285" s="6"/>
      <c r="AG285" s="6"/>
      <c r="AH285" s="6"/>
      <c r="AI285" s="6"/>
      <c r="AJ285" s="6"/>
      <c r="AK285" s="6"/>
      <c r="AL285" s="6"/>
      <c r="AM285" s="6"/>
      <c r="AN285" s="6"/>
      <c r="AO285" s="6"/>
      <c r="AP285" s="6"/>
      <c r="AQ285" s="6"/>
      <c r="AR285" s="6"/>
      <c r="AS285" s="6"/>
      <c r="AT285" s="6"/>
    </row>
    <row r="286" spans="22:46">
      <c r="V286" s="6"/>
      <c r="AA286" s="6"/>
      <c r="AB286" s="6"/>
      <c r="AC286" s="6"/>
      <c r="AD286" s="6"/>
      <c r="AE286" s="6"/>
      <c r="AF286" s="6"/>
      <c r="AG286" s="6"/>
      <c r="AH286" s="6"/>
      <c r="AI286" s="6"/>
      <c r="AJ286" s="6"/>
      <c r="AK286" s="6"/>
      <c r="AL286" s="6"/>
      <c r="AM286" s="6"/>
      <c r="AN286" s="6"/>
      <c r="AO286" s="6"/>
      <c r="AP286" s="6"/>
      <c r="AQ286" s="6"/>
      <c r="AR286" s="6"/>
      <c r="AS286" s="6"/>
      <c r="AT286" s="6"/>
    </row>
    <row r="287" spans="22:46">
      <c r="V287" s="6"/>
      <c r="AA287" s="6"/>
      <c r="AB287" s="6"/>
      <c r="AC287" s="6"/>
      <c r="AD287" s="6"/>
      <c r="AE287" s="6"/>
      <c r="AF287" s="6"/>
      <c r="AG287" s="6"/>
      <c r="AH287" s="6"/>
      <c r="AI287" s="6"/>
      <c r="AJ287" s="6"/>
      <c r="AK287" s="6"/>
      <c r="AL287" s="6"/>
      <c r="AM287" s="6"/>
      <c r="AN287" s="6"/>
      <c r="AO287" s="6"/>
      <c r="AP287" s="6"/>
      <c r="AQ287" s="6"/>
      <c r="AR287" s="6"/>
      <c r="AS287" s="6"/>
      <c r="AT287" s="6"/>
    </row>
    <row r="288" spans="22:46">
      <c r="V288" s="6"/>
      <c r="AA288" s="6"/>
      <c r="AB288" s="6"/>
      <c r="AC288" s="6"/>
      <c r="AD288" s="6"/>
      <c r="AE288" s="6"/>
      <c r="AF288" s="6"/>
      <c r="AG288" s="6"/>
      <c r="AH288" s="6"/>
      <c r="AI288" s="6"/>
      <c r="AJ288" s="6"/>
      <c r="AK288" s="6"/>
      <c r="AL288" s="6"/>
      <c r="AM288" s="6"/>
      <c r="AN288" s="6"/>
      <c r="AO288" s="6"/>
      <c r="AP288" s="6"/>
      <c r="AQ288" s="6"/>
      <c r="AR288" s="6"/>
      <c r="AS288" s="6"/>
      <c r="AT288" s="6"/>
    </row>
    <row r="289" spans="22:46">
      <c r="V289" s="6"/>
      <c r="AA289" s="6"/>
      <c r="AB289" s="6"/>
      <c r="AC289" s="6"/>
      <c r="AD289" s="6"/>
      <c r="AE289" s="6"/>
      <c r="AF289" s="6"/>
      <c r="AG289" s="6"/>
      <c r="AH289" s="6"/>
      <c r="AI289" s="6"/>
      <c r="AJ289" s="6"/>
      <c r="AK289" s="6"/>
      <c r="AL289" s="6"/>
      <c r="AM289" s="6"/>
      <c r="AN289" s="6"/>
      <c r="AO289" s="6"/>
      <c r="AP289" s="6"/>
      <c r="AQ289" s="6"/>
      <c r="AR289" s="6"/>
      <c r="AS289" s="6"/>
      <c r="AT289" s="6"/>
    </row>
    <row r="290" spans="22:46">
      <c r="V290" s="6"/>
      <c r="AA290" s="6"/>
      <c r="AB290" s="6"/>
      <c r="AC290" s="6"/>
      <c r="AD290" s="6"/>
      <c r="AE290" s="6"/>
      <c r="AF290" s="6"/>
      <c r="AG290" s="6"/>
      <c r="AH290" s="6"/>
      <c r="AI290" s="6"/>
      <c r="AJ290" s="6"/>
      <c r="AK290" s="6"/>
      <c r="AL290" s="6"/>
      <c r="AM290" s="6"/>
      <c r="AN290" s="6"/>
      <c r="AO290" s="6"/>
      <c r="AP290" s="6"/>
      <c r="AQ290" s="6"/>
      <c r="AR290" s="6"/>
      <c r="AS290" s="6"/>
      <c r="AT290" s="6"/>
    </row>
    <row r="291" spans="22:46">
      <c r="V291" s="6"/>
      <c r="AA291" s="6"/>
      <c r="AB291" s="6"/>
      <c r="AC291" s="6"/>
      <c r="AD291" s="6"/>
      <c r="AE291" s="6"/>
      <c r="AF291" s="6"/>
      <c r="AG291" s="6"/>
      <c r="AH291" s="6"/>
      <c r="AI291" s="6"/>
      <c r="AJ291" s="6"/>
      <c r="AK291" s="6"/>
      <c r="AL291" s="6"/>
      <c r="AM291" s="6"/>
      <c r="AN291" s="6"/>
      <c r="AO291" s="6"/>
      <c r="AP291" s="6"/>
      <c r="AQ291" s="6"/>
      <c r="AR291" s="6"/>
      <c r="AS291" s="6"/>
      <c r="AT291" s="6"/>
    </row>
    <row r="292" spans="22:46">
      <c r="V292" s="6"/>
      <c r="AA292" s="6"/>
      <c r="AB292" s="6"/>
      <c r="AC292" s="6"/>
      <c r="AD292" s="6"/>
      <c r="AE292" s="6"/>
      <c r="AF292" s="6"/>
      <c r="AG292" s="6"/>
      <c r="AH292" s="6"/>
      <c r="AI292" s="6"/>
      <c r="AJ292" s="6"/>
      <c r="AK292" s="6"/>
      <c r="AL292" s="6"/>
      <c r="AM292" s="6"/>
      <c r="AN292" s="6"/>
      <c r="AO292" s="6"/>
      <c r="AP292" s="6"/>
      <c r="AQ292" s="6"/>
      <c r="AR292" s="6"/>
      <c r="AS292" s="6"/>
      <c r="AT292" s="6"/>
    </row>
    <row r="293" spans="22:46">
      <c r="V293" s="6"/>
      <c r="AA293" s="6"/>
      <c r="AB293" s="6"/>
      <c r="AC293" s="6"/>
      <c r="AD293" s="6"/>
      <c r="AE293" s="6"/>
      <c r="AF293" s="6"/>
      <c r="AG293" s="6"/>
      <c r="AH293" s="6"/>
      <c r="AI293" s="6"/>
      <c r="AJ293" s="6"/>
      <c r="AK293" s="6"/>
      <c r="AL293" s="6"/>
      <c r="AM293" s="6"/>
      <c r="AN293" s="6"/>
      <c r="AO293" s="6"/>
      <c r="AP293" s="6"/>
      <c r="AQ293" s="6"/>
      <c r="AR293" s="6"/>
      <c r="AS293" s="6"/>
      <c r="AT293" s="6"/>
    </row>
    <row r="294" spans="22:46">
      <c r="V294" s="6"/>
      <c r="AA294" s="6"/>
      <c r="AB294" s="6"/>
      <c r="AC294" s="6"/>
      <c r="AD294" s="6"/>
      <c r="AE294" s="6"/>
      <c r="AF294" s="6"/>
      <c r="AG294" s="6"/>
      <c r="AH294" s="6"/>
      <c r="AI294" s="6"/>
      <c r="AJ294" s="6"/>
      <c r="AK294" s="6"/>
      <c r="AL294" s="6"/>
      <c r="AM294" s="6"/>
      <c r="AN294" s="6"/>
      <c r="AO294" s="6"/>
      <c r="AP294" s="6"/>
      <c r="AQ294" s="6"/>
      <c r="AR294" s="6"/>
      <c r="AS294" s="6"/>
      <c r="AT294" s="6"/>
    </row>
    <row r="295" spans="22:46">
      <c r="V295" s="6"/>
      <c r="AA295" s="6"/>
      <c r="AB295" s="6"/>
      <c r="AC295" s="6"/>
      <c r="AD295" s="6"/>
      <c r="AE295" s="6"/>
      <c r="AF295" s="6"/>
      <c r="AG295" s="6"/>
      <c r="AH295" s="6"/>
      <c r="AI295" s="6"/>
      <c r="AJ295" s="6"/>
      <c r="AK295" s="6"/>
      <c r="AL295" s="6"/>
      <c r="AM295" s="6"/>
      <c r="AN295" s="6"/>
      <c r="AO295" s="6"/>
      <c r="AP295" s="6"/>
      <c r="AQ295" s="6"/>
      <c r="AR295" s="6"/>
      <c r="AS295" s="6"/>
      <c r="AT295" s="6"/>
    </row>
    <row r="296" spans="22:46">
      <c r="V296" s="6"/>
      <c r="AA296" s="6"/>
      <c r="AB296" s="6"/>
      <c r="AC296" s="6"/>
      <c r="AD296" s="6"/>
      <c r="AE296" s="6"/>
      <c r="AF296" s="6"/>
      <c r="AG296" s="6"/>
      <c r="AH296" s="6"/>
      <c r="AI296" s="6"/>
      <c r="AJ296" s="6"/>
      <c r="AK296" s="6"/>
      <c r="AL296" s="6"/>
      <c r="AM296" s="6"/>
      <c r="AN296" s="6"/>
      <c r="AO296" s="6"/>
      <c r="AP296" s="6"/>
      <c r="AQ296" s="6"/>
      <c r="AR296" s="6"/>
      <c r="AS296" s="6"/>
      <c r="AT296" s="6"/>
    </row>
    <row r="297" spans="22:46" ht="15" customHeight="1">
      <c r="V297" s="6"/>
      <c r="AA297" s="6"/>
      <c r="AB297" s="6"/>
      <c r="AC297" s="6"/>
      <c r="AD297" s="6"/>
      <c r="AE297" s="6"/>
      <c r="AF297" s="6"/>
      <c r="AG297" s="6"/>
      <c r="AH297" s="6"/>
      <c r="AI297" s="6"/>
      <c r="AJ297" s="6"/>
      <c r="AK297" s="6"/>
      <c r="AL297" s="6"/>
      <c r="AM297" s="6"/>
      <c r="AN297" s="6"/>
      <c r="AO297" s="6"/>
      <c r="AP297" s="6"/>
      <c r="AQ297" s="6"/>
      <c r="AR297" s="6"/>
      <c r="AS297" s="6"/>
      <c r="AT297" s="6"/>
    </row>
    <row r="298" spans="22:46">
      <c r="V298" s="6"/>
      <c r="AA298" s="6"/>
      <c r="AB298" s="6"/>
      <c r="AC298" s="6"/>
      <c r="AD298" s="6"/>
      <c r="AE298" s="6"/>
      <c r="AF298" s="6"/>
      <c r="AG298" s="6"/>
      <c r="AH298" s="6"/>
      <c r="AI298" s="6"/>
      <c r="AJ298" s="6"/>
      <c r="AK298" s="6"/>
      <c r="AL298" s="6"/>
      <c r="AM298" s="6"/>
      <c r="AN298" s="6"/>
      <c r="AO298" s="6"/>
      <c r="AP298" s="6"/>
      <c r="AQ298" s="6"/>
      <c r="AR298" s="6"/>
      <c r="AS298" s="6"/>
      <c r="AT298" s="6"/>
    </row>
    <row r="299" spans="22:46">
      <c r="V299" s="6"/>
      <c r="AA299" s="6"/>
      <c r="AB299" s="6"/>
      <c r="AC299" s="6"/>
      <c r="AD299" s="6"/>
      <c r="AE299" s="6"/>
      <c r="AF299" s="6"/>
      <c r="AG299" s="6"/>
      <c r="AH299" s="6"/>
      <c r="AI299" s="6"/>
      <c r="AJ299" s="6"/>
      <c r="AK299" s="6"/>
      <c r="AL299" s="6"/>
      <c r="AM299" s="6"/>
      <c r="AN299" s="6"/>
      <c r="AO299" s="6"/>
      <c r="AP299" s="6"/>
      <c r="AQ299" s="6"/>
      <c r="AR299" s="6"/>
      <c r="AS299" s="6"/>
      <c r="AT299" s="6"/>
    </row>
    <row r="300" spans="22:46">
      <c r="V300" s="6"/>
      <c r="AA300" s="6"/>
      <c r="AB300" s="6"/>
      <c r="AC300" s="6"/>
      <c r="AD300" s="6"/>
      <c r="AE300" s="6"/>
      <c r="AF300" s="6"/>
      <c r="AG300" s="6"/>
      <c r="AH300" s="6"/>
      <c r="AI300" s="6"/>
      <c r="AJ300" s="6"/>
      <c r="AK300" s="6"/>
      <c r="AL300" s="6"/>
      <c r="AM300" s="6"/>
      <c r="AN300" s="6"/>
      <c r="AO300" s="6"/>
      <c r="AP300" s="6"/>
      <c r="AQ300" s="6"/>
      <c r="AR300" s="6"/>
      <c r="AS300" s="6"/>
      <c r="AT300" s="6"/>
    </row>
    <row r="301" spans="22:46">
      <c r="V301" s="6"/>
      <c r="AA301" s="6"/>
      <c r="AB301" s="6"/>
      <c r="AC301" s="6"/>
      <c r="AD301" s="6"/>
      <c r="AE301" s="6"/>
      <c r="AF301" s="6"/>
      <c r="AG301" s="6"/>
      <c r="AH301" s="6"/>
      <c r="AI301" s="6"/>
      <c r="AJ301" s="6"/>
      <c r="AK301" s="6"/>
      <c r="AL301" s="6"/>
      <c r="AM301" s="6"/>
      <c r="AN301" s="6"/>
      <c r="AO301" s="6"/>
      <c r="AP301" s="6"/>
      <c r="AQ301" s="6"/>
      <c r="AR301" s="6"/>
      <c r="AS301" s="6"/>
      <c r="AT301" s="6"/>
    </row>
    <row r="302" spans="22:46">
      <c r="V302" s="6"/>
      <c r="AA302" s="6"/>
      <c r="AB302" s="6"/>
      <c r="AC302" s="6"/>
      <c r="AD302" s="6"/>
      <c r="AE302" s="6"/>
      <c r="AF302" s="6"/>
      <c r="AG302" s="6"/>
      <c r="AH302" s="6"/>
      <c r="AI302" s="6"/>
      <c r="AJ302" s="6"/>
      <c r="AK302" s="6"/>
      <c r="AL302" s="6"/>
      <c r="AM302" s="6"/>
      <c r="AN302" s="6"/>
      <c r="AO302" s="6"/>
      <c r="AP302" s="6"/>
      <c r="AQ302" s="6"/>
      <c r="AR302" s="6"/>
      <c r="AS302" s="6"/>
      <c r="AT302" s="6"/>
    </row>
    <row r="303" spans="22:46">
      <c r="V303" s="6"/>
      <c r="AA303" s="6"/>
      <c r="AB303" s="6"/>
      <c r="AC303" s="6"/>
      <c r="AD303" s="6"/>
      <c r="AE303" s="6"/>
      <c r="AF303" s="6"/>
      <c r="AG303" s="6"/>
      <c r="AH303" s="6"/>
      <c r="AI303" s="6"/>
      <c r="AJ303" s="6"/>
      <c r="AK303" s="6"/>
      <c r="AL303" s="6"/>
      <c r="AM303" s="6"/>
      <c r="AN303" s="6"/>
      <c r="AO303" s="6"/>
      <c r="AP303" s="6"/>
      <c r="AQ303" s="6"/>
      <c r="AR303" s="6"/>
      <c r="AS303" s="6"/>
      <c r="AT303" s="6"/>
    </row>
    <row r="304" spans="22:46">
      <c r="V304" s="6"/>
      <c r="AA304" s="6"/>
      <c r="AB304" s="6"/>
      <c r="AC304" s="6"/>
      <c r="AD304" s="6"/>
      <c r="AE304" s="6"/>
      <c r="AF304" s="6"/>
      <c r="AG304" s="6"/>
      <c r="AH304" s="6"/>
      <c r="AI304" s="6"/>
      <c r="AJ304" s="6"/>
      <c r="AK304" s="6"/>
      <c r="AL304" s="6"/>
      <c r="AM304" s="6"/>
      <c r="AN304" s="6"/>
      <c r="AO304" s="6"/>
      <c r="AP304" s="6"/>
      <c r="AQ304" s="6"/>
      <c r="AR304" s="6"/>
      <c r="AS304" s="6"/>
      <c r="AT304" s="6"/>
    </row>
    <row r="305" spans="22:46">
      <c r="V305" s="6"/>
      <c r="AA305" s="6"/>
      <c r="AB305" s="6"/>
      <c r="AC305" s="6"/>
      <c r="AD305" s="6"/>
      <c r="AE305" s="6"/>
      <c r="AF305" s="6"/>
      <c r="AG305" s="6"/>
      <c r="AH305" s="6"/>
      <c r="AI305" s="6"/>
      <c r="AJ305" s="6"/>
      <c r="AK305" s="6"/>
      <c r="AL305" s="6"/>
      <c r="AM305" s="6"/>
      <c r="AN305" s="6"/>
      <c r="AO305" s="6"/>
      <c r="AP305" s="6"/>
      <c r="AQ305" s="6"/>
      <c r="AR305" s="6"/>
      <c r="AS305" s="6"/>
      <c r="AT305" s="6"/>
    </row>
    <row r="306" spans="22:46">
      <c r="V306" s="6"/>
      <c r="AA306" s="6"/>
      <c r="AB306" s="6"/>
      <c r="AC306" s="6"/>
      <c r="AD306" s="6"/>
      <c r="AE306" s="6"/>
      <c r="AF306" s="6"/>
      <c r="AG306" s="6"/>
      <c r="AH306" s="6"/>
      <c r="AI306" s="6"/>
      <c r="AJ306" s="6"/>
      <c r="AK306" s="6"/>
      <c r="AL306" s="6"/>
      <c r="AM306" s="6"/>
      <c r="AN306" s="6"/>
      <c r="AO306" s="6"/>
      <c r="AP306" s="6"/>
      <c r="AQ306" s="6"/>
      <c r="AR306" s="6"/>
      <c r="AS306" s="6"/>
      <c r="AT306" s="6"/>
    </row>
    <row r="307" spans="22:46">
      <c r="V307" s="6"/>
      <c r="AA307" s="6"/>
      <c r="AB307" s="6"/>
      <c r="AC307" s="6"/>
      <c r="AD307" s="6"/>
      <c r="AE307" s="6"/>
      <c r="AF307" s="6"/>
      <c r="AG307" s="6"/>
      <c r="AH307" s="6"/>
      <c r="AI307" s="6"/>
      <c r="AJ307" s="6"/>
      <c r="AK307" s="6"/>
      <c r="AL307" s="6"/>
      <c r="AM307" s="6"/>
      <c r="AN307" s="6"/>
      <c r="AO307" s="6"/>
      <c r="AP307" s="6"/>
      <c r="AQ307" s="6"/>
      <c r="AR307" s="6"/>
      <c r="AS307" s="6"/>
      <c r="AT307" s="6"/>
    </row>
    <row r="308" spans="22:46">
      <c r="V308" s="6"/>
      <c r="AA308" s="6"/>
      <c r="AB308" s="6"/>
      <c r="AC308" s="6"/>
      <c r="AD308" s="6"/>
      <c r="AE308" s="6"/>
      <c r="AF308" s="6"/>
      <c r="AG308" s="6"/>
      <c r="AH308" s="6"/>
      <c r="AI308" s="6"/>
      <c r="AJ308" s="6"/>
      <c r="AK308" s="6"/>
      <c r="AL308" s="6"/>
      <c r="AM308" s="6"/>
      <c r="AN308" s="6"/>
      <c r="AO308" s="6"/>
      <c r="AP308" s="6"/>
      <c r="AQ308" s="6"/>
      <c r="AR308" s="6"/>
      <c r="AS308" s="6"/>
      <c r="AT308" s="6"/>
    </row>
    <row r="309" spans="22:46">
      <c r="V309" s="6"/>
      <c r="AA309" s="6"/>
      <c r="AB309" s="6"/>
      <c r="AC309" s="6"/>
      <c r="AD309" s="6"/>
      <c r="AE309" s="6"/>
      <c r="AF309" s="6"/>
      <c r="AG309" s="6"/>
      <c r="AH309" s="6"/>
      <c r="AI309" s="6"/>
      <c r="AJ309" s="6"/>
      <c r="AK309" s="6"/>
      <c r="AL309" s="6"/>
      <c r="AM309" s="6"/>
      <c r="AN309" s="6"/>
      <c r="AO309" s="6"/>
      <c r="AP309" s="6"/>
      <c r="AQ309" s="6"/>
      <c r="AR309" s="6"/>
      <c r="AS309" s="6"/>
      <c r="AT309" s="6"/>
    </row>
    <row r="310" spans="22:46">
      <c r="V310" s="6"/>
      <c r="AA310" s="6"/>
      <c r="AB310" s="6"/>
      <c r="AC310" s="6"/>
      <c r="AD310" s="6"/>
      <c r="AE310" s="6"/>
      <c r="AF310" s="6"/>
      <c r="AG310" s="6"/>
      <c r="AH310" s="6"/>
      <c r="AI310" s="6"/>
      <c r="AJ310" s="6"/>
      <c r="AK310" s="6"/>
      <c r="AL310" s="6"/>
      <c r="AM310" s="6"/>
      <c r="AN310" s="6"/>
      <c r="AO310" s="6"/>
      <c r="AP310" s="6"/>
      <c r="AQ310" s="6"/>
      <c r="AR310" s="6"/>
      <c r="AS310" s="6"/>
      <c r="AT310" s="6"/>
    </row>
    <row r="311" spans="22:46">
      <c r="V311" s="6"/>
      <c r="AA311" s="6"/>
      <c r="AB311" s="6"/>
      <c r="AC311" s="6"/>
      <c r="AD311" s="6"/>
      <c r="AE311" s="6"/>
      <c r="AF311" s="6"/>
      <c r="AG311" s="6"/>
      <c r="AH311" s="6"/>
      <c r="AI311" s="6"/>
      <c r="AJ311" s="6"/>
      <c r="AK311" s="6"/>
      <c r="AL311" s="6"/>
      <c r="AM311" s="6"/>
      <c r="AN311" s="6"/>
      <c r="AO311" s="6"/>
      <c r="AP311" s="6"/>
      <c r="AQ311" s="6"/>
      <c r="AR311" s="6"/>
      <c r="AS311" s="6"/>
      <c r="AT311" s="6"/>
    </row>
    <row r="312" spans="22:46">
      <c r="V312" s="6"/>
      <c r="AA312" s="6"/>
      <c r="AB312" s="6"/>
      <c r="AC312" s="6"/>
      <c r="AD312" s="6"/>
      <c r="AE312" s="6"/>
      <c r="AF312" s="6"/>
      <c r="AG312" s="6"/>
      <c r="AH312" s="6"/>
      <c r="AI312" s="6"/>
      <c r="AJ312" s="6"/>
      <c r="AK312" s="6"/>
      <c r="AL312" s="6"/>
      <c r="AM312" s="6"/>
      <c r="AN312" s="6"/>
      <c r="AO312" s="6"/>
      <c r="AP312" s="6"/>
      <c r="AQ312" s="6"/>
      <c r="AR312" s="6"/>
      <c r="AS312" s="6"/>
      <c r="AT312" s="6"/>
    </row>
    <row r="313" spans="22:46">
      <c r="V313" s="6"/>
      <c r="AA313" s="6"/>
      <c r="AB313" s="6"/>
      <c r="AC313" s="6"/>
      <c r="AD313" s="6"/>
      <c r="AE313" s="6"/>
      <c r="AF313" s="6"/>
      <c r="AG313" s="6"/>
      <c r="AH313" s="6"/>
      <c r="AI313" s="6"/>
      <c r="AJ313" s="6"/>
      <c r="AK313" s="6"/>
      <c r="AL313" s="6"/>
      <c r="AM313" s="6"/>
      <c r="AN313" s="6"/>
      <c r="AO313" s="6"/>
      <c r="AP313" s="6"/>
      <c r="AQ313" s="6"/>
      <c r="AR313" s="6"/>
      <c r="AS313" s="6"/>
      <c r="AT313" s="6"/>
    </row>
    <row r="314" spans="22:46">
      <c r="V314" s="6"/>
      <c r="AA314" s="6"/>
      <c r="AB314" s="6"/>
      <c r="AC314" s="6"/>
      <c r="AD314" s="6"/>
      <c r="AE314" s="6"/>
      <c r="AF314" s="6"/>
      <c r="AG314" s="6"/>
      <c r="AH314" s="6"/>
      <c r="AI314" s="6"/>
      <c r="AJ314" s="6"/>
      <c r="AK314" s="6"/>
      <c r="AL314" s="6"/>
      <c r="AM314" s="6"/>
      <c r="AN314" s="6"/>
      <c r="AO314" s="6"/>
      <c r="AP314" s="6"/>
      <c r="AQ314" s="6"/>
      <c r="AR314" s="6"/>
      <c r="AS314" s="6"/>
      <c r="AT314" s="6"/>
    </row>
    <row r="315" spans="22:46">
      <c r="V315" s="6"/>
      <c r="AA315" s="6"/>
      <c r="AB315" s="6"/>
      <c r="AC315" s="6"/>
      <c r="AD315" s="6"/>
      <c r="AE315" s="6"/>
      <c r="AF315" s="6"/>
      <c r="AG315" s="6"/>
      <c r="AH315" s="6"/>
      <c r="AI315" s="6"/>
      <c r="AJ315" s="6"/>
      <c r="AK315" s="6"/>
      <c r="AL315" s="6"/>
      <c r="AM315" s="6"/>
      <c r="AN315" s="6"/>
      <c r="AO315" s="6"/>
      <c r="AP315" s="6"/>
      <c r="AQ315" s="6"/>
      <c r="AR315" s="6"/>
      <c r="AS315" s="6"/>
      <c r="AT315" s="6"/>
    </row>
    <row r="316" spans="22:46">
      <c r="V316" s="6"/>
      <c r="AA316" s="6"/>
      <c r="AB316" s="6"/>
      <c r="AC316" s="6"/>
      <c r="AD316" s="6"/>
      <c r="AE316" s="6"/>
      <c r="AF316" s="6"/>
      <c r="AG316" s="6"/>
      <c r="AH316" s="6"/>
      <c r="AI316" s="6"/>
      <c r="AJ316" s="6"/>
      <c r="AK316" s="6"/>
      <c r="AL316" s="6"/>
      <c r="AM316" s="6"/>
      <c r="AN316" s="6"/>
      <c r="AO316" s="6"/>
      <c r="AP316" s="6"/>
      <c r="AQ316" s="6"/>
      <c r="AR316" s="6"/>
      <c r="AS316" s="6"/>
      <c r="AT316" s="6"/>
    </row>
    <row r="317" spans="22:46">
      <c r="V317" s="6"/>
      <c r="AA317" s="6"/>
      <c r="AB317" s="6"/>
      <c r="AC317" s="6"/>
      <c r="AD317" s="6"/>
      <c r="AE317" s="6"/>
      <c r="AF317" s="6"/>
      <c r="AG317" s="6"/>
      <c r="AH317" s="6"/>
      <c r="AI317" s="6"/>
      <c r="AJ317" s="6"/>
      <c r="AK317" s="6"/>
      <c r="AL317" s="6"/>
      <c r="AM317" s="6"/>
      <c r="AN317" s="6"/>
      <c r="AO317" s="6"/>
      <c r="AP317" s="6"/>
      <c r="AQ317" s="6"/>
      <c r="AR317" s="6"/>
      <c r="AS317" s="6"/>
      <c r="AT317" s="6"/>
    </row>
    <row r="318" spans="22:46">
      <c r="V318" s="6"/>
      <c r="AA318" s="6"/>
      <c r="AB318" s="6"/>
      <c r="AC318" s="6"/>
      <c r="AD318" s="6"/>
      <c r="AE318" s="6"/>
      <c r="AF318" s="6"/>
      <c r="AG318" s="6"/>
      <c r="AH318" s="6"/>
      <c r="AI318" s="6"/>
      <c r="AJ318" s="6"/>
      <c r="AK318" s="6"/>
      <c r="AL318" s="6"/>
      <c r="AM318" s="6"/>
      <c r="AN318" s="6"/>
      <c r="AO318" s="6"/>
      <c r="AP318" s="6"/>
      <c r="AQ318" s="6"/>
      <c r="AR318" s="6"/>
      <c r="AS318" s="6"/>
      <c r="AT318" s="6"/>
    </row>
    <row r="319" spans="22:46">
      <c r="V319" s="6"/>
      <c r="AA319" s="6"/>
      <c r="AB319" s="6"/>
      <c r="AC319" s="6"/>
      <c r="AD319" s="6"/>
      <c r="AE319" s="6"/>
      <c r="AF319" s="6"/>
      <c r="AG319" s="6"/>
      <c r="AH319" s="6"/>
      <c r="AI319" s="6"/>
      <c r="AJ319" s="6"/>
      <c r="AK319" s="6"/>
      <c r="AL319" s="6"/>
      <c r="AM319" s="6"/>
      <c r="AN319" s="6"/>
      <c r="AO319" s="6"/>
      <c r="AP319" s="6"/>
      <c r="AQ319" s="6"/>
      <c r="AR319" s="6"/>
      <c r="AS319" s="6"/>
      <c r="AT319" s="6"/>
    </row>
    <row r="320" spans="22:46">
      <c r="V320" s="6"/>
      <c r="AA320" s="6"/>
      <c r="AB320" s="6"/>
      <c r="AC320" s="6"/>
      <c r="AD320" s="6"/>
      <c r="AE320" s="6"/>
      <c r="AF320" s="6"/>
      <c r="AG320" s="6"/>
      <c r="AH320" s="6"/>
      <c r="AI320" s="6"/>
      <c r="AJ320" s="6"/>
      <c r="AK320" s="6"/>
      <c r="AL320" s="6"/>
      <c r="AM320" s="6"/>
      <c r="AN320" s="6"/>
      <c r="AO320" s="6"/>
      <c r="AP320" s="6"/>
      <c r="AQ320" s="6"/>
      <c r="AR320" s="6"/>
      <c r="AS320" s="6"/>
      <c r="AT320" s="6"/>
    </row>
    <row r="321" spans="22:46">
      <c r="V321" s="6"/>
      <c r="AA321" s="6"/>
      <c r="AB321" s="6"/>
      <c r="AC321" s="6"/>
      <c r="AD321" s="6"/>
      <c r="AE321" s="6"/>
      <c r="AF321" s="6"/>
      <c r="AG321" s="6"/>
      <c r="AH321" s="6"/>
      <c r="AI321" s="6"/>
      <c r="AJ321" s="6"/>
      <c r="AK321" s="6"/>
      <c r="AL321" s="6"/>
      <c r="AM321" s="6"/>
      <c r="AN321" s="6"/>
      <c r="AO321" s="6"/>
      <c r="AP321" s="6"/>
      <c r="AQ321" s="6"/>
      <c r="AR321" s="6"/>
      <c r="AS321" s="6"/>
      <c r="AT321" s="6"/>
    </row>
    <row r="322" spans="22:46">
      <c r="V322" s="6"/>
      <c r="AA322" s="6"/>
      <c r="AB322" s="6"/>
      <c r="AC322" s="6"/>
      <c r="AD322" s="6"/>
      <c r="AE322" s="6"/>
      <c r="AF322" s="6"/>
      <c r="AG322" s="6"/>
      <c r="AH322" s="6"/>
      <c r="AI322" s="6"/>
      <c r="AJ322" s="6"/>
      <c r="AK322" s="6"/>
      <c r="AL322" s="6"/>
      <c r="AM322" s="6"/>
      <c r="AN322" s="6"/>
      <c r="AO322" s="6"/>
      <c r="AP322" s="6"/>
      <c r="AQ322" s="6"/>
      <c r="AR322" s="6"/>
      <c r="AS322" s="6"/>
      <c r="AT322" s="6"/>
    </row>
    <row r="323" spans="22:46">
      <c r="V323" s="6"/>
      <c r="AA323" s="6"/>
      <c r="AB323" s="6"/>
      <c r="AC323" s="6"/>
      <c r="AD323" s="6"/>
      <c r="AE323" s="6"/>
      <c r="AF323" s="6"/>
      <c r="AG323" s="6"/>
      <c r="AH323" s="6"/>
      <c r="AI323" s="6"/>
      <c r="AJ323" s="6"/>
      <c r="AK323" s="6"/>
      <c r="AL323" s="6"/>
      <c r="AM323" s="6"/>
      <c r="AN323" s="6"/>
      <c r="AO323" s="6"/>
      <c r="AP323" s="6"/>
      <c r="AQ323" s="6"/>
      <c r="AR323" s="6"/>
      <c r="AS323" s="6"/>
      <c r="AT323" s="6"/>
    </row>
    <row r="324" spans="22:46">
      <c r="V324" s="6"/>
      <c r="AA324" s="6"/>
      <c r="AB324" s="6"/>
      <c r="AC324" s="6"/>
      <c r="AD324" s="6"/>
      <c r="AE324" s="6"/>
      <c r="AF324" s="6"/>
      <c r="AG324" s="6"/>
      <c r="AH324" s="6"/>
      <c r="AI324" s="6"/>
      <c r="AJ324" s="6"/>
      <c r="AK324" s="6"/>
      <c r="AL324" s="6"/>
      <c r="AM324" s="6"/>
      <c r="AN324" s="6"/>
      <c r="AO324" s="6"/>
      <c r="AP324" s="6"/>
      <c r="AQ324" s="6"/>
      <c r="AR324" s="6"/>
      <c r="AS324" s="6"/>
      <c r="AT324" s="6"/>
    </row>
    <row r="325" spans="22:46">
      <c r="V325" s="6"/>
      <c r="AA325" s="6"/>
      <c r="AB325" s="6"/>
      <c r="AC325" s="6"/>
      <c r="AD325" s="6"/>
      <c r="AE325" s="6"/>
      <c r="AF325" s="6"/>
      <c r="AG325" s="6"/>
      <c r="AH325" s="6"/>
      <c r="AI325" s="6"/>
      <c r="AJ325" s="6"/>
      <c r="AK325" s="6"/>
      <c r="AL325" s="6"/>
      <c r="AM325" s="6"/>
      <c r="AN325" s="6"/>
      <c r="AO325" s="6"/>
      <c r="AP325" s="6"/>
      <c r="AQ325" s="6"/>
      <c r="AR325" s="6"/>
      <c r="AS325" s="6"/>
      <c r="AT325" s="6"/>
    </row>
    <row r="326" spans="22:46">
      <c r="AA326" s="6"/>
      <c r="AB326" s="6"/>
      <c r="AC326" s="6"/>
      <c r="AD326" s="6"/>
      <c r="AE326" s="6"/>
      <c r="AF326" s="6"/>
      <c r="AG326" s="6"/>
      <c r="AH326" s="6"/>
      <c r="AI326" s="6"/>
      <c r="AJ326" s="6"/>
      <c r="AK326" s="6"/>
      <c r="AL326" s="6"/>
      <c r="AM326" s="6"/>
      <c r="AN326" s="6"/>
      <c r="AO326" s="6"/>
      <c r="AP326" s="6"/>
      <c r="AQ326" s="6"/>
      <c r="AR326" s="6"/>
      <c r="AS326" s="6"/>
      <c r="AT326" s="6"/>
    </row>
    <row r="327" spans="22:46">
      <c r="AA327" s="6"/>
      <c r="AB327" s="6"/>
      <c r="AC327" s="6"/>
      <c r="AD327" s="6"/>
      <c r="AE327" s="6"/>
      <c r="AF327" s="6"/>
      <c r="AG327" s="6"/>
      <c r="AH327" s="6"/>
      <c r="AI327" s="6"/>
      <c r="AJ327" s="6"/>
      <c r="AK327" s="6"/>
      <c r="AL327" s="6"/>
      <c r="AM327" s="6"/>
      <c r="AN327" s="6"/>
      <c r="AO327" s="6"/>
      <c r="AP327" s="6"/>
      <c r="AQ327" s="6"/>
      <c r="AR327" s="6"/>
      <c r="AS327" s="6"/>
      <c r="AT327" s="6"/>
    </row>
    <row r="328" spans="22:46">
      <c r="AA328" s="6"/>
      <c r="AB328" s="6"/>
      <c r="AC328" s="6"/>
      <c r="AD328" s="6"/>
      <c r="AE328" s="6"/>
      <c r="AF328" s="6"/>
      <c r="AG328" s="6"/>
      <c r="AH328" s="6"/>
      <c r="AI328" s="6"/>
      <c r="AJ328" s="6"/>
      <c r="AK328" s="6"/>
      <c r="AL328" s="6"/>
      <c r="AM328" s="6"/>
      <c r="AN328" s="6"/>
      <c r="AO328" s="6"/>
      <c r="AP328" s="6"/>
      <c r="AQ328" s="6"/>
      <c r="AR328" s="6"/>
      <c r="AS328" s="6"/>
      <c r="AT328" s="6"/>
    </row>
    <row r="329" spans="22:46">
      <c r="AA329" s="6"/>
      <c r="AB329" s="6"/>
      <c r="AC329" s="6"/>
      <c r="AD329" s="6"/>
      <c r="AE329" s="6"/>
      <c r="AF329" s="6"/>
      <c r="AG329" s="6"/>
      <c r="AH329" s="6"/>
      <c r="AI329" s="6"/>
      <c r="AJ329" s="6"/>
      <c r="AK329" s="6"/>
      <c r="AL329" s="6"/>
      <c r="AM329" s="6"/>
      <c r="AN329" s="6"/>
      <c r="AO329" s="6"/>
      <c r="AP329" s="6"/>
      <c r="AQ329" s="6"/>
      <c r="AR329" s="6"/>
      <c r="AS329" s="6"/>
      <c r="AT329" s="6"/>
    </row>
    <row r="330" spans="22:46">
      <c r="AA330" s="6"/>
      <c r="AB330" s="6"/>
      <c r="AC330" s="6"/>
      <c r="AD330" s="6"/>
      <c r="AE330" s="6"/>
      <c r="AF330" s="6"/>
      <c r="AG330" s="6"/>
      <c r="AH330" s="6"/>
      <c r="AI330" s="6"/>
      <c r="AJ330" s="6"/>
      <c r="AK330" s="6"/>
      <c r="AL330" s="6"/>
      <c r="AM330" s="6"/>
      <c r="AN330" s="6"/>
      <c r="AO330" s="6"/>
      <c r="AP330" s="6"/>
      <c r="AQ330" s="6"/>
      <c r="AR330" s="6"/>
      <c r="AS330" s="6"/>
      <c r="AT330" s="6"/>
    </row>
    <row r="331" spans="22:46">
      <c r="AA331" s="6"/>
      <c r="AB331" s="6"/>
      <c r="AC331" s="6"/>
      <c r="AD331" s="6"/>
      <c r="AE331" s="6"/>
      <c r="AF331" s="6"/>
      <c r="AG331" s="6"/>
      <c r="AH331" s="6"/>
      <c r="AI331" s="6"/>
      <c r="AJ331" s="6"/>
      <c r="AK331" s="6"/>
      <c r="AL331" s="6"/>
      <c r="AM331" s="6"/>
      <c r="AN331" s="6"/>
      <c r="AO331" s="6"/>
      <c r="AP331" s="6"/>
      <c r="AQ331" s="6"/>
      <c r="AR331" s="6"/>
      <c r="AS331" s="6"/>
      <c r="AT331" s="6"/>
    </row>
    <row r="332" spans="22:46">
      <c r="AA332" s="6"/>
      <c r="AB332" s="6"/>
      <c r="AC332" s="6"/>
      <c r="AD332" s="6"/>
      <c r="AE332" s="6"/>
      <c r="AF332" s="6"/>
      <c r="AG332" s="6"/>
      <c r="AH332" s="6"/>
      <c r="AI332" s="6"/>
      <c r="AJ332" s="6"/>
      <c r="AK332" s="6"/>
      <c r="AL332" s="6"/>
      <c r="AM332" s="6"/>
      <c r="AN332" s="6"/>
      <c r="AO332" s="6"/>
      <c r="AP332" s="6"/>
      <c r="AQ332" s="6"/>
      <c r="AR332" s="6"/>
      <c r="AS332" s="6"/>
      <c r="AT332" s="6"/>
    </row>
    <row r="333" spans="22:46">
      <c r="AA333" s="6"/>
      <c r="AB333" s="6"/>
      <c r="AC333" s="6"/>
      <c r="AD333" s="6"/>
      <c r="AE333" s="6"/>
      <c r="AF333" s="6"/>
      <c r="AG333" s="6"/>
      <c r="AH333" s="6"/>
      <c r="AI333" s="6"/>
      <c r="AJ333" s="6"/>
      <c r="AK333" s="6"/>
      <c r="AL333" s="6"/>
      <c r="AM333" s="6"/>
      <c r="AN333" s="6"/>
      <c r="AO333" s="6"/>
      <c r="AP333" s="6"/>
      <c r="AQ333" s="6"/>
      <c r="AR333" s="6"/>
      <c r="AS333" s="6"/>
      <c r="AT333" s="6"/>
    </row>
    <row r="334" spans="22:46">
      <c r="AA334" s="6"/>
      <c r="AB334" s="6"/>
      <c r="AC334" s="6"/>
      <c r="AD334" s="6"/>
      <c r="AE334" s="6"/>
      <c r="AF334" s="6"/>
      <c r="AG334" s="6"/>
      <c r="AH334" s="6"/>
      <c r="AI334" s="6"/>
      <c r="AJ334" s="6"/>
      <c r="AK334" s="6"/>
      <c r="AL334" s="6"/>
      <c r="AM334" s="6"/>
      <c r="AN334" s="6"/>
      <c r="AO334" s="6"/>
      <c r="AP334" s="6"/>
      <c r="AQ334" s="6"/>
      <c r="AR334" s="6"/>
      <c r="AS334" s="6"/>
      <c r="AT334" s="6"/>
    </row>
    <row r="335" spans="22:46">
      <c r="AA335" s="6"/>
      <c r="AB335" s="6"/>
      <c r="AC335" s="6"/>
      <c r="AD335" s="6"/>
      <c r="AE335" s="6"/>
      <c r="AF335" s="6"/>
      <c r="AG335" s="6"/>
      <c r="AH335" s="6"/>
      <c r="AI335" s="6"/>
      <c r="AJ335" s="6"/>
      <c r="AK335" s="6"/>
      <c r="AL335" s="6"/>
      <c r="AM335" s="6"/>
      <c r="AN335" s="6"/>
      <c r="AO335" s="6"/>
      <c r="AP335" s="6"/>
      <c r="AQ335" s="6"/>
      <c r="AR335" s="6"/>
      <c r="AS335" s="6"/>
      <c r="AT335" s="6"/>
    </row>
    <row r="336" spans="22:46">
      <c r="AA336" s="6"/>
      <c r="AB336" s="6"/>
      <c r="AC336" s="6"/>
      <c r="AD336" s="6"/>
      <c r="AE336" s="6"/>
      <c r="AF336" s="6"/>
      <c r="AG336" s="6"/>
      <c r="AH336" s="6"/>
      <c r="AI336" s="6"/>
      <c r="AJ336" s="6"/>
      <c r="AK336" s="6"/>
      <c r="AL336" s="6"/>
      <c r="AM336" s="6"/>
      <c r="AN336" s="6"/>
      <c r="AO336" s="6"/>
      <c r="AP336" s="6"/>
      <c r="AQ336" s="6"/>
      <c r="AR336" s="6"/>
      <c r="AS336" s="6"/>
      <c r="AT336" s="6"/>
    </row>
    <row r="337" spans="27:46">
      <c r="AA337" s="6"/>
      <c r="AB337" s="6"/>
      <c r="AC337" s="6"/>
      <c r="AD337" s="6"/>
      <c r="AE337" s="6"/>
      <c r="AF337" s="6"/>
      <c r="AG337" s="6"/>
      <c r="AH337" s="6"/>
      <c r="AI337" s="6"/>
      <c r="AJ337" s="6"/>
      <c r="AK337" s="6"/>
      <c r="AL337" s="6"/>
      <c r="AM337" s="6"/>
      <c r="AN337" s="6"/>
      <c r="AO337" s="6"/>
      <c r="AP337" s="6"/>
      <c r="AQ337" s="6"/>
      <c r="AR337" s="6"/>
      <c r="AS337" s="6"/>
      <c r="AT337" s="6"/>
    </row>
    <row r="338" spans="27:46">
      <c r="AA338" s="6"/>
      <c r="AB338" s="6"/>
      <c r="AC338" s="6"/>
      <c r="AD338" s="6"/>
      <c r="AE338" s="6"/>
      <c r="AF338" s="6"/>
      <c r="AG338" s="6"/>
      <c r="AH338" s="6"/>
      <c r="AI338" s="6"/>
      <c r="AJ338" s="6"/>
      <c r="AK338" s="6"/>
      <c r="AL338" s="6"/>
      <c r="AM338" s="6"/>
      <c r="AN338" s="6"/>
      <c r="AO338" s="6"/>
      <c r="AP338" s="6"/>
      <c r="AQ338" s="6"/>
      <c r="AR338" s="6"/>
      <c r="AS338" s="6"/>
      <c r="AT338" s="6"/>
    </row>
    <row r="339" spans="27:46" ht="15" customHeight="1">
      <c r="AA339" s="6"/>
      <c r="AB339" s="6"/>
      <c r="AC339" s="6"/>
      <c r="AD339" s="6"/>
      <c r="AE339" s="6"/>
      <c r="AF339" s="6"/>
      <c r="AG339" s="6"/>
      <c r="AH339" s="6"/>
      <c r="AI339" s="6"/>
      <c r="AJ339" s="6"/>
      <c r="AK339" s="6"/>
      <c r="AL339" s="6"/>
      <c r="AM339" s="6"/>
      <c r="AN339" s="6"/>
      <c r="AO339" s="6"/>
      <c r="AP339" s="6"/>
      <c r="AQ339" s="6"/>
      <c r="AR339" s="6"/>
      <c r="AS339" s="6"/>
      <c r="AT339" s="6"/>
    </row>
    <row r="340" spans="27:46">
      <c r="AA340" s="6"/>
      <c r="AB340" s="6"/>
      <c r="AC340" s="6"/>
      <c r="AD340" s="6"/>
      <c r="AE340" s="6"/>
      <c r="AF340" s="6"/>
      <c r="AG340" s="6"/>
      <c r="AH340" s="6"/>
      <c r="AI340" s="6"/>
      <c r="AJ340" s="6"/>
      <c r="AK340" s="6"/>
      <c r="AL340" s="6"/>
      <c r="AM340" s="6"/>
      <c r="AN340" s="6"/>
      <c r="AO340" s="6"/>
      <c r="AP340" s="6"/>
      <c r="AQ340" s="6"/>
      <c r="AR340" s="6"/>
      <c r="AS340" s="6"/>
      <c r="AT340" s="6"/>
    </row>
    <row r="341" spans="27:46">
      <c r="AA341" s="6"/>
      <c r="AB341" s="6"/>
      <c r="AC341" s="6"/>
      <c r="AD341" s="6"/>
      <c r="AE341" s="6"/>
      <c r="AF341" s="6"/>
      <c r="AG341" s="6"/>
      <c r="AH341" s="6"/>
      <c r="AI341" s="6"/>
      <c r="AJ341" s="6"/>
      <c r="AK341" s="6"/>
      <c r="AL341" s="6"/>
      <c r="AM341" s="6"/>
      <c r="AN341" s="6"/>
      <c r="AO341" s="6"/>
      <c r="AP341" s="6"/>
      <c r="AQ341" s="6"/>
      <c r="AR341" s="6"/>
      <c r="AS341" s="6"/>
      <c r="AT341" s="6"/>
    </row>
    <row r="342" spans="27:46">
      <c r="AA342" s="6"/>
      <c r="AB342" s="6"/>
      <c r="AC342" s="6"/>
      <c r="AD342" s="6"/>
      <c r="AE342" s="6"/>
      <c r="AF342" s="6"/>
      <c r="AG342" s="6"/>
      <c r="AH342" s="6"/>
      <c r="AI342" s="6"/>
      <c r="AJ342" s="6"/>
      <c r="AK342" s="6"/>
      <c r="AL342" s="6"/>
      <c r="AM342" s="6"/>
      <c r="AN342" s="6"/>
      <c r="AO342" s="6"/>
      <c r="AP342" s="6"/>
      <c r="AQ342" s="6"/>
      <c r="AR342" s="6"/>
      <c r="AS342" s="6"/>
      <c r="AT342" s="6"/>
    </row>
    <row r="343" spans="27:46">
      <c r="AA343" s="6"/>
      <c r="AB343" s="6"/>
      <c r="AC343" s="6"/>
      <c r="AD343" s="6"/>
      <c r="AE343" s="6"/>
      <c r="AF343" s="6"/>
      <c r="AG343" s="6"/>
      <c r="AH343" s="6"/>
      <c r="AI343" s="6"/>
      <c r="AJ343" s="6"/>
      <c r="AK343" s="6"/>
      <c r="AL343" s="6"/>
      <c r="AM343" s="6"/>
      <c r="AN343" s="6"/>
      <c r="AO343" s="6"/>
      <c r="AP343" s="6"/>
      <c r="AQ343" s="6"/>
      <c r="AR343" s="6"/>
      <c r="AS343" s="6"/>
      <c r="AT343" s="6"/>
    </row>
    <row r="344" spans="27:46">
      <c r="AA344" s="6"/>
      <c r="AB344" s="6"/>
      <c r="AC344" s="6"/>
      <c r="AD344" s="6"/>
      <c r="AE344" s="6"/>
      <c r="AF344" s="6"/>
      <c r="AG344" s="6"/>
      <c r="AH344" s="6"/>
      <c r="AI344" s="6"/>
      <c r="AJ344" s="6"/>
      <c r="AK344" s="6"/>
      <c r="AL344" s="6"/>
      <c r="AM344" s="6"/>
      <c r="AN344" s="6"/>
      <c r="AO344" s="6"/>
      <c r="AP344" s="6"/>
      <c r="AQ344" s="6"/>
      <c r="AR344" s="6"/>
      <c r="AS344" s="6"/>
      <c r="AT344" s="6"/>
    </row>
    <row r="345" spans="27:46">
      <c r="AA345" s="6"/>
      <c r="AB345" s="6"/>
      <c r="AC345" s="6"/>
      <c r="AD345" s="6"/>
      <c r="AE345" s="6"/>
      <c r="AF345" s="6"/>
      <c r="AG345" s="6"/>
      <c r="AH345" s="6"/>
      <c r="AI345" s="6"/>
      <c r="AJ345" s="6"/>
      <c r="AK345" s="6"/>
      <c r="AL345" s="6"/>
      <c r="AM345" s="6"/>
      <c r="AN345" s="6"/>
      <c r="AO345" s="6"/>
      <c r="AP345" s="6"/>
      <c r="AQ345" s="6"/>
      <c r="AR345" s="6"/>
      <c r="AS345" s="6"/>
      <c r="AT345" s="6"/>
    </row>
    <row r="346" spans="27:46">
      <c r="AA346" s="6"/>
      <c r="AB346" s="6"/>
      <c r="AC346" s="6"/>
      <c r="AD346" s="6"/>
      <c r="AE346" s="6"/>
      <c r="AF346" s="6"/>
      <c r="AG346" s="6"/>
      <c r="AH346" s="6"/>
      <c r="AI346" s="6"/>
      <c r="AJ346" s="6"/>
      <c r="AK346" s="6"/>
      <c r="AL346" s="6"/>
      <c r="AM346" s="6"/>
      <c r="AN346" s="6"/>
      <c r="AO346" s="6"/>
      <c r="AP346" s="6"/>
      <c r="AQ346" s="6"/>
      <c r="AR346" s="6"/>
      <c r="AS346" s="6"/>
      <c r="AT346" s="6"/>
    </row>
    <row r="347" spans="27:46">
      <c r="AA347" s="6"/>
      <c r="AB347" s="6"/>
      <c r="AC347" s="6"/>
      <c r="AD347" s="6"/>
      <c r="AE347" s="6"/>
      <c r="AF347" s="6"/>
      <c r="AG347" s="6"/>
      <c r="AH347" s="6"/>
      <c r="AI347" s="6"/>
      <c r="AJ347" s="6"/>
      <c r="AK347" s="6"/>
      <c r="AL347" s="6"/>
      <c r="AM347" s="6"/>
      <c r="AN347" s="6"/>
      <c r="AO347" s="6"/>
      <c r="AP347" s="6"/>
      <c r="AQ347" s="6"/>
      <c r="AR347" s="6"/>
      <c r="AS347" s="6"/>
      <c r="AT347" s="6"/>
    </row>
    <row r="348" spans="27:46">
      <c r="AA348" s="6"/>
      <c r="AB348" s="6"/>
      <c r="AC348" s="6"/>
      <c r="AD348" s="6"/>
      <c r="AE348" s="6"/>
      <c r="AF348" s="6"/>
      <c r="AG348" s="6"/>
      <c r="AH348" s="6"/>
      <c r="AI348" s="6"/>
      <c r="AJ348" s="6"/>
      <c r="AK348" s="6"/>
      <c r="AL348" s="6"/>
      <c r="AM348" s="6"/>
      <c r="AN348" s="6"/>
      <c r="AO348" s="6"/>
      <c r="AP348" s="6"/>
      <c r="AQ348" s="6"/>
      <c r="AR348" s="6"/>
      <c r="AS348" s="6"/>
      <c r="AT348" s="6"/>
    </row>
    <row r="349" spans="27:46">
      <c r="AA349" s="6"/>
      <c r="AB349" s="6"/>
      <c r="AC349" s="6"/>
      <c r="AD349" s="6"/>
      <c r="AE349" s="6"/>
      <c r="AF349" s="6"/>
      <c r="AG349" s="6"/>
      <c r="AH349" s="6"/>
      <c r="AI349" s="6"/>
      <c r="AJ349" s="6"/>
      <c r="AK349" s="6"/>
      <c r="AL349" s="6"/>
      <c r="AM349" s="6"/>
      <c r="AN349" s="6"/>
      <c r="AO349" s="6"/>
      <c r="AP349" s="6"/>
      <c r="AQ349" s="6"/>
      <c r="AR349" s="6"/>
      <c r="AS349" s="6"/>
      <c r="AT349" s="6"/>
    </row>
    <row r="350" spans="27:46">
      <c r="AA350" s="6"/>
      <c r="AB350" s="6"/>
      <c r="AC350" s="6"/>
      <c r="AD350" s="6"/>
      <c r="AE350" s="6"/>
      <c r="AF350" s="6"/>
      <c r="AG350" s="6"/>
      <c r="AH350" s="6"/>
      <c r="AI350" s="6"/>
      <c r="AJ350" s="6"/>
      <c r="AK350" s="6"/>
      <c r="AL350" s="6"/>
      <c r="AM350" s="6"/>
      <c r="AN350" s="6"/>
      <c r="AO350" s="6"/>
      <c r="AP350" s="6"/>
      <c r="AQ350" s="6"/>
      <c r="AR350" s="6"/>
      <c r="AS350" s="6"/>
      <c r="AT350" s="6"/>
    </row>
    <row r="351" spans="27:46">
      <c r="AA351" s="6"/>
      <c r="AB351" s="6"/>
      <c r="AC351" s="6"/>
      <c r="AD351" s="6"/>
      <c r="AE351" s="6"/>
      <c r="AF351" s="6"/>
      <c r="AG351" s="6"/>
      <c r="AH351" s="6"/>
      <c r="AI351" s="6"/>
      <c r="AJ351" s="6"/>
      <c r="AK351" s="6"/>
      <c r="AL351" s="6"/>
      <c r="AM351" s="6"/>
      <c r="AN351" s="6"/>
      <c r="AO351" s="6"/>
      <c r="AP351" s="6"/>
      <c r="AQ351" s="6"/>
      <c r="AR351" s="6"/>
      <c r="AS351" s="6"/>
      <c r="AT351" s="6"/>
    </row>
    <row r="352" spans="27:46">
      <c r="AA352" s="6"/>
      <c r="AB352" s="6"/>
      <c r="AC352" s="6"/>
      <c r="AD352" s="6"/>
      <c r="AE352" s="6"/>
      <c r="AF352" s="6"/>
      <c r="AG352" s="6"/>
      <c r="AH352" s="6"/>
      <c r="AI352" s="6"/>
      <c r="AJ352" s="6"/>
      <c r="AK352" s="6"/>
      <c r="AL352" s="6"/>
      <c r="AM352" s="6"/>
      <c r="AN352" s="6"/>
      <c r="AO352" s="6"/>
      <c r="AP352" s="6"/>
      <c r="AQ352" s="6"/>
      <c r="AR352" s="6"/>
      <c r="AS352" s="6"/>
      <c r="AT352" s="6"/>
    </row>
    <row r="353" spans="27:46">
      <c r="AA353" s="6"/>
      <c r="AB353" s="6"/>
      <c r="AC353" s="6"/>
      <c r="AD353" s="6"/>
      <c r="AE353" s="6"/>
      <c r="AF353" s="6"/>
      <c r="AG353" s="6"/>
      <c r="AH353" s="6"/>
      <c r="AI353" s="6"/>
      <c r="AJ353" s="6"/>
      <c r="AK353" s="6"/>
      <c r="AL353" s="6"/>
      <c r="AM353" s="6"/>
      <c r="AN353" s="6"/>
      <c r="AO353" s="6"/>
      <c r="AP353" s="6"/>
      <c r="AQ353" s="6"/>
      <c r="AR353" s="6"/>
      <c r="AS353" s="6"/>
      <c r="AT353" s="6"/>
    </row>
    <row r="354" spans="27:46">
      <c r="AA354" s="6"/>
      <c r="AB354" s="6"/>
      <c r="AC354" s="6"/>
      <c r="AD354" s="6"/>
      <c r="AE354" s="6"/>
      <c r="AF354" s="6"/>
      <c r="AG354" s="6"/>
      <c r="AH354" s="6"/>
      <c r="AI354" s="6"/>
      <c r="AJ354" s="6"/>
      <c r="AK354" s="6"/>
      <c r="AL354" s="6"/>
      <c r="AM354" s="6"/>
      <c r="AN354" s="6"/>
      <c r="AO354" s="6"/>
      <c r="AP354" s="6"/>
      <c r="AQ354" s="6"/>
      <c r="AR354" s="6"/>
      <c r="AS354" s="6"/>
      <c r="AT354" s="6"/>
    </row>
    <row r="355" spans="27:46">
      <c r="AA355" s="6"/>
      <c r="AB355" s="6"/>
      <c r="AC355" s="6"/>
      <c r="AD355" s="6"/>
      <c r="AE355" s="6"/>
      <c r="AF355" s="6"/>
      <c r="AG355" s="6"/>
      <c r="AH355" s="6"/>
      <c r="AI355" s="6"/>
      <c r="AJ355" s="6"/>
      <c r="AK355" s="6"/>
      <c r="AL355" s="6"/>
      <c r="AM355" s="6"/>
      <c r="AN355" s="6"/>
      <c r="AO355" s="6"/>
      <c r="AP355" s="6"/>
      <c r="AQ355" s="6"/>
      <c r="AR355" s="6"/>
      <c r="AS355" s="6"/>
      <c r="AT355" s="6"/>
    </row>
    <row r="356" spans="27:46">
      <c r="AA356" s="6"/>
      <c r="AB356" s="6"/>
      <c r="AC356" s="6"/>
      <c r="AD356" s="6"/>
      <c r="AE356" s="6"/>
      <c r="AF356" s="6"/>
      <c r="AG356" s="6"/>
      <c r="AH356" s="6"/>
      <c r="AI356" s="6"/>
      <c r="AJ356" s="6"/>
      <c r="AK356" s="6"/>
      <c r="AL356" s="6"/>
      <c r="AM356" s="6"/>
      <c r="AN356" s="6"/>
      <c r="AO356" s="6"/>
      <c r="AP356" s="6"/>
      <c r="AQ356" s="6"/>
      <c r="AR356" s="6"/>
      <c r="AS356" s="6"/>
      <c r="AT356" s="6"/>
    </row>
    <row r="357" spans="27:46">
      <c r="AA357" s="6"/>
      <c r="AB357" s="6"/>
      <c r="AC357" s="6"/>
      <c r="AD357" s="6"/>
      <c r="AE357" s="6"/>
      <c r="AF357" s="6"/>
      <c r="AG357" s="6"/>
      <c r="AH357" s="6"/>
      <c r="AI357" s="6"/>
      <c r="AJ357" s="6"/>
      <c r="AK357" s="6"/>
      <c r="AL357" s="6"/>
      <c r="AM357" s="6"/>
      <c r="AN357" s="6"/>
      <c r="AO357" s="6"/>
      <c r="AP357" s="6"/>
      <c r="AQ357" s="6"/>
      <c r="AR357" s="6"/>
      <c r="AS357" s="6"/>
      <c r="AT357" s="6"/>
    </row>
    <row r="358" spans="27:46">
      <c r="AA358" s="6"/>
      <c r="AB358" s="6"/>
      <c r="AC358" s="6"/>
      <c r="AD358" s="6"/>
      <c r="AE358" s="6"/>
      <c r="AF358" s="6"/>
      <c r="AG358" s="6"/>
      <c r="AH358" s="6"/>
      <c r="AI358" s="6"/>
      <c r="AJ358" s="6"/>
      <c r="AK358" s="6"/>
      <c r="AL358" s="6"/>
      <c r="AM358" s="6"/>
      <c r="AN358" s="6"/>
      <c r="AO358" s="6"/>
      <c r="AP358" s="6"/>
      <c r="AQ358" s="6"/>
      <c r="AR358" s="6"/>
      <c r="AS358" s="6"/>
      <c r="AT358" s="6"/>
    </row>
    <row r="359" spans="27:46">
      <c r="AA359" s="6"/>
      <c r="AB359" s="6"/>
      <c r="AC359" s="6"/>
      <c r="AD359" s="6"/>
      <c r="AE359" s="6"/>
      <c r="AF359" s="6"/>
      <c r="AG359" s="6"/>
      <c r="AH359" s="6"/>
      <c r="AI359" s="6"/>
      <c r="AJ359" s="6"/>
      <c r="AK359" s="6"/>
      <c r="AL359" s="6"/>
      <c r="AM359" s="6"/>
      <c r="AN359" s="6"/>
      <c r="AO359" s="6"/>
      <c r="AP359" s="6"/>
      <c r="AQ359" s="6"/>
      <c r="AR359" s="6"/>
      <c r="AS359" s="6"/>
      <c r="AT359" s="6"/>
    </row>
    <row r="360" spans="27:46">
      <c r="AA360" s="6"/>
      <c r="AB360" s="6"/>
      <c r="AC360" s="6"/>
      <c r="AD360" s="6"/>
      <c r="AE360" s="6"/>
      <c r="AF360" s="6"/>
      <c r="AG360" s="6"/>
      <c r="AH360" s="6"/>
      <c r="AI360" s="6"/>
      <c r="AJ360" s="6"/>
      <c r="AK360" s="6"/>
      <c r="AL360" s="6"/>
      <c r="AM360" s="6"/>
      <c r="AN360" s="6"/>
      <c r="AO360" s="6"/>
      <c r="AP360" s="6"/>
      <c r="AQ360" s="6"/>
      <c r="AR360" s="6"/>
      <c r="AS360" s="6"/>
      <c r="AT360" s="6"/>
    </row>
    <row r="361" spans="27:46">
      <c r="AA361" s="6"/>
      <c r="AB361" s="6"/>
      <c r="AC361" s="6"/>
      <c r="AD361" s="6"/>
      <c r="AE361" s="6"/>
      <c r="AF361" s="6"/>
      <c r="AG361" s="6"/>
      <c r="AH361" s="6"/>
      <c r="AI361" s="6"/>
      <c r="AJ361" s="6"/>
      <c r="AK361" s="6"/>
      <c r="AL361" s="6"/>
      <c r="AM361" s="6"/>
      <c r="AN361" s="6"/>
      <c r="AO361" s="6"/>
      <c r="AP361" s="6"/>
      <c r="AQ361" s="6"/>
      <c r="AR361" s="6"/>
      <c r="AS361" s="6"/>
      <c r="AT361" s="6"/>
    </row>
    <row r="362" spans="27:46">
      <c r="AA362" s="6"/>
      <c r="AB362" s="6"/>
      <c r="AC362" s="6"/>
      <c r="AD362" s="6"/>
      <c r="AE362" s="6"/>
      <c r="AF362" s="6"/>
      <c r="AG362" s="6"/>
      <c r="AH362" s="6"/>
      <c r="AI362" s="6"/>
      <c r="AJ362" s="6"/>
      <c r="AK362" s="6"/>
      <c r="AL362" s="6"/>
      <c r="AM362" s="6"/>
      <c r="AN362" s="6"/>
      <c r="AO362" s="6"/>
      <c r="AP362" s="6"/>
      <c r="AQ362" s="6"/>
      <c r="AR362" s="6"/>
      <c r="AS362" s="6"/>
      <c r="AT362" s="6"/>
    </row>
    <row r="363" spans="27:46">
      <c r="AA363" s="6"/>
      <c r="AB363" s="6"/>
      <c r="AC363" s="6"/>
      <c r="AD363" s="6"/>
      <c r="AE363" s="6"/>
      <c r="AF363" s="6"/>
      <c r="AG363" s="6"/>
      <c r="AH363" s="6"/>
      <c r="AI363" s="6"/>
      <c r="AJ363" s="6"/>
      <c r="AK363" s="6"/>
      <c r="AL363" s="6"/>
      <c r="AM363" s="6"/>
      <c r="AN363" s="6"/>
      <c r="AO363" s="6"/>
      <c r="AP363" s="6"/>
      <c r="AQ363" s="6"/>
      <c r="AR363" s="6"/>
      <c r="AS363" s="6"/>
      <c r="AT363" s="6"/>
    </row>
    <row r="364" spans="27:46">
      <c r="AA364" s="6"/>
      <c r="AB364" s="6"/>
      <c r="AC364" s="6"/>
      <c r="AD364" s="6"/>
      <c r="AE364" s="6"/>
      <c r="AF364" s="6"/>
      <c r="AG364" s="6"/>
      <c r="AH364" s="6"/>
      <c r="AI364" s="6"/>
      <c r="AJ364" s="6"/>
      <c r="AK364" s="6"/>
      <c r="AL364" s="6"/>
      <c r="AM364" s="6"/>
      <c r="AN364" s="6"/>
      <c r="AO364" s="6"/>
      <c r="AP364" s="6"/>
      <c r="AQ364" s="6"/>
      <c r="AR364" s="6"/>
      <c r="AS364" s="6"/>
      <c r="AT364" s="6"/>
    </row>
    <row r="365" spans="27:46">
      <c r="AA365" s="6"/>
      <c r="AB365" s="6"/>
      <c r="AC365" s="6"/>
      <c r="AD365" s="6"/>
      <c r="AE365" s="6"/>
      <c r="AF365" s="6"/>
      <c r="AG365" s="6"/>
      <c r="AH365" s="6"/>
      <c r="AI365" s="6"/>
      <c r="AJ365" s="6"/>
      <c r="AK365" s="6"/>
      <c r="AL365" s="6"/>
      <c r="AM365" s="6"/>
      <c r="AN365" s="6"/>
      <c r="AO365" s="6"/>
      <c r="AP365" s="6"/>
      <c r="AQ365" s="6"/>
      <c r="AR365" s="6"/>
      <c r="AS365" s="6"/>
      <c r="AT365" s="6"/>
    </row>
    <row r="366" spans="27:46">
      <c r="AA366" s="6"/>
      <c r="AB366" s="6"/>
      <c r="AC366" s="6"/>
      <c r="AD366" s="6"/>
      <c r="AE366" s="6"/>
      <c r="AF366" s="6"/>
      <c r="AG366" s="6"/>
      <c r="AH366" s="6"/>
      <c r="AI366" s="6"/>
      <c r="AJ366" s="6"/>
      <c r="AK366" s="6"/>
      <c r="AL366" s="6"/>
      <c r="AM366" s="6"/>
      <c r="AN366" s="6"/>
      <c r="AO366" s="6"/>
      <c r="AP366" s="6"/>
      <c r="AQ366" s="6"/>
      <c r="AR366" s="6"/>
      <c r="AS366" s="6"/>
      <c r="AT366" s="6"/>
    </row>
    <row r="367" spans="27:46">
      <c r="AA367" s="6"/>
      <c r="AB367" s="6"/>
      <c r="AC367" s="6"/>
      <c r="AD367" s="6"/>
      <c r="AE367" s="6"/>
      <c r="AF367" s="6"/>
      <c r="AG367" s="6"/>
      <c r="AH367" s="6"/>
      <c r="AI367" s="6"/>
      <c r="AJ367" s="6"/>
      <c r="AK367" s="6"/>
      <c r="AL367" s="6"/>
      <c r="AM367" s="6"/>
      <c r="AN367" s="6"/>
      <c r="AO367" s="6"/>
      <c r="AP367" s="6"/>
      <c r="AQ367" s="6"/>
      <c r="AR367" s="6"/>
      <c r="AS367" s="6"/>
      <c r="AT367" s="6"/>
    </row>
    <row r="368" spans="27:46">
      <c r="AA368" s="6"/>
      <c r="AB368" s="6"/>
      <c r="AC368" s="6"/>
      <c r="AD368" s="6"/>
      <c r="AE368" s="6"/>
      <c r="AF368" s="6"/>
      <c r="AG368" s="6"/>
      <c r="AH368" s="6"/>
      <c r="AI368" s="6"/>
      <c r="AJ368" s="6"/>
      <c r="AK368" s="6"/>
      <c r="AL368" s="6"/>
      <c r="AM368" s="6"/>
      <c r="AN368" s="6"/>
      <c r="AO368" s="6"/>
      <c r="AP368" s="6"/>
      <c r="AQ368" s="6"/>
      <c r="AR368" s="6"/>
      <c r="AS368" s="6"/>
      <c r="AT368" s="6"/>
    </row>
    <row r="369" spans="27:46">
      <c r="AA369" s="6"/>
      <c r="AB369" s="6"/>
      <c r="AC369" s="6"/>
      <c r="AD369" s="6"/>
      <c r="AE369" s="6"/>
      <c r="AF369" s="6"/>
      <c r="AG369" s="6"/>
      <c r="AH369" s="6"/>
      <c r="AI369" s="6"/>
      <c r="AJ369" s="6"/>
      <c r="AK369" s="6"/>
      <c r="AL369" s="6"/>
      <c r="AM369" s="6"/>
      <c r="AN369" s="6"/>
      <c r="AO369" s="6"/>
      <c r="AP369" s="6"/>
      <c r="AQ369" s="6"/>
      <c r="AR369" s="6"/>
      <c r="AS369" s="6"/>
      <c r="AT369" s="6"/>
    </row>
    <row r="370" spans="27:46">
      <c r="AA370" s="6"/>
      <c r="AB370" s="6"/>
      <c r="AC370" s="6"/>
      <c r="AD370" s="6"/>
      <c r="AE370" s="6"/>
      <c r="AF370" s="6"/>
      <c r="AG370" s="6"/>
      <c r="AH370" s="6"/>
      <c r="AI370" s="6"/>
      <c r="AJ370" s="6"/>
      <c r="AK370" s="6"/>
      <c r="AL370" s="6"/>
      <c r="AM370" s="6"/>
      <c r="AN370" s="6"/>
      <c r="AO370" s="6"/>
      <c r="AP370" s="6"/>
      <c r="AQ370" s="6"/>
      <c r="AR370" s="6"/>
      <c r="AS370" s="6"/>
      <c r="AT370" s="6"/>
    </row>
    <row r="371" spans="27:46">
      <c r="AA371" s="6"/>
      <c r="AB371" s="6"/>
      <c r="AC371" s="6"/>
      <c r="AD371" s="6"/>
      <c r="AE371" s="6"/>
      <c r="AF371" s="6"/>
      <c r="AG371" s="6"/>
      <c r="AH371" s="6"/>
      <c r="AI371" s="6"/>
      <c r="AJ371" s="6"/>
      <c r="AK371" s="6"/>
      <c r="AL371" s="6"/>
      <c r="AM371" s="6"/>
      <c r="AN371" s="6"/>
      <c r="AO371" s="6"/>
      <c r="AP371" s="6"/>
      <c r="AQ371" s="6"/>
      <c r="AR371" s="6"/>
      <c r="AS371" s="6"/>
      <c r="AT371" s="6"/>
    </row>
    <row r="372" spans="27:46">
      <c r="AA372" s="6"/>
      <c r="AB372" s="6"/>
      <c r="AC372" s="6"/>
      <c r="AD372" s="6"/>
      <c r="AE372" s="6"/>
      <c r="AF372" s="6"/>
      <c r="AG372" s="6"/>
      <c r="AH372" s="6"/>
      <c r="AI372" s="6"/>
      <c r="AJ372" s="6"/>
      <c r="AK372" s="6"/>
      <c r="AL372" s="6"/>
      <c r="AM372" s="6"/>
      <c r="AN372" s="6"/>
      <c r="AO372" s="6"/>
      <c r="AP372" s="6"/>
      <c r="AQ372" s="6"/>
      <c r="AR372" s="6"/>
      <c r="AS372" s="6"/>
      <c r="AT372" s="6"/>
    </row>
    <row r="373" spans="27:46">
      <c r="AA373" s="6"/>
      <c r="AB373" s="6"/>
      <c r="AC373" s="6"/>
      <c r="AD373" s="6"/>
      <c r="AE373" s="6"/>
      <c r="AF373" s="6"/>
      <c r="AG373" s="6"/>
      <c r="AH373" s="6"/>
      <c r="AI373" s="6"/>
      <c r="AJ373" s="6"/>
      <c r="AK373" s="6"/>
      <c r="AL373" s="6"/>
      <c r="AM373" s="6"/>
      <c r="AN373" s="6"/>
      <c r="AO373" s="6"/>
      <c r="AP373" s="6"/>
      <c r="AQ373" s="6"/>
      <c r="AR373" s="6"/>
      <c r="AS373" s="6"/>
      <c r="AT373" s="6"/>
    </row>
    <row r="374" spans="27:46">
      <c r="AA374" s="6"/>
      <c r="AB374" s="6"/>
      <c r="AC374" s="6"/>
      <c r="AD374" s="6"/>
      <c r="AE374" s="6"/>
      <c r="AF374" s="6"/>
      <c r="AG374" s="6"/>
      <c r="AH374" s="6"/>
      <c r="AI374" s="6"/>
      <c r="AJ374" s="6"/>
      <c r="AK374" s="6"/>
      <c r="AL374" s="6"/>
      <c r="AM374" s="6"/>
      <c r="AN374" s="6"/>
      <c r="AO374" s="6"/>
      <c r="AP374" s="6"/>
      <c r="AQ374" s="6"/>
      <c r="AR374" s="6"/>
      <c r="AS374" s="6"/>
      <c r="AT374" s="6"/>
    </row>
    <row r="375" spans="27:46">
      <c r="AA375" s="6"/>
      <c r="AB375" s="6"/>
      <c r="AC375" s="6"/>
      <c r="AD375" s="6"/>
      <c r="AE375" s="6"/>
      <c r="AF375" s="6"/>
      <c r="AG375" s="6"/>
      <c r="AH375" s="6"/>
      <c r="AI375" s="6"/>
      <c r="AJ375" s="6"/>
      <c r="AK375" s="6"/>
      <c r="AL375" s="6"/>
      <c r="AM375" s="6"/>
      <c r="AN375" s="6"/>
      <c r="AO375" s="6"/>
      <c r="AP375" s="6"/>
      <c r="AQ375" s="6"/>
      <c r="AR375" s="6"/>
      <c r="AS375" s="6"/>
      <c r="AT375" s="6"/>
    </row>
    <row r="376" spans="27:46">
      <c r="AA376" s="6"/>
      <c r="AB376" s="6"/>
      <c r="AC376" s="6"/>
      <c r="AD376" s="6"/>
      <c r="AE376" s="6"/>
      <c r="AF376" s="6"/>
      <c r="AG376" s="6"/>
      <c r="AH376" s="6"/>
      <c r="AI376" s="6"/>
      <c r="AJ376" s="6"/>
      <c r="AK376" s="6"/>
      <c r="AL376" s="6"/>
      <c r="AM376" s="6"/>
      <c r="AN376" s="6"/>
      <c r="AO376" s="6"/>
      <c r="AP376" s="6"/>
      <c r="AQ376" s="6"/>
      <c r="AR376" s="6"/>
      <c r="AS376" s="6"/>
      <c r="AT376" s="6"/>
    </row>
    <row r="377" spans="27:46">
      <c r="AA377" s="6"/>
      <c r="AB377" s="6"/>
      <c r="AC377" s="6"/>
      <c r="AD377" s="6"/>
      <c r="AE377" s="6"/>
      <c r="AF377" s="6"/>
      <c r="AG377" s="6"/>
      <c r="AH377" s="6"/>
      <c r="AI377" s="6"/>
      <c r="AJ377" s="6"/>
      <c r="AK377" s="6"/>
      <c r="AL377" s="6"/>
      <c r="AM377" s="6"/>
      <c r="AN377" s="6"/>
      <c r="AO377" s="6"/>
      <c r="AP377" s="6"/>
      <c r="AQ377" s="6"/>
      <c r="AR377" s="6"/>
      <c r="AS377" s="6"/>
      <c r="AT377" s="6"/>
    </row>
    <row r="378" spans="27:46">
      <c r="AA378" s="6"/>
      <c r="AB378" s="6"/>
      <c r="AC378" s="6"/>
      <c r="AD378" s="6"/>
      <c r="AE378" s="6"/>
      <c r="AF378" s="6"/>
      <c r="AG378" s="6"/>
      <c r="AH378" s="6"/>
      <c r="AI378" s="6"/>
      <c r="AJ378" s="6"/>
      <c r="AK378" s="6"/>
      <c r="AL378" s="6"/>
      <c r="AM378" s="6"/>
      <c r="AN378" s="6"/>
      <c r="AO378" s="6"/>
      <c r="AP378" s="6"/>
      <c r="AQ378" s="6"/>
      <c r="AR378" s="6"/>
      <c r="AS378" s="6"/>
      <c r="AT378" s="6"/>
    </row>
    <row r="379" spans="27:46">
      <c r="AA379" s="6"/>
      <c r="AB379" s="6"/>
      <c r="AC379" s="6"/>
      <c r="AD379" s="6"/>
      <c r="AE379" s="6"/>
      <c r="AF379" s="6"/>
      <c r="AG379" s="6"/>
      <c r="AH379" s="6"/>
      <c r="AI379" s="6"/>
      <c r="AJ379" s="6"/>
      <c r="AK379" s="6"/>
      <c r="AL379" s="6"/>
      <c r="AM379" s="6"/>
      <c r="AN379" s="6"/>
      <c r="AO379" s="6"/>
      <c r="AP379" s="6"/>
      <c r="AQ379" s="6"/>
      <c r="AR379" s="6"/>
      <c r="AS379" s="6"/>
      <c r="AT379" s="6"/>
    </row>
    <row r="380" spans="27:46">
      <c r="AA380" s="6"/>
      <c r="AB380" s="6"/>
      <c r="AC380" s="6"/>
      <c r="AD380" s="6"/>
      <c r="AE380" s="6"/>
      <c r="AF380" s="6"/>
      <c r="AG380" s="6"/>
      <c r="AH380" s="6"/>
      <c r="AI380" s="6"/>
      <c r="AJ380" s="6"/>
      <c r="AK380" s="6"/>
      <c r="AL380" s="6"/>
      <c r="AM380" s="6"/>
      <c r="AN380" s="6"/>
      <c r="AO380" s="6"/>
      <c r="AP380" s="6"/>
      <c r="AQ380" s="6"/>
      <c r="AR380" s="6"/>
      <c r="AS380" s="6"/>
      <c r="AT380" s="6"/>
    </row>
    <row r="381" spans="27:46" ht="15" customHeight="1">
      <c r="AA381" s="6"/>
      <c r="AB381" s="6"/>
      <c r="AC381" s="6"/>
      <c r="AD381" s="6"/>
      <c r="AE381" s="6"/>
      <c r="AF381" s="6"/>
      <c r="AG381" s="6"/>
      <c r="AH381" s="6"/>
      <c r="AI381" s="6"/>
      <c r="AJ381" s="6"/>
      <c r="AK381" s="6"/>
      <c r="AL381" s="6"/>
      <c r="AM381" s="6"/>
      <c r="AN381" s="6"/>
      <c r="AO381" s="6"/>
      <c r="AP381" s="6"/>
      <c r="AQ381" s="6"/>
      <c r="AR381" s="6"/>
      <c r="AS381" s="6"/>
      <c r="AT381" s="6"/>
    </row>
    <row r="382" spans="27:46">
      <c r="AA382" s="6"/>
      <c r="AB382" s="6"/>
      <c r="AC382" s="6"/>
      <c r="AD382" s="6"/>
      <c r="AE382" s="6"/>
      <c r="AF382" s="6"/>
      <c r="AG382" s="6"/>
      <c r="AH382" s="6"/>
      <c r="AI382" s="6"/>
      <c r="AJ382" s="6"/>
      <c r="AK382" s="6"/>
      <c r="AL382" s="6"/>
      <c r="AM382" s="6"/>
      <c r="AN382" s="6"/>
      <c r="AO382" s="6"/>
      <c r="AP382" s="6"/>
      <c r="AQ382" s="6"/>
      <c r="AR382" s="6"/>
      <c r="AS382" s="6"/>
      <c r="AT382" s="6"/>
    </row>
    <row r="383" spans="27:46">
      <c r="AA383" s="6"/>
      <c r="AB383" s="6"/>
      <c r="AC383" s="6"/>
      <c r="AD383" s="6"/>
      <c r="AE383" s="6"/>
      <c r="AF383" s="6"/>
      <c r="AG383" s="6"/>
      <c r="AH383" s="6"/>
      <c r="AI383" s="6"/>
      <c r="AJ383" s="6"/>
      <c r="AK383" s="6"/>
      <c r="AL383" s="6"/>
      <c r="AM383" s="6"/>
      <c r="AN383" s="6"/>
      <c r="AO383" s="6"/>
      <c r="AP383" s="6"/>
      <c r="AQ383" s="6"/>
      <c r="AR383" s="6"/>
      <c r="AS383" s="6"/>
      <c r="AT383" s="6"/>
    </row>
    <row r="384" spans="27:46">
      <c r="AA384" s="6"/>
      <c r="AB384" s="6"/>
      <c r="AC384" s="6"/>
      <c r="AD384" s="6"/>
      <c r="AE384" s="6"/>
      <c r="AF384" s="6"/>
      <c r="AG384" s="6"/>
      <c r="AH384" s="6"/>
      <c r="AI384" s="6"/>
      <c r="AJ384" s="6"/>
      <c r="AK384" s="6"/>
      <c r="AL384" s="6"/>
      <c r="AM384" s="6"/>
      <c r="AN384" s="6"/>
      <c r="AO384" s="6"/>
      <c r="AP384" s="6"/>
      <c r="AQ384" s="6"/>
      <c r="AR384" s="6"/>
      <c r="AS384" s="6"/>
      <c r="AT384" s="6"/>
    </row>
    <row r="385" spans="27:46">
      <c r="AA385" s="6"/>
      <c r="AB385" s="6"/>
      <c r="AC385" s="6"/>
      <c r="AD385" s="6"/>
      <c r="AE385" s="6"/>
      <c r="AF385" s="6"/>
      <c r="AG385" s="6"/>
      <c r="AH385" s="6"/>
      <c r="AI385" s="6"/>
      <c r="AJ385" s="6"/>
      <c r="AK385" s="6"/>
      <c r="AL385" s="6"/>
      <c r="AM385" s="6"/>
      <c r="AN385" s="6"/>
      <c r="AO385" s="6"/>
      <c r="AP385" s="6"/>
      <c r="AQ385" s="6"/>
      <c r="AR385" s="6"/>
      <c r="AS385" s="6"/>
      <c r="AT385" s="6"/>
    </row>
    <row r="386" spans="27:46">
      <c r="AA386" s="6"/>
      <c r="AB386" s="6"/>
      <c r="AC386" s="6"/>
      <c r="AD386" s="6"/>
      <c r="AE386" s="6"/>
      <c r="AF386" s="6"/>
      <c r="AG386" s="6"/>
      <c r="AH386" s="6"/>
      <c r="AI386" s="6"/>
      <c r="AJ386" s="6"/>
      <c r="AK386" s="6"/>
      <c r="AL386" s="6"/>
      <c r="AM386" s="6"/>
      <c r="AN386" s="6"/>
      <c r="AO386" s="6"/>
      <c r="AP386" s="6"/>
      <c r="AQ386" s="6"/>
      <c r="AR386" s="6"/>
      <c r="AS386" s="6"/>
      <c r="AT386" s="6"/>
    </row>
  </sheetData>
  <phoneticPr fontId="1" type="noConversion"/>
  <conditionalFormatting sqref="J3:K77">
    <cfRule type="expression" dxfId="41" priority="27">
      <formula>$K3&gt;=3</formula>
    </cfRule>
    <cfRule type="expression" dxfId="40" priority="28">
      <formula>$K3=2</formula>
    </cfRule>
    <cfRule type="expression" dxfId="39" priority="29">
      <formula>$K3=1</formula>
    </cfRule>
    <cfRule type="expression" dxfId="38" priority="30">
      <formula>$K3=0</formula>
    </cfRule>
  </conditionalFormatting>
  <pageMargins left="0.7" right="0.7" top="0.75" bottom="0.75" header="0.3" footer="0.3"/>
  <pageSetup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F37A7-8FBF-4A13-943C-18534CAE25FC}">
  <dimension ref="B1:AG5408"/>
  <sheetViews>
    <sheetView workbookViewId="0">
      <selection activeCell="K36" sqref="K36"/>
    </sheetView>
  </sheetViews>
  <sheetFormatPr baseColWidth="10" defaultColWidth="8.83203125" defaultRowHeight="15"/>
  <cols>
    <col min="2" max="2" width="13.5" bestFit="1" customWidth="1"/>
    <col min="3" max="3" width="16.33203125" bestFit="1" customWidth="1"/>
    <col min="4" max="4" width="10.6640625" bestFit="1" customWidth="1"/>
    <col min="6" max="6" width="9.1640625" customWidth="1"/>
    <col min="7" max="7" width="22.6640625" customWidth="1"/>
    <col min="8" max="8" width="9" customWidth="1"/>
    <col min="9" max="10" width="9.1640625" customWidth="1"/>
    <col min="11" max="11" width="14.5" customWidth="1"/>
    <col min="12" max="12" width="14.5" style="6" bestFit="1" customWidth="1"/>
    <col min="13" max="13" width="5.5" style="6" customWidth="1"/>
    <col min="14" max="14" width="9.1640625" style="6" customWidth="1"/>
    <col min="15" max="15" width="12" customWidth="1"/>
    <col min="16" max="16" width="12" style="6" customWidth="1"/>
    <col min="17" max="17" width="5.5" style="6" customWidth="1"/>
    <col min="18" max="18" width="9.1640625" style="6" customWidth="1"/>
    <col min="19" max="19" width="14.1640625" customWidth="1"/>
    <col min="20" max="20" width="13.5" style="6" customWidth="1"/>
    <col min="21" max="21" width="5.5" style="6" customWidth="1"/>
    <col min="22" max="22" width="9.1640625" style="6"/>
    <col min="23" max="23" width="12.1640625" customWidth="1"/>
    <col min="24" max="24" width="14.1640625" style="6" customWidth="1"/>
    <col min="25" max="25" width="5.5" style="6" customWidth="1"/>
    <col min="26" max="26" width="9.1640625" style="6" customWidth="1"/>
    <col min="27" max="27" width="16.6640625" customWidth="1"/>
    <col min="28" max="28" width="14.5" style="6" customWidth="1"/>
    <col min="29" max="29" width="5.5" style="6" customWidth="1"/>
    <col min="30" max="30" width="9.1640625" style="6"/>
    <col min="31" max="31" width="14" bestFit="1" customWidth="1"/>
    <col min="32" max="32" width="14" style="6" bestFit="1" customWidth="1"/>
    <col min="33" max="33" width="5.5" style="6" bestFit="1" customWidth="1"/>
  </cols>
  <sheetData>
    <row r="1" spans="2:23">
      <c r="G1" t="s">
        <v>712</v>
      </c>
    </row>
    <row r="2" spans="2:23">
      <c r="B2" s="6" t="s">
        <v>227</v>
      </c>
      <c r="C2" s="6" t="s">
        <v>228</v>
      </c>
      <c r="D2" s="6" t="s">
        <v>229</v>
      </c>
      <c r="G2" s="10" t="s">
        <v>714</v>
      </c>
      <c r="H2" s="11" t="s">
        <v>713</v>
      </c>
      <c r="J2" s="6"/>
      <c r="K2" s="2" t="s">
        <v>20</v>
      </c>
      <c r="L2" s="18" t="s">
        <v>813</v>
      </c>
      <c r="M2" s="18" t="s">
        <v>812</v>
      </c>
    </row>
    <row r="3" spans="2:23" ht="16" thickBot="1">
      <c r="B3" s="6" t="s">
        <v>301</v>
      </c>
      <c r="C3" s="6" t="s">
        <v>97</v>
      </c>
      <c r="D3" s="5">
        <v>44879</v>
      </c>
      <c r="G3" s="10" t="s">
        <v>345</v>
      </c>
      <c r="H3" s="12">
        <v>128</v>
      </c>
      <c r="K3" s="6" t="s">
        <v>188</v>
      </c>
      <c r="L3" s="6" t="str">
        <f>LOOKUP(ACCTable[[#This Row],[ACC]],KenPomTable[Team])</f>
        <v>Virginia</v>
      </c>
      <c r="M3" s="6">
        <f>VLOOKUP(ACCTable[[#This Row],[ACC]],KenPomTable[],2)</f>
        <v>6</v>
      </c>
    </row>
    <row r="4" spans="2:23" ht="16" thickBot="1">
      <c r="B4" s="6" t="s">
        <v>405</v>
      </c>
      <c r="C4" s="6" t="s">
        <v>479</v>
      </c>
      <c r="D4" s="5">
        <v>44879</v>
      </c>
      <c r="G4" s="10" t="s">
        <v>198</v>
      </c>
      <c r="H4" s="13">
        <v>228</v>
      </c>
      <c r="K4" s="6" t="s">
        <v>44</v>
      </c>
      <c r="L4" s="6" t="str">
        <f>LOOKUP(ACCTable[[#This Row],[ACC]],KenPomTable[Team])</f>
        <v>Duke</v>
      </c>
      <c r="M4" s="6">
        <f>VLOOKUP(ACCTable[[#This Row],[ACC]],KenPomTable[],2)</f>
        <v>10</v>
      </c>
    </row>
    <row r="5" spans="2:23" ht="16" thickBot="1">
      <c r="B5" s="6" t="s">
        <v>248</v>
      </c>
      <c r="C5" s="6" t="s">
        <v>546</v>
      </c>
      <c r="D5" s="5">
        <v>44879</v>
      </c>
      <c r="G5" s="10" t="s">
        <v>105</v>
      </c>
      <c r="H5" s="12">
        <v>126</v>
      </c>
      <c r="K5" s="6" t="s">
        <v>251</v>
      </c>
      <c r="L5" s="6" t="str">
        <f>LOOKUP(ACCTable[[#This Row],[ACC]],KenPomTable[Team])</f>
        <v>North Carolina</v>
      </c>
      <c r="M5" s="6">
        <f>VLOOKUP(ACCTable[[#This Row],[ACC]],KenPomTable[],2)</f>
        <v>12</v>
      </c>
    </row>
    <row r="6" spans="2:23" ht="16" thickBot="1">
      <c r="B6" s="6" t="s">
        <v>54</v>
      </c>
      <c r="C6" s="6" t="s">
        <v>174</v>
      </c>
      <c r="D6" s="5">
        <v>44879</v>
      </c>
      <c r="G6" s="10" t="s">
        <v>82</v>
      </c>
      <c r="H6" s="13">
        <v>15</v>
      </c>
      <c r="K6" s="6" t="s">
        <v>52</v>
      </c>
      <c r="L6" s="6" t="str">
        <f>LOOKUP(ACCTable[[#This Row],[ACC]],KenPomTable[Team])</f>
        <v>Virginia Tech</v>
      </c>
      <c r="M6" s="6">
        <f>VLOOKUP(ACCTable[[#This Row],[ACC]],KenPomTable[],2)</f>
        <v>18</v>
      </c>
    </row>
    <row r="7" spans="2:23" ht="16" thickBot="1">
      <c r="B7" s="6" t="s">
        <v>35</v>
      </c>
      <c r="C7" s="6" t="s">
        <v>264</v>
      </c>
      <c r="D7" s="5">
        <v>44879</v>
      </c>
      <c r="G7" s="10" t="s">
        <v>308</v>
      </c>
      <c r="H7" s="12">
        <v>334</v>
      </c>
      <c r="K7" s="6" t="s">
        <v>48</v>
      </c>
      <c r="L7" s="6" t="str">
        <f>LOOKUP(ACCTable[[#This Row],[ACC]],KenPomTable[Team])</f>
        <v>Miami</v>
      </c>
      <c r="M7" s="6">
        <f>VLOOKUP(ACCTable[[#This Row],[ACC]],KenPomTable[],2)</f>
        <v>43</v>
      </c>
    </row>
    <row r="8" spans="2:23" ht="16" thickBot="1">
      <c r="B8" s="6" t="s">
        <v>173</v>
      </c>
      <c r="C8" s="6" t="s">
        <v>526</v>
      </c>
      <c r="D8" s="5">
        <v>44879</v>
      </c>
      <c r="G8" s="10" t="s">
        <v>715</v>
      </c>
      <c r="H8" s="13">
        <v>347</v>
      </c>
      <c r="K8" s="23" t="s">
        <v>47</v>
      </c>
      <c r="L8" s="23" t="str">
        <f>LOOKUP(ACCTable[[#This Row],[ACC]],KenPomTable[Team])</f>
        <v>Syracuse</v>
      </c>
      <c r="M8" s="23">
        <f>VLOOKUP(ACCTable[[#This Row],[ACC]],KenPomTable[],2)</f>
        <v>50</v>
      </c>
    </row>
    <row r="9" spans="2:23" ht="16" thickBot="1">
      <c r="B9" s="6" t="s">
        <v>356</v>
      </c>
      <c r="C9" s="6" t="s">
        <v>260</v>
      </c>
      <c r="D9" s="5">
        <v>44879</v>
      </c>
      <c r="G9" s="10" t="s">
        <v>215</v>
      </c>
      <c r="H9" s="12">
        <v>277</v>
      </c>
      <c r="K9" s="6" t="s">
        <v>46</v>
      </c>
      <c r="L9" s="6" t="str">
        <f>LOOKUP(ACCTable[[#This Row],[ACC]],KenPomTable[Team])</f>
        <v>Notre Dame</v>
      </c>
      <c r="M9" s="6">
        <f>VLOOKUP(ACCTable[[#This Row],[ACC]],KenPomTable[],2)</f>
        <v>54</v>
      </c>
    </row>
    <row r="10" spans="2:23" ht="16" thickBot="1">
      <c r="B10" s="6" t="s">
        <v>284</v>
      </c>
      <c r="C10" s="6" t="s">
        <v>276</v>
      </c>
      <c r="D10" s="5">
        <v>44879</v>
      </c>
      <c r="G10" s="10" t="s">
        <v>716</v>
      </c>
      <c r="H10" s="13">
        <v>327</v>
      </c>
      <c r="K10" s="6" t="s">
        <v>51</v>
      </c>
      <c r="L10" s="6" t="str">
        <f>LOOKUP(ACCTable[[#This Row],[ACC]],KenPomTable[Team])</f>
        <v>Clemson</v>
      </c>
      <c r="M10" s="6">
        <f>VLOOKUP(ACCTable[[#This Row],[ACC]],KenPomTable[],2)</f>
        <v>62</v>
      </c>
    </row>
    <row r="11" spans="2:23" ht="16" thickBot="1">
      <c r="B11" s="6" t="s">
        <v>296</v>
      </c>
      <c r="C11" s="6" t="s">
        <v>604</v>
      </c>
      <c r="D11" s="5">
        <v>44879</v>
      </c>
      <c r="G11" s="10" t="s">
        <v>717</v>
      </c>
      <c r="H11" s="12">
        <v>301</v>
      </c>
      <c r="K11" s="6" t="s">
        <v>770</v>
      </c>
      <c r="L11" s="6" t="str">
        <f>LOOKUP(ACCTable[[#This Row],[ACC]],KenPomTable[Team])</f>
        <v>N.C. State</v>
      </c>
      <c r="M11" s="6">
        <f>VLOOKUP(ACCTable[[#This Row],[ACC]],KenPomTable[],2)</f>
        <v>72</v>
      </c>
    </row>
    <row r="12" spans="2:23" ht="16" thickBot="1">
      <c r="B12" s="6" t="s">
        <v>98</v>
      </c>
      <c r="C12" s="6" t="s">
        <v>328</v>
      </c>
      <c r="D12" s="5">
        <v>44879</v>
      </c>
      <c r="G12" s="10" t="s">
        <v>718</v>
      </c>
      <c r="H12" s="14">
        <v>204</v>
      </c>
      <c r="K12" s="6" t="s">
        <v>53</v>
      </c>
      <c r="L12" s="6" t="str">
        <f>LOOKUP(ACCTable[[#This Row],[ACC]],KenPomTable[Team])</f>
        <v>Wake Forest</v>
      </c>
      <c r="M12" s="6">
        <f>VLOOKUP(ACCTable[[#This Row],[ACC]],KenPomTable[],2)</f>
        <v>76</v>
      </c>
    </row>
    <row r="13" spans="2:23" ht="17" thickTop="1" thickBot="1">
      <c r="B13" s="6" t="s">
        <v>278</v>
      </c>
      <c r="C13" s="6" t="s">
        <v>466</v>
      </c>
      <c r="D13" s="5">
        <v>44879</v>
      </c>
      <c r="G13" s="10" t="s">
        <v>70</v>
      </c>
      <c r="H13" s="12">
        <v>13</v>
      </c>
      <c r="K13" s="6" t="s">
        <v>54</v>
      </c>
      <c r="L13" s="6" t="str">
        <f>LOOKUP(ACCTable[[#This Row],[ACC]],KenPomTable[Team])</f>
        <v>Boston College</v>
      </c>
      <c r="M13" s="6">
        <f>VLOOKUP(ACCTable[[#This Row],[ACC]],KenPomTable[],2)</f>
        <v>84</v>
      </c>
      <c r="W13" s="6"/>
    </row>
    <row r="14" spans="2:23" ht="16" thickBot="1">
      <c r="B14" s="6" t="s">
        <v>232</v>
      </c>
      <c r="C14" s="6" t="s">
        <v>293</v>
      </c>
      <c r="D14" s="5">
        <v>44879</v>
      </c>
      <c r="G14" s="10" t="s">
        <v>719</v>
      </c>
      <c r="H14" s="13">
        <v>79</v>
      </c>
      <c r="K14" s="6" t="s">
        <v>737</v>
      </c>
      <c r="L14" s="6" t="str">
        <f>LOOKUP(ACCTable[[#This Row],[ACC]],KenPomTable[Team])</f>
        <v>Florida St.</v>
      </c>
      <c r="M14" s="6">
        <f>VLOOKUP(ACCTable[[#This Row],[ACC]],KenPomTable[],2)</f>
        <v>92</v>
      </c>
      <c r="O14" s="6"/>
      <c r="W14" s="6"/>
    </row>
    <row r="15" spans="2:23" ht="16" thickBot="1">
      <c r="B15" s="6" t="s">
        <v>193</v>
      </c>
      <c r="C15" s="6" t="s">
        <v>304</v>
      </c>
      <c r="D15" s="5">
        <v>44879</v>
      </c>
      <c r="G15" s="10" t="s">
        <v>84</v>
      </c>
      <c r="H15" s="12">
        <v>14</v>
      </c>
      <c r="K15" s="6" t="s">
        <v>43</v>
      </c>
      <c r="L15" s="6" t="str">
        <f>LOOKUP(ACCTable[[#This Row],[ACC]],KenPomTable[Team])</f>
        <v>Louisville</v>
      </c>
      <c r="M15" s="6">
        <f>VLOOKUP(ACCTable[[#This Row],[ACC]],KenPomTable[],2)</f>
        <v>104</v>
      </c>
      <c r="O15" s="6"/>
      <c r="W15" s="6"/>
    </row>
    <row r="16" spans="2:23" ht="16" thickBot="1">
      <c r="B16" s="6" t="s">
        <v>202</v>
      </c>
      <c r="C16" s="6" t="s">
        <v>311</v>
      </c>
      <c r="D16" s="5">
        <v>44879</v>
      </c>
      <c r="G16" s="10" t="s">
        <v>720</v>
      </c>
      <c r="H16" s="13">
        <v>355</v>
      </c>
      <c r="K16" s="6" t="s">
        <v>49</v>
      </c>
      <c r="L16" s="6" t="str">
        <f>LOOKUP(ACCTable[[#This Row],[ACC]],KenPomTable[Team])</f>
        <v>Pittsburgh</v>
      </c>
      <c r="M16" s="6">
        <f>VLOOKUP(ACCTable[[#This Row],[ACC]],KenPomTable[],2)</f>
        <v>105</v>
      </c>
      <c r="O16" s="6"/>
      <c r="W16" s="6"/>
    </row>
    <row r="17" spans="2:31" ht="16" thickBot="1">
      <c r="B17" s="6" t="s">
        <v>106</v>
      </c>
      <c r="C17" s="6" t="s">
        <v>477</v>
      </c>
      <c r="D17" s="5">
        <v>44879</v>
      </c>
      <c r="G17" s="10" t="s">
        <v>721</v>
      </c>
      <c r="H17" s="12">
        <v>275</v>
      </c>
      <c r="J17" s="6"/>
      <c r="K17" s="6" t="s">
        <v>50</v>
      </c>
      <c r="L17" s="6" t="str">
        <f>LOOKUP(ACCTable[[#This Row],[ACC]],KenPomTable[Team])</f>
        <v>Georgia Tech</v>
      </c>
      <c r="M17" s="6">
        <f>VLOOKUP(ACCTable[[#This Row],[ACC]],KenPomTable[],2)</f>
        <v>115</v>
      </c>
      <c r="O17" s="6"/>
      <c r="S17" s="6"/>
      <c r="W17" s="6"/>
      <c r="AA17" s="6"/>
      <c r="AE17" s="6"/>
    </row>
    <row r="18" spans="2:31" ht="16" thickBot="1">
      <c r="B18" s="6" t="s">
        <v>338</v>
      </c>
      <c r="C18" s="6" t="s">
        <v>125</v>
      </c>
      <c r="D18" s="5">
        <v>44879</v>
      </c>
      <c r="G18" s="10" t="s">
        <v>148</v>
      </c>
      <c r="H18" s="13">
        <v>267</v>
      </c>
    </row>
    <row r="19" spans="2:31" ht="16" thickBot="1">
      <c r="B19" s="6" t="s">
        <v>215</v>
      </c>
      <c r="C19" s="6" t="s">
        <v>605</v>
      </c>
      <c r="D19" s="5">
        <v>44879</v>
      </c>
      <c r="G19" s="10" t="s">
        <v>83</v>
      </c>
      <c r="H19" s="12">
        <v>16</v>
      </c>
      <c r="K19" s="3" t="s">
        <v>21</v>
      </c>
      <c r="L19" s="18" t="s">
        <v>813</v>
      </c>
      <c r="M19" s="19" t="s">
        <v>812</v>
      </c>
    </row>
    <row r="20" spans="2:31" ht="16" thickBot="1">
      <c r="B20" s="6" t="s">
        <v>136</v>
      </c>
      <c r="C20" s="6" t="s">
        <v>408</v>
      </c>
      <c r="D20" s="5">
        <v>44879</v>
      </c>
      <c r="G20" s="10" t="s">
        <v>147</v>
      </c>
      <c r="H20" s="13">
        <v>248</v>
      </c>
      <c r="K20" s="6" t="s">
        <v>732</v>
      </c>
      <c r="L20" s="6" t="str">
        <f>LOOKUP(BigEastTable[[#This Row],[Big East]],KenPomTable[Team])</f>
        <v>Connecticut</v>
      </c>
      <c r="M20" s="6">
        <f>VLOOKUP(BigEastTable[[#This Row],[Big East]],KenPomTable[],2)</f>
        <v>20</v>
      </c>
    </row>
    <row r="21" spans="2:31" ht="16" thickBot="1">
      <c r="B21" s="6" t="s">
        <v>180</v>
      </c>
      <c r="C21" s="6" t="s">
        <v>161</v>
      </c>
      <c r="D21" s="5">
        <v>44879</v>
      </c>
      <c r="G21" s="10" t="s">
        <v>722</v>
      </c>
      <c r="H21" s="12">
        <v>226</v>
      </c>
      <c r="K21" s="6" t="s">
        <v>38</v>
      </c>
      <c r="L21" s="6" t="str">
        <f>LOOKUP(BigEastTable[[#This Row],[Big East]],KenPomTable[Team])</f>
        <v>Creighton</v>
      </c>
      <c r="M21" s="6">
        <f>VLOOKUP(BigEastTable[[#This Row],[Big East]],KenPomTable[],2)</f>
        <v>24</v>
      </c>
    </row>
    <row r="22" spans="2:31" ht="16" thickBot="1">
      <c r="B22" s="6" t="s">
        <v>231</v>
      </c>
      <c r="C22" s="6" t="s">
        <v>142</v>
      </c>
      <c r="D22" s="5">
        <v>44879</v>
      </c>
      <c r="G22" s="10" t="s">
        <v>28</v>
      </c>
      <c r="H22" s="14">
        <v>7</v>
      </c>
      <c r="K22" s="6" t="s">
        <v>35</v>
      </c>
      <c r="L22" s="6" t="str">
        <f>LOOKUP(BigEastTable[[#This Row],[Big East]],KenPomTable[Team])</f>
        <v>Villanova</v>
      </c>
      <c r="M22" s="6">
        <f>VLOOKUP(BigEastTable[[#This Row],[Big East]],KenPomTable[],2)</f>
        <v>25</v>
      </c>
    </row>
    <row r="23" spans="2:31" ht="17" thickTop="1" thickBot="1">
      <c r="B23" s="6" t="s">
        <v>411</v>
      </c>
      <c r="C23" s="6" t="s">
        <v>330</v>
      </c>
      <c r="D23" s="5">
        <v>44879</v>
      </c>
      <c r="G23" s="10" t="s">
        <v>248</v>
      </c>
      <c r="H23" s="12">
        <v>222</v>
      </c>
      <c r="K23" s="6" t="s">
        <v>302</v>
      </c>
      <c r="L23" s="6" t="str">
        <f>LOOKUP(BigEastTable[[#This Row],[Big East]],KenPomTable[Team])</f>
        <v>St. John's</v>
      </c>
      <c r="M23" s="6">
        <f>VLOOKUP(BigEastTable[[#This Row],[Big East]],KenPomTable[],2)</f>
        <v>35</v>
      </c>
    </row>
    <row r="24" spans="2:31" ht="16" thickBot="1">
      <c r="B24" s="6" t="s">
        <v>116</v>
      </c>
      <c r="C24" s="6" t="s">
        <v>220</v>
      </c>
      <c r="D24" s="5">
        <v>44879</v>
      </c>
      <c r="G24" s="10" t="s">
        <v>186</v>
      </c>
      <c r="H24" s="13">
        <v>138</v>
      </c>
      <c r="K24" s="6" t="s">
        <v>39</v>
      </c>
      <c r="L24" s="6" t="str">
        <f>LOOKUP(BigEastTable[[#This Row],[Big East]],KenPomTable[Team])</f>
        <v>Xavier</v>
      </c>
      <c r="M24" s="6">
        <f>VLOOKUP(BigEastTable[[#This Row],[Big East]],KenPomTable[],2)</f>
        <v>37</v>
      </c>
    </row>
    <row r="25" spans="2:31" ht="16" thickBot="1">
      <c r="B25" s="6" t="s">
        <v>334</v>
      </c>
      <c r="C25" s="6" t="s">
        <v>137</v>
      </c>
      <c r="D25" s="5">
        <v>44879</v>
      </c>
      <c r="G25" s="10" t="s">
        <v>723</v>
      </c>
      <c r="H25" s="12">
        <v>320</v>
      </c>
      <c r="K25" s="6" t="s">
        <v>36</v>
      </c>
      <c r="L25" s="6" t="str">
        <f>LOOKUP(BigEastTable[[#This Row],[Big East]],KenPomTable[Team])</f>
        <v>Seton Hall</v>
      </c>
      <c r="M25" s="6">
        <f>VLOOKUP(BigEastTable[[#This Row],[Big East]],KenPomTable[],2)</f>
        <v>44</v>
      </c>
    </row>
    <row r="26" spans="2:31" ht="16" thickBot="1">
      <c r="B26" s="6" t="s">
        <v>432</v>
      </c>
      <c r="C26" s="6" t="s">
        <v>200</v>
      </c>
      <c r="D26" s="5">
        <v>44879</v>
      </c>
      <c r="G26" s="10" t="s">
        <v>126</v>
      </c>
      <c r="H26" s="13">
        <v>255</v>
      </c>
      <c r="K26" s="6" t="s">
        <v>40</v>
      </c>
      <c r="L26" s="6" t="str">
        <f>LOOKUP(BigEastTable[[#This Row],[Big East]],KenPomTable[Team])</f>
        <v>Providence</v>
      </c>
      <c r="M26" s="6">
        <f>VLOOKUP(BigEastTable[[#This Row],[Big East]],KenPomTable[],2)</f>
        <v>64</v>
      </c>
    </row>
    <row r="27" spans="2:31" ht="16" thickBot="1">
      <c r="B27" s="6" t="s">
        <v>178</v>
      </c>
      <c r="C27" s="6" t="s">
        <v>337</v>
      </c>
      <c r="D27" s="5">
        <v>44879</v>
      </c>
      <c r="G27" s="10" t="s">
        <v>724</v>
      </c>
      <c r="H27" s="12">
        <v>85</v>
      </c>
      <c r="K27" s="6" t="s">
        <v>37</v>
      </c>
      <c r="L27" s="6" t="str">
        <f>LOOKUP(BigEastTable[[#This Row],[Big East]],KenPomTable[Team])</f>
        <v>Marquette</v>
      </c>
      <c r="M27" s="6">
        <f>VLOOKUP(BigEastTable[[#This Row],[Big East]],KenPomTable[],2)</f>
        <v>75</v>
      </c>
    </row>
    <row r="28" spans="2:31" ht="16" thickBot="1">
      <c r="B28" s="6" t="s">
        <v>182</v>
      </c>
      <c r="C28" s="6" t="s">
        <v>335</v>
      </c>
      <c r="D28" s="5">
        <v>44879</v>
      </c>
      <c r="G28" s="10" t="s">
        <v>54</v>
      </c>
      <c r="H28" s="13">
        <v>84</v>
      </c>
      <c r="K28" s="6" t="s">
        <v>155</v>
      </c>
      <c r="L28" s="6" t="str">
        <f>LOOKUP(BigEastTable[[#This Row],[Big East]],KenPomTable[Team])</f>
        <v>DePaul</v>
      </c>
      <c r="M28" s="6">
        <f>VLOOKUP(BigEastTable[[#This Row],[Big East]],KenPomTable[],2)</f>
        <v>90</v>
      </c>
    </row>
    <row r="29" spans="2:31" ht="16" thickBot="1">
      <c r="B29" s="6" t="s">
        <v>201</v>
      </c>
      <c r="C29" s="6" t="s">
        <v>277</v>
      </c>
      <c r="D29" s="5">
        <v>44879</v>
      </c>
      <c r="G29" s="10" t="s">
        <v>278</v>
      </c>
      <c r="H29" s="12">
        <v>241</v>
      </c>
      <c r="K29" s="6" t="s">
        <v>41</v>
      </c>
      <c r="L29" s="6" t="str">
        <f>LOOKUP(BigEastTable[[#This Row],[Big East]],KenPomTable[Team])</f>
        <v>Georgetown</v>
      </c>
      <c r="M29" s="6">
        <f>VLOOKUP(BigEastTable[[#This Row],[Big East]],KenPomTable[],2)</f>
        <v>100</v>
      </c>
    </row>
    <row r="30" spans="2:31" ht="16" thickBot="1">
      <c r="B30" s="6" t="s">
        <v>89</v>
      </c>
      <c r="C30" s="6" t="s">
        <v>209</v>
      </c>
      <c r="D30" s="5">
        <v>44879</v>
      </c>
      <c r="G30" s="10" t="s">
        <v>288</v>
      </c>
      <c r="H30" s="13">
        <v>265</v>
      </c>
      <c r="K30" s="23" t="s">
        <v>42</v>
      </c>
      <c r="L30" s="23" t="str">
        <f>LOOKUP(BigEastTable[[#This Row],[Big East]],KenPomTable[Team])</f>
        <v>Butler</v>
      </c>
      <c r="M30" s="23">
        <f>VLOOKUP(BigEastTable[[#This Row],[Big East]],KenPomTable[],2)</f>
        <v>121</v>
      </c>
    </row>
    <row r="31" spans="2:31" ht="16" thickBot="1">
      <c r="B31" s="6" t="s">
        <v>79</v>
      </c>
      <c r="C31" s="6" t="s">
        <v>421</v>
      </c>
      <c r="D31" s="5">
        <v>44879</v>
      </c>
      <c r="G31" s="10" t="s">
        <v>119</v>
      </c>
      <c r="H31" s="12">
        <v>133</v>
      </c>
    </row>
    <row r="32" spans="2:31" ht="16" thickBot="1">
      <c r="B32" s="6" t="s">
        <v>737</v>
      </c>
      <c r="C32" s="6" t="s">
        <v>194</v>
      </c>
      <c r="D32" s="5">
        <v>44879</v>
      </c>
      <c r="G32" s="10" t="s">
        <v>107</v>
      </c>
      <c r="H32" s="14">
        <v>253</v>
      </c>
      <c r="K32" s="1" t="s">
        <v>22</v>
      </c>
      <c r="L32" s="18" t="s">
        <v>813</v>
      </c>
      <c r="M32" s="20" t="s">
        <v>812</v>
      </c>
    </row>
    <row r="33" spans="2:13" ht="17" thickTop="1" thickBot="1">
      <c r="B33" s="6" t="s">
        <v>63</v>
      </c>
      <c r="C33" s="6" t="s">
        <v>155</v>
      </c>
      <c r="D33" s="5">
        <v>44879</v>
      </c>
      <c r="G33" s="10" t="s">
        <v>106</v>
      </c>
      <c r="H33" s="12">
        <v>184</v>
      </c>
      <c r="K33" s="6" t="s">
        <v>62</v>
      </c>
      <c r="L33" s="6" t="str">
        <f>LOOKUP(BigTenTable[[#This Row],[Big Ten]],KenPomTable[Team])</f>
        <v>Indiana</v>
      </c>
      <c r="M33" s="6">
        <f>VLOOKUP(BigTenTable[[#This Row],[Big Ten]],KenPomTable[],2)</f>
        <v>8</v>
      </c>
    </row>
    <row r="34" spans="2:13" ht="16" thickBot="1">
      <c r="B34" s="6" t="s">
        <v>415</v>
      </c>
      <c r="C34" s="6" t="s">
        <v>416</v>
      </c>
      <c r="D34" s="5">
        <v>44879</v>
      </c>
      <c r="G34" s="10" t="s">
        <v>113</v>
      </c>
      <c r="H34" s="13">
        <v>290</v>
      </c>
      <c r="K34" s="6" t="s">
        <v>61</v>
      </c>
      <c r="L34" s="6" t="str">
        <f>LOOKUP(BigTenTable[[#This Row],[Big Ten]],KenPomTable[Team])</f>
        <v>Iowa</v>
      </c>
      <c r="M34" s="6">
        <f>VLOOKUP(BigTenTable[[#This Row],[Big Ten]],KenPomTable[],2)</f>
        <v>19</v>
      </c>
    </row>
    <row r="35" spans="2:13" ht="16" thickBot="1">
      <c r="B35" s="6" t="s">
        <v>333</v>
      </c>
      <c r="C35" s="6" t="s">
        <v>463</v>
      </c>
      <c r="D35" s="5">
        <v>44879</v>
      </c>
      <c r="G35" s="10" t="s">
        <v>203</v>
      </c>
      <c r="H35" s="12">
        <v>183</v>
      </c>
      <c r="K35" s="6" t="s">
        <v>58</v>
      </c>
      <c r="L35" s="6" t="str">
        <f>LOOKUP(BigTenTable[[#This Row],[Big Ten]],KenPomTable[Team])</f>
        <v>Purdue</v>
      </c>
      <c r="M35" s="6">
        <f>VLOOKUP(BigTenTable[[#This Row],[Big Ten]],KenPomTable[],2)</f>
        <v>22</v>
      </c>
    </row>
    <row r="36" spans="2:13" ht="16" thickBot="1">
      <c r="B36" s="6" t="s">
        <v>344</v>
      </c>
      <c r="C36" s="6" t="s">
        <v>594</v>
      </c>
      <c r="D36" s="5">
        <v>44879</v>
      </c>
      <c r="G36" s="10" t="s">
        <v>42</v>
      </c>
      <c r="H36" s="13">
        <v>121</v>
      </c>
      <c r="K36" s="6" t="s">
        <v>777</v>
      </c>
      <c r="L36" s="6" t="str">
        <f>LOOKUP(BigTenTable[[#This Row],[Big Ten]],KenPomTable[Team])</f>
        <v>Ohio St.</v>
      </c>
      <c r="M36" s="6">
        <f>VLOOKUP(BigTenTable[[#This Row],[Big Ten]],KenPomTable[],2)</f>
        <v>26</v>
      </c>
    </row>
    <row r="37" spans="2:13" ht="16" thickBot="1">
      <c r="B37" s="6" t="s">
        <v>212</v>
      </c>
      <c r="C37" s="6" t="s">
        <v>184</v>
      </c>
      <c r="D37" s="5">
        <v>44879</v>
      </c>
      <c r="G37" s="10" t="s">
        <v>157</v>
      </c>
      <c r="H37" s="12">
        <v>57</v>
      </c>
      <c r="K37" s="6" t="s">
        <v>761</v>
      </c>
      <c r="L37" s="6" t="str">
        <f>LOOKUP(BigTenTable[[#This Row],[Big Ten]],KenPomTable[Team])</f>
        <v>Michigan St.</v>
      </c>
      <c r="M37" s="6">
        <f>VLOOKUP(BigTenTable[[#This Row],[Big Ten]],KenPomTable[],2)</f>
        <v>27</v>
      </c>
    </row>
    <row r="38" spans="2:13" ht="16" thickBot="1">
      <c r="B38" s="6" t="s">
        <v>28</v>
      </c>
      <c r="C38" s="6" t="s">
        <v>426</v>
      </c>
      <c r="D38" s="5">
        <v>44879</v>
      </c>
      <c r="G38" s="10" t="s">
        <v>725</v>
      </c>
      <c r="H38" s="13">
        <v>160</v>
      </c>
      <c r="K38" s="6" t="s">
        <v>60</v>
      </c>
      <c r="L38" s="6" t="str">
        <f>LOOKUP(BigTenTable[[#This Row],[Big Ten]],KenPomTable[Team])</f>
        <v>Illinois</v>
      </c>
      <c r="M38" s="6">
        <f>VLOOKUP(BigTenTable[[#This Row],[Big Ten]],KenPomTable[],2)</f>
        <v>28</v>
      </c>
    </row>
    <row r="39" spans="2:13" ht="16" thickBot="1">
      <c r="B39" s="6" t="s">
        <v>34</v>
      </c>
      <c r="C39" s="6" t="s">
        <v>343</v>
      </c>
      <c r="D39" s="5">
        <v>44879</v>
      </c>
      <c r="G39" s="10" t="s">
        <v>207</v>
      </c>
      <c r="H39" s="12">
        <v>252</v>
      </c>
      <c r="K39" s="6" t="s">
        <v>59</v>
      </c>
      <c r="L39" s="6" t="str">
        <f>LOOKUP(BigTenTable[[#This Row],[Big Ten]],KenPomTable[Team])</f>
        <v>Michigan</v>
      </c>
      <c r="M39" s="6">
        <f>VLOOKUP(BigTenTable[[#This Row],[Big Ten]],KenPomTable[],2)</f>
        <v>30</v>
      </c>
    </row>
    <row r="40" spans="2:13" ht="16" thickBot="1">
      <c r="B40" s="6" t="s">
        <v>188</v>
      </c>
      <c r="C40" s="6" t="s">
        <v>318</v>
      </c>
      <c r="D40" s="5">
        <v>44879</v>
      </c>
      <c r="G40" s="10" t="s">
        <v>726</v>
      </c>
      <c r="H40" s="13">
        <v>276</v>
      </c>
      <c r="K40" s="6" t="s">
        <v>781</v>
      </c>
      <c r="L40" s="6" t="str">
        <f>LOOKUP(BigTenTable[[#This Row],[Big Ten]],KenPomTable[Team])</f>
        <v>Penn St.</v>
      </c>
      <c r="M40" s="6">
        <f>VLOOKUP(BigTenTable[[#This Row],[Big Ten]],KenPomTable[],2)</f>
        <v>34</v>
      </c>
    </row>
    <row r="41" spans="2:13" ht="16" thickBot="1">
      <c r="B41" s="6" t="s">
        <v>27</v>
      </c>
      <c r="C41" s="6" t="s">
        <v>373</v>
      </c>
      <c r="D41" s="5">
        <v>44879</v>
      </c>
      <c r="G41" s="10" t="s">
        <v>727</v>
      </c>
      <c r="H41" s="12">
        <v>196</v>
      </c>
      <c r="K41" s="6" t="s">
        <v>64</v>
      </c>
      <c r="L41" s="6" t="str">
        <f>LOOKUP(BigTenTable[[#This Row],[Big Ten]],KenPomTable[Team])</f>
        <v>Rutgers</v>
      </c>
      <c r="M41" s="6">
        <f>VLOOKUP(BigTenTable[[#This Row],[Big Ten]],KenPomTable[],2)</f>
        <v>39</v>
      </c>
    </row>
    <row r="42" spans="2:13" ht="16" thickBot="1">
      <c r="B42" s="6" t="s">
        <v>147</v>
      </c>
      <c r="C42" s="6" t="s">
        <v>457</v>
      </c>
      <c r="D42" s="5">
        <v>44879</v>
      </c>
      <c r="G42" s="10" t="s">
        <v>728</v>
      </c>
      <c r="H42" s="14">
        <v>318</v>
      </c>
      <c r="K42" s="6" t="s">
        <v>65</v>
      </c>
      <c r="L42" s="6" t="str">
        <f>LOOKUP(BigTenTable[[#This Row],[Big Ten]],KenPomTable[Team])</f>
        <v>Wisconsin</v>
      </c>
      <c r="M42" s="6">
        <f>VLOOKUP(BigTenTable[[#This Row],[Big Ten]],KenPomTable[],2)</f>
        <v>41</v>
      </c>
    </row>
    <row r="43" spans="2:13" ht="17" thickTop="1" thickBot="1">
      <c r="B43" s="6" t="s">
        <v>280</v>
      </c>
      <c r="C43" s="6" t="s">
        <v>353</v>
      </c>
      <c r="D43" s="5">
        <v>44879</v>
      </c>
      <c r="G43" s="10" t="s">
        <v>164</v>
      </c>
      <c r="H43" s="12">
        <v>169</v>
      </c>
      <c r="K43" s="6" t="s">
        <v>56</v>
      </c>
      <c r="L43" s="6" t="str">
        <f>LOOKUP(BigTenTable[[#This Row],[Big Ten]],KenPomTable[Team])</f>
        <v>Maryland</v>
      </c>
      <c r="M43" s="6">
        <f>VLOOKUP(BigTenTable[[#This Row],[Big Ten]],KenPomTable[],2)</f>
        <v>49</v>
      </c>
    </row>
    <row r="44" spans="2:13" ht="16" thickBot="1">
      <c r="B44" s="6" t="s">
        <v>400</v>
      </c>
      <c r="C44" s="6" t="s">
        <v>498</v>
      </c>
      <c r="D44" s="5">
        <v>44879</v>
      </c>
      <c r="G44" s="10" t="s">
        <v>298</v>
      </c>
      <c r="H44" s="13">
        <v>189</v>
      </c>
      <c r="K44" s="6" t="s">
        <v>68</v>
      </c>
      <c r="L44" s="6" t="str">
        <f>LOOKUP(BigTenTable[[#This Row],[Big Ten]],KenPomTable[Team])</f>
        <v>Northwestern</v>
      </c>
      <c r="M44" s="6">
        <f>VLOOKUP(BigTenTable[[#This Row],[Big Ten]],KenPomTable[],2)</f>
        <v>69</v>
      </c>
    </row>
    <row r="45" spans="2:13" ht="16" thickBot="1">
      <c r="B45" s="6" t="s">
        <v>347</v>
      </c>
      <c r="C45" s="6" t="s">
        <v>172</v>
      </c>
      <c r="D45" s="5">
        <v>44879</v>
      </c>
      <c r="G45" s="10" t="s">
        <v>211</v>
      </c>
      <c r="H45" s="12">
        <v>302</v>
      </c>
      <c r="K45" s="6" t="s">
        <v>67</v>
      </c>
      <c r="L45" s="6" t="str">
        <f>LOOKUP(BigTenTable[[#This Row],[Big Ten]],KenPomTable[Team])</f>
        <v>Nebraska</v>
      </c>
      <c r="M45" s="6">
        <f>VLOOKUP(BigTenTable[[#This Row],[Big Ten]],KenPomTable[],2)</f>
        <v>114</v>
      </c>
    </row>
    <row r="46" spans="2:13" ht="16" thickBot="1">
      <c r="B46" s="6" t="s">
        <v>363</v>
      </c>
      <c r="C46" s="6" t="s">
        <v>103</v>
      </c>
      <c r="D46" s="5">
        <v>44879</v>
      </c>
      <c r="G46" s="10" t="s">
        <v>355</v>
      </c>
      <c r="H46" s="13">
        <v>332</v>
      </c>
      <c r="K46" s="6" t="s">
        <v>63</v>
      </c>
      <c r="L46" s="6" t="str">
        <f>LOOKUP(BigTenTable[[#This Row],[Big Ten]],KenPomTable[Team])</f>
        <v>Minnesota</v>
      </c>
      <c r="M46" s="6">
        <f>VLOOKUP(BigTenTable[[#This Row],[Big Ten]],KenPomTable[],2)</f>
        <v>118</v>
      </c>
    </row>
    <row r="47" spans="2:13" ht="16" thickBot="1">
      <c r="B47" s="6" t="s">
        <v>640</v>
      </c>
      <c r="C47" s="6" t="s">
        <v>369</v>
      </c>
      <c r="D47" s="5">
        <v>44879</v>
      </c>
      <c r="G47" s="10" t="s">
        <v>246</v>
      </c>
      <c r="H47" s="12">
        <v>339</v>
      </c>
    </row>
    <row r="48" spans="2:13" ht="16" thickBot="1">
      <c r="B48" s="6" t="s">
        <v>94</v>
      </c>
      <c r="C48" s="6" t="s">
        <v>606</v>
      </c>
      <c r="D48" s="5">
        <v>44879</v>
      </c>
      <c r="G48" s="10" t="s">
        <v>362</v>
      </c>
      <c r="H48" s="13">
        <v>306</v>
      </c>
      <c r="K48" s="4" t="s">
        <v>23</v>
      </c>
      <c r="L48" s="18" t="s">
        <v>813</v>
      </c>
      <c r="M48" s="21" t="s">
        <v>812</v>
      </c>
    </row>
    <row r="49" spans="2:15" ht="16" thickBot="1">
      <c r="B49" s="6" t="s">
        <v>584</v>
      </c>
      <c r="C49" s="6" t="s">
        <v>439</v>
      </c>
      <c r="D49" s="5">
        <v>44879</v>
      </c>
      <c r="G49" s="10" t="s">
        <v>432</v>
      </c>
      <c r="H49" s="12">
        <v>185</v>
      </c>
      <c r="K49" s="6" t="s">
        <v>30</v>
      </c>
      <c r="L49" s="6" t="str">
        <f>LOOKUP(Big12Table[[#This Row],[Big 12]],KenPomTable[Team])</f>
        <v>Texas</v>
      </c>
      <c r="M49" s="6">
        <f>VLOOKUP(Big12Table[[#This Row],[Big 12]],KenPomTable[],2)</f>
        <v>2</v>
      </c>
    </row>
    <row r="50" spans="2:15" ht="16" thickBot="1">
      <c r="B50" s="6" t="s">
        <v>331</v>
      </c>
      <c r="C50" s="6" t="s">
        <v>512</v>
      </c>
      <c r="D50" s="5">
        <v>44879</v>
      </c>
      <c r="G50" s="10" t="s">
        <v>270</v>
      </c>
      <c r="H50" s="13">
        <v>324</v>
      </c>
      <c r="K50" s="6" t="s">
        <v>28</v>
      </c>
      <c r="L50" s="6" t="str">
        <f>LOOKUP(Big12Table[[#This Row],[Big 12]],KenPomTable[Team])</f>
        <v>Baylor</v>
      </c>
      <c r="M50" s="6">
        <f>VLOOKUP(Big12Table[[#This Row],[Big 12]],KenPomTable[],2)</f>
        <v>7</v>
      </c>
    </row>
    <row r="51" spans="2:15" ht="16" thickBot="1">
      <c r="B51" s="6" t="s">
        <v>367</v>
      </c>
      <c r="C51" s="6" t="s">
        <v>593</v>
      </c>
      <c r="D51" s="5">
        <v>44879</v>
      </c>
      <c r="G51" s="10" t="s">
        <v>182</v>
      </c>
      <c r="H51" s="12">
        <v>176</v>
      </c>
      <c r="K51" s="6" t="s">
        <v>26</v>
      </c>
      <c r="L51" s="6" t="str">
        <f>LOOKUP(Big12Table[[#This Row],[Big 12]],KenPomTable[Team])</f>
        <v>Kansas</v>
      </c>
      <c r="M51" s="6">
        <f>VLOOKUP(Big12Table[[#This Row],[Big 12]],KenPomTable[],2)</f>
        <v>9</v>
      </c>
    </row>
    <row r="52" spans="2:15" ht="16" thickBot="1">
      <c r="B52" s="6" t="s">
        <v>316</v>
      </c>
      <c r="C52" s="6" t="s">
        <v>521</v>
      </c>
      <c r="D52" s="5">
        <v>44879</v>
      </c>
      <c r="G52" s="10" t="s">
        <v>104</v>
      </c>
      <c r="H52" s="14">
        <v>153</v>
      </c>
      <c r="K52" s="6" t="s">
        <v>27</v>
      </c>
      <c r="L52" s="6" t="str">
        <f>LOOKUP(Big12Table[[#This Row],[Big 12]],KenPomTable[Team])</f>
        <v>Texas Tech</v>
      </c>
      <c r="M52" s="6">
        <f>VLOOKUP(Big12Table[[#This Row],[Big 12]],KenPomTable[],2)</f>
        <v>21</v>
      </c>
    </row>
    <row r="53" spans="2:15" ht="17" thickTop="1" thickBot="1">
      <c r="B53" s="6" t="s">
        <v>368</v>
      </c>
      <c r="C53" s="6" t="s">
        <v>495</v>
      </c>
      <c r="D53" s="5">
        <v>44879</v>
      </c>
      <c r="G53" s="10" t="s">
        <v>729</v>
      </c>
      <c r="H53" s="12">
        <v>360</v>
      </c>
      <c r="K53" s="6" t="s">
        <v>34</v>
      </c>
      <c r="L53" s="6" t="str">
        <f>LOOKUP(Big12Table[[#This Row],[Big 12]],KenPomTable[Team])</f>
        <v>TCU</v>
      </c>
      <c r="M53" s="6">
        <f>VLOOKUP(Big12Table[[#This Row],[Big 12]],KenPomTable[],2)</f>
        <v>36</v>
      </c>
    </row>
    <row r="54" spans="2:15" ht="16" thickBot="1">
      <c r="B54" s="6" t="s">
        <v>128</v>
      </c>
      <c r="C54" s="6" t="s">
        <v>186</v>
      </c>
      <c r="D54" s="5">
        <v>44879</v>
      </c>
      <c r="G54" s="10" t="s">
        <v>187</v>
      </c>
      <c r="H54" s="13">
        <v>52</v>
      </c>
      <c r="K54" s="6" t="s">
        <v>778</v>
      </c>
      <c r="L54" s="6" t="str">
        <f>LOOKUP(Big12Table[[#This Row],[Big 12]],KenPomTable[Team])</f>
        <v>Oklahoma St.</v>
      </c>
      <c r="M54" s="6">
        <f>VLOOKUP(Big12Table[[#This Row],[Big 12]],KenPomTable[],2)</f>
        <v>42</v>
      </c>
    </row>
    <row r="55" spans="2:15" ht="16" thickBot="1">
      <c r="B55" s="6" t="s">
        <v>355</v>
      </c>
      <c r="C55" s="6" t="s">
        <v>240</v>
      </c>
      <c r="D55" s="5">
        <v>44879</v>
      </c>
      <c r="G55" s="10" t="s">
        <v>51</v>
      </c>
      <c r="H55" s="12">
        <v>62</v>
      </c>
      <c r="K55" s="6" t="s">
        <v>29</v>
      </c>
      <c r="L55" s="6" t="str">
        <f>LOOKUP(Big12Table[[#This Row],[Big 12]],KenPomTable[Team])</f>
        <v>Oklahoma</v>
      </c>
      <c r="M55" s="6">
        <f>VLOOKUP(Big12Table[[#This Row],[Big 12]],KenPomTable[],2)</f>
        <v>48</v>
      </c>
    </row>
    <row r="56" spans="2:15" ht="16" thickBot="1">
      <c r="B56" s="6" t="s">
        <v>77</v>
      </c>
      <c r="C56" s="6" t="s">
        <v>153</v>
      </c>
      <c r="D56" s="5">
        <v>44879</v>
      </c>
      <c r="G56" s="10" t="s">
        <v>730</v>
      </c>
      <c r="H56" s="13">
        <v>264</v>
      </c>
      <c r="K56" s="6" t="s">
        <v>32</v>
      </c>
      <c r="L56" s="6" t="str">
        <f>LOOKUP(Big12Table[[#This Row],[Big 12]],KenPomTable[Team])</f>
        <v>West Virginia</v>
      </c>
      <c r="M56" s="6">
        <f>VLOOKUP(Big12Table[[#This Row],[Big 12]],KenPomTable[],2)</f>
        <v>51</v>
      </c>
    </row>
    <row r="57" spans="2:15" ht="16" thickBot="1">
      <c r="B57" s="6" t="s">
        <v>781</v>
      </c>
      <c r="C57" s="6" t="s">
        <v>42</v>
      </c>
      <c r="D57" s="5">
        <v>44879</v>
      </c>
      <c r="G57" s="10" t="s">
        <v>294</v>
      </c>
      <c r="H57" s="12">
        <v>179</v>
      </c>
      <c r="K57" s="6" t="s">
        <v>747</v>
      </c>
      <c r="L57" s="6" t="str">
        <f>LOOKUP(Big12Table[[#This Row],[Big 12]],KenPomTable[Team])</f>
        <v>Iowa St.</v>
      </c>
      <c r="M57" s="6">
        <f>VLOOKUP(Big12Table[[#This Row],[Big 12]],KenPomTable[],2)</f>
        <v>60</v>
      </c>
    </row>
    <row r="58" spans="2:15" ht="16" thickBot="1">
      <c r="B58" s="6" t="s">
        <v>38</v>
      </c>
      <c r="C58" s="6" t="s">
        <v>131</v>
      </c>
      <c r="D58" s="5">
        <v>44879</v>
      </c>
      <c r="G58" s="10" t="s">
        <v>176</v>
      </c>
      <c r="H58" s="13">
        <v>112</v>
      </c>
      <c r="K58" s="6" t="s">
        <v>750</v>
      </c>
      <c r="L58" s="6" t="str">
        <f>LOOKUP(Big12Table[[#This Row],[Big 12]],KenPomTable[Team])</f>
        <v>Kansas St.</v>
      </c>
      <c r="M58" s="6">
        <f>VLOOKUP(Big12Table[[#This Row],[Big 12]],KenPomTable[],2)</f>
        <v>68</v>
      </c>
    </row>
    <row r="59" spans="2:15" ht="16" thickBot="1">
      <c r="B59" s="6" t="s">
        <v>60</v>
      </c>
      <c r="C59" s="6" t="s">
        <v>115</v>
      </c>
      <c r="D59" s="5">
        <v>44879</v>
      </c>
      <c r="G59" s="10" t="s">
        <v>72</v>
      </c>
      <c r="H59" s="12">
        <v>74</v>
      </c>
    </row>
    <row r="60" spans="2:15" ht="16" thickBot="1">
      <c r="B60" s="6" t="s">
        <v>309</v>
      </c>
      <c r="C60" s="6" t="s">
        <v>308</v>
      </c>
      <c r="D60" s="5">
        <v>44879</v>
      </c>
      <c r="G60" s="10" t="s">
        <v>731</v>
      </c>
      <c r="H60" s="13">
        <v>109</v>
      </c>
      <c r="K60" s="22" t="s">
        <v>24</v>
      </c>
      <c r="L60" s="18" t="s">
        <v>813</v>
      </c>
      <c r="M60" s="20" t="s">
        <v>812</v>
      </c>
      <c r="O60" s="6"/>
    </row>
    <row r="61" spans="2:15" ht="16" thickBot="1">
      <c r="B61" s="6" t="s">
        <v>151</v>
      </c>
      <c r="C61" s="6" t="s">
        <v>389</v>
      </c>
      <c r="D61" s="5">
        <v>44879</v>
      </c>
      <c r="G61" s="10" t="s">
        <v>138</v>
      </c>
      <c r="H61" s="12">
        <v>335</v>
      </c>
      <c r="K61" s="6" t="s">
        <v>75</v>
      </c>
      <c r="L61" s="6" t="str">
        <f>LOOKUP(Pac12Table[[#This Row],[Pac 12]],KenPomTable[Team])</f>
        <v>UCLA</v>
      </c>
      <c r="M61" s="6">
        <f>VLOOKUP(Pac12Table[[#This Row],[Pac 12]],KenPomTable[],2)</f>
        <v>11</v>
      </c>
      <c r="O61" s="6"/>
    </row>
    <row r="62" spans="2:15" ht="16" thickBot="1">
      <c r="B62" s="6" t="s">
        <v>378</v>
      </c>
      <c r="C62" s="6" t="s">
        <v>379</v>
      </c>
      <c r="D62" s="5">
        <v>44879</v>
      </c>
      <c r="G62" s="10" t="s">
        <v>732</v>
      </c>
      <c r="H62" s="14">
        <v>20</v>
      </c>
      <c r="K62" s="6" t="s">
        <v>70</v>
      </c>
      <c r="L62" s="6" t="str">
        <f>LOOKUP(Pac12Table[[#This Row],[Pac 12]],KenPomTable[Team])</f>
        <v>Arizona</v>
      </c>
      <c r="M62" s="6">
        <f>VLOOKUP(Pac12Table[[#This Row],[Pac 12]],KenPomTable[],2)</f>
        <v>13</v>
      </c>
      <c r="O62" s="6"/>
    </row>
    <row r="63" spans="2:15" ht="17" thickTop="1" thickBot="1">
      <c r="B63" s="6" t="s">
        <v>168</v>
      </c>
      <c r="C63" s="6" t="s">
        <v>160</v>
      </c>
      <c r="D63" s="5">
        <v>44879</v>
      </c>
      <c r="G63" s="10" t="s">
        <v>733</v>
      </c>
      <c r="H63" s="12">
        <v>314</v>
      </c>
      <c r="K63" s="6" t="s">
        <v>69</v>
      </c>
      <c r="L63" s="6" t="str">
        <f>LOOKUP(Pac12Table[[#This Row],[Pac 12]],KenPomTable[Team])</f>
        <v>Oregon</v>
      </c>
      <c r="M63" s="6">
        <f>VLOOKUP(Pac12Table[[#This Row],[Pac 12]],KenPomTable[],2)</f>
        <v>45</v>
      </c>
      <c r="O63" s="6"/>
    </row>
    <row r="64" spans="2:15" ht="16" thickBot="1">
      <c r="B64" s="6" t="s">
        <v>386</v>
      </c>
      <c r="C64" s="6" t="s">
        <v>206</v>
      </c>
      <c r="D64" s="5">
        <v>44879</v>
      </c>
      <c r="G64" s="10" t="s">
        <v>125</v>
      </c>
      <c r="H64" s="13">
        <v>201</v>
      </c>
      <c r="K64" s="6" t="s">
        <v>74</v>
      </c>
      <c r="L64" s="6" t="str">
        <f>LOOKUP(Pac12Table[[#This Row],[Pac 12]],KenPomTable[Team])</f>
        <v>USC</v>
      </c>
      <c r="M64" s="6">
        <f>VLOOKUP(Pac12Table[[#This Row],[Pac 12]],KenPomTable[],2)</f>
        <v>53</v>
      </c>
      <c r="O64" s="6"/>
    </row>
    <row r="65" spans="2:15" ht="16" thickBot="1">
      <c r="B65" s="6" t="s">
        <v>198</v>
      </c>
      <c r="C65" s="6" t="s">
        <v>588</v>
      </c>
      <c r="D65" s="5">
        <v>44879</v>
      </c>
      <c r="G65" s="10" t="s">
        <v>38</v>
      </c>
      <c r="H65" s="12">
        <v>24</v>
      </c>
      <c r="K65" s="6" t="s">
        <v>77</v>
      </c>
      <c r="L65" s="6" t="str">
        <f>LOOKUP(Pac12Table[[#This Row],[Pac 12]],KenPomTable[Team])</f>
        <v>Utah</v>
      </c>
      <c r="M65" s="6">
        <f>VLOOKUP(Pac12Table[[#This Row],[Pac 12]],KenPomTable[],2)</f>
        <v>59</v>
      </c>
      <c r="O65" s="6"/>
    </row>
    <row r="66" spans="2:15" ht="16" thickBot="1">
      <c r="B66" s="6" t="s">
        <v>75</v>
      </c>
      <c r="C66" s="6" t="s">
        <v>310</v>
      </c>
      <c r="D66" s="5">
        <v>44879</v>
      </c>
      <c r="G66" s="10" t="s">
        <v>351</v>
      </c>
      <c r="H66" s="13">
        <v>278</v>
      </c>
      <c r="K66" s="6" t="s">
        <v>804</v>
      </c>
      <c r="L66" s="6" t="str">
        <f>LOOKUP(Pac12Table[[#This Row],[Pac 12]],KenPomTable[Team])</f>
        <v>Washington St.</v>
      </c>
      <c r="M66" s="6">
        <f>VLOOKUP(Pac12Table[[#This Row],[Pac 12]],KenPomTable[],2)</f>
        <v>61</v>
      </c>
      <c r="O66" s="6"/>
    </row>
    <row r="67" spans="2:15" ht="16" thickBot="1">
      <c r="B67" s="6" t="s">
        <v>71</v>
      </c>
      <c r="C67" s="6" t="s">
        <v>607</v>
      </c>
      <c r="D67" s="5">
        <v>44879</v>
      </c>
      <c r="G67" s="10" t="s">
        <v>199</v>
      </c>
      <c r="H67" s="12">
        <v>103</v>
      </c>
      <c r="K67" s="6" t="s">
        <v>93</v>
      </c>
      <c r="L67" s="6" t="str">
        <f>LOOKUP(Pac12Table[[#This Row],[Pac 12]],KenPomTable[Team])</f>
        <v>Stanford</v>
      </c>
      <c r="M67" s="6">
        <f>VLOOKUP(Pac12Table[[#This Row],[Pac 12]],KenPomTable[],2)</f>
        <v>65</v>
      </c>
      <c r="O67" s="6"/>
    </row>
    <row r="68" spans="2:15" ht="16" thickBot="1">
      <c r="B68" s="6" t="s">
        <v>393</v>
      </c>
      <c r="C68" s="6" t="s">
        <v>303</v>
      </c>
      <c r="D68" s="5">
        <v>44879</v>
      </c>
      <c r="G68" s="10" t="s">
        <v>214</v>
      </c>
      <c r="H68" s="13">
        <v>23</v>
      </c>
      <c r="K68" s="6" t="s">
        <v>72</v>
      </c>
      <c r="L68" s="6" t="str">
        <f>LOOKUP(Pac12Table[[#This Row],[Pac 12]],KenPomTable[Team])</f>
        <v>Colorado</v>
      </c>
      <c r="M68" s="6">
        <f>VLOOKUP(Pac12Table[[#This Row],[Pac 12]],KenPomTable[],2)</f>
        <v>74</v>
      </c>
      <c r="O68" s="6"/>
    </row>
    <row r="69" spans="2:15" ht="16" thickBot="1">
      <c r="B69" s="6" t="s">
        <v>428</v>
      </c>
      <c r="C69" s="6" t="s">
        <v>100</v>
      </c>
      <c r="D69" s="5">
        <v>44879</v>
      </c>
      <c r="G69" s="10" t="s">
        <v>118</v>
      </c>
      <c r="H69" s="12">
        <v>180</v>
      </c>
      <c r="K69" s="6" t="s">
        <v>719</v>
      </c>
      <c r="L69" s="6" t="str">
        <f>LOOKUP(Pac12Table[[#This Row],[Pac 12]],KenPomTable[Team])</f>
        <v>Arizona St.</v>
      </c>
      <c r="M69" s="6">
        <f>VLOOKUP(Pac12Table[[#This Row],[Pac 12]],KenPomTable[],2)</f>
        <v>79</v>
      </c>
      <c r="O69" s="6"/>
    </row>
    <row r="70" spans="2:15" ht="16" thickBot="1">
      <c r="B70" s="6" t="s">
        <v>249</v>
      </c>
      <c r="C70" s="6" t="s">
        <v>184</v>
      </c>
      <c r="D70" s="5">
        <v>44880</v>
      </c>
      <c r="G70" s="10" t="s">
        <v>734</v>
      </c>
      <c r="H70" s="13">
        <v>362</v>
      </c>
      <c r="K70" s="6" t="s">
        <v>71</v>
      </c>
      <c r="L70" s="6" t="str">
        <f>LOOKUP(Pac12Table[[#This Row],[Pac 12]],KenPomTable[Team])</f>
        <v>Washington</v>
      </c>
      <c r="M70" s="6">
        <f>VLOOKUP(Pac12Table[[#This Row],[Pac 12]],KenPomTable[],2)</f>
        <v>108</v>
      </c>
      <c r="O70" s="6"/>
    </row>
    <row r="71" spans="2:15" ht="16" thickBot="1">
      <c r="B71" s="6" t="s">
        <v>418</v>
      </c>
      <c r="C71" s="6" t="s">
        <v>608</v>
      </c>
      <c r="D71" s="5">
        <v>44880</v>
      </c>
      <c r="G71" s="10" t="s">
        <v>151</v>
      </c>
      <c r="H71" s="12">
        <v>256</v>
      </c>
      <c r="K71" s="6" t="s">
        <v>164</v>
      </c>
      <c r="L71" s="6" t="str">
        <f>LOOKUP(Pac12Table[[#This Row],[Pac 12]],KenPomTable[Team])</f>
        <v>California</v>
      </c>
      <c r="M71" s="6">
        <f>VLOOKUP(Pac12Table[[#This Row],[Pac 12]],KenPomTable[],2)</f>
        <v>169</v>
      </c>
      <c r="O71" s="6"/>
    </row>
    <row r="72" spans="2:15" ht="16" thickBot="1">
      <c r="B72" s="6" t="s">
        <v>40</v>
      </c>
      <c r="C72" s="6" t="s">
        <v>590</v>
      </c>
      <c r="D72" s="5">
        <v>44880</v>
      </c>
      <c r="G72" s="10" t="s">
        <v>155</v>
      </c>
      <c r="H72" s="14">
        <v>90</v>
      </c>
      <c r="K72" s="6" t="s">
        <v>779</v>
      </c>
      <c r="L72" s="6" t="str">
        <f>LOOKUP(Pac12Table[[#This Row],[Pac 12]],KenPomTable[Team])</f>
        <v>Oregon St.</v>
      </c>
      <c r="M72" s="6">
        <f>VLOOKUP(Pac12Table[[#This Row],[Pac 12]],KenPomTable[],2)</f>
        <v>215</v>
      </c>
      <c r="O72" s="6"/>
    </row>
    <row r="73" spans="2:15" ht="17" thickTop="1" thickBot="1">
      <c r="B73" s="6" t="s">
        <v>43</v>
      </c>
      <c r="C73" s="6" t="s">
        <v>286</v>
      </c>
      <c r="D73" s="5">
        <v>44880</v>
      </c>
      <c r="G73" s="10" t="s">
        <v>422</v>
      </c>
      <c r="H73" s="12">
        <v>242</v>
      </c>
      <c r="K73" s="6"/>
      <c r="O73" s="6"/>
    </row>
    <row r="74" spans="2:15" ht="16" thickBot="1">
      <c r="B74" s="6" t="s">
        <v>41</v>
      </c>
      <c r="C74" s="6" t="s">
        <v>68</v>
      </c>
      <c r="D74" s="5">
        <v>44880</v>
      </c>
      <c r="G74" s="10" t="s">
        <v>363</v>
      </c>
      <c r="H74" s="13">
        <v>73</v>
      </c>
      <c r="K74" s="4" t="s">
        <v>25</v>
      </c>
      <c r="L74" s="18" t="s">
        <v>813</v>
      </c>
      <c r="M74" s="21" t="s">
        <v>812</v>
      </c>
      <c r="O74" s="6"/>
    </row>
    <row r="75" spans="2:15" ht="16" thickBot="1">
      <c r="B75" s="6" t="s">
        <v>761</v>
      </c>
      <c r="C75" s="6" t="s">
        <v>80</v>
      </c>
      <c r="D75" s="5">
        <v>44880</v>
      </c>
      <c r="G75" s="10" t="s">
        <v>146</v>
      </c>
      <c r="H75" s="12">
        <v>187</v>
      </c>
      <c r="K75" s="6" t="s">
        <v>80</v>
      </c>
      <c r="L75" s="6" t="str">
        <f>LOOKUP(SECTable[[#This Row],[SEC]],KenPomTable[Team])</f>
        <v>Kentucky</v>
      </c>
      <c r="M75" s="6">
        <f>VLOOKUP(SECTable[[#This Row],[SEC]],KenPomTable[],2)</f>
        <v>1</v>
      </c>
    </row>
    <row r="76" spans="2:15" ht="16" thickBot="1">
      <c r="B76" s="6" t="s">
        <v>83</v>
      </c>
      <c r="C76" s="6" t="s">
        <v>191</v>
      </c>
      <c r="D76" s="5">
        <v>44880</v>
      </c>
      <c r="G76" s="10" t="s">
        <v>44</v>
      </c>
      <c r="H76" s="13">
        <v>10</v>
      </c>
      <c r="K76" s="6" t="s">
        <v>86</v>
      </c>
      <c r="L76" s="6" t="str">
        <f>LOOKUP(SECTable[[#This Row],[SEC]],KenPomTable[Team])</f>
        <v>Tennessee</v>
      </c>
      <c r="M76" s="6">
        <f>VLOOKUP(SECTable[[#This Row],[SEC]],KenPomTable[],2)</f>
        <v>4</v>
      </c>
    </row>
    <row r="77" spans="2:15" ht="16" thickBot="1">
      <c r="B77" s="6" t="s">
        <v>282</v>
      </c>
      <c r="C77" s="6" t="s">
        <v>434</v>
      </c>
      <c r="D77" s="5">
        <v>44880</v>
      </c>
      <c r="G77" s="10" t="s">
        <v>284</v>
      </c>
      <c r="H77" s="12">
        <v>127</v>
      </c>
      <c r="K77" s="6" t="s">
        <v>84</v>
      </c>
      <c r="L77" s="6" t="str">
        <f>LOOKUP(SECTable[[#This Row],[SEC]],KenPomTable[Team])</f>
        <v>Arkansas</v>
      </c>
      <c r="M77" s="6">
        <f>VLOOKUP(SECTable[[#This Row],[SEC]],KenPomTable[],2)</f>
        <v>14</v>
      </c>
    </row>
    <row r="78" spans="2:15" ht="16" thickBot="1">
      <c r="B78" s="6" t="s">
        <v>399</v>
      </c>
      <c r="C78" s="6" t="s">
        <v>804</v>
      </c>
      <c r="D78" s="5">
        <v>44880</v>
      </c>
      <c r="G78" s="10" t="s">
        <v>275</v>
      </c>
      <c r="H78" s="13">
        <v>245</v>
      </c>
      <c r="K78" s="6" t="s">
        <v>82</v>
      </c>
      <c r="L78" s="6" t="str">
        <f>LOOKUP(SECTable[[#This Row],[SEC]],KenPomTable[Team])</f>
        <v>Alabama</v>
      </c>
      <c r="M78" s="6">
        <f>VLOOKUP(SECTable[[#This Row],[SEC]],KenPomTable[],2)</f>
        <v>15</v>
      </c>
    </row>
    <row r="79" spans="2:15" ht="16" thickBot="1">
      <c r="B79" s="6" t="s">
        <v>105</v>
      </c>
      <c r="C79" s="6" t="s">
        <v>238</v>
      </c>
      <c r="D79" s="5">
        <v>44880</v>
      </c>
      <c r="G79" s="10" t="s">
        <v>735</v>
      </c>
      <c r="H79" s="12">
        <v>211</v>
      </c>
      <c r="K79" s="6" t="s">
        <v>83</v>
      </c>
      <c r="L79" s="6" t="str">
        <f>LOOKUP(SECTable[[#This Row],[SEC]],KenPomTable[Team])</f>
        <v>Auburn</v>
      </c>
      <c r="M79" s="6">
        <f>VLOOKUP(SECTable[[#This Row],[SEC]],KenPomTable[],2)</f>
        <v>16</v>
      </c>
    </row>
    <row r="80" spans="2:15" ht="16" thickBot="1">
      <c r="B80" s="6" t="s">
        <v>266</v>
      </c>
      <c r="C80" s="6" t="s">
        <v>288</v>
      </c>
      <c r="D80" s="5">
        <v>44880</v>
      </c>
      <c r="G80" s="10" t="s">
        <v>329</v>
      </c>
      <c r="H80" s="13">
        <v>354</v>
      </c>
      <c r="K80" s="6" t="s">
        <v>79</v>
      </c>
      <c r="L80" s="6" t="str">
        <f>LOOKUP(SECTable[[#This Row],[SEC]],KenPomTable[Team])</f>
        <v>Florida</v>
      </c>
      <c r="M80" s="6">
        <f>VLOOKUP(SECTable[[#This Row],[SEC]],KenPomTable[],2)</f>
        <v>31</v>
      </c>
    </row>
    <row r="81" spans="2:13" ht="16" thickBot="1">
      <c r="B81" s="6" t="s">
        <v>244</v>
      </c>
      <c r="C81" s="6" t="s">
        <v>113</v>
      </c>
      <c r="D81" s="5">
        <v>44880</v>
      </c>
      <c r="G81" s="10" t="s">
        <v>255</v>
      </c>
      <c r="H81" s="12">
        <v>261</v>
      </c>
      <c r="K81" s="6" t="s">
        <v>91</v>
      </c>
      <c r="L81" s="6" t="str">
        <f>LOOKUP(SECTable[[#This Row],[SEC]],KenPomTable[Team])</f>
        <v>Texas A&amp;M</v>
      </c>
      <c r="M81" s="6">
        <f>VLOOKUP(SECTable[[#This Row],[SEC]],KenPomTable[],2)</f>
        <v>33</v>
      </c>
    </row>
    <row r="82" spans="2:13" ht="16" thickBot="1">
      <c r="B82" s="6" t="s">
        <v>110</v>
      </c>
      <c r="C82" s="6" t="s">
        <v>496</v>
      </c>
      <c r="D82" s="5">
        <v>44880</v>
      </c>
      <c r="G82" s="10" t="s">
        <v>247</v>
      </c>
      <c r="H82" s="14">
        <v>295</v>
      </c>
      <c r="K82" s="6" t="s">
        <v>763</v>
      </c>
      <c r="L82" s="6" t="str">
        <f>LOOKUP(SECTable[[#This Row],[SEC]],KenPomTable[Team])</f>
        <v>Mississippi St.</v>
      </c>
      <c r="M82" s="6">
        <f>VLOOKUP(SECTable[[#This Row],[SEC]],KenPomTable[],2)</f>
        <v>40</v>
      </c>
    </row>
    <row r="83" spans="2:13" ht="17" thickTop="1" thickBot="1">
      <c r="B83" s="6" t="s">
        <v>259</v>
      </c>
      <c r="C83" s="6" t="s">
        <v>171</v>
      </c>
      <c r="D83" s="5">
        <v>44880</v>
      </c>
      <c r="G83" s="10" t="s">
        <v>393</v>
      </c>
      <c r="H83" s="12">
        <v>214</v>
      </c>
      <c r="K83" s="6" t="s">
        <v>762</v>
      </c>
      <c r="L83" s="6" t="str">
        <f>LOOKUP(SECTable[[#This Row],[SEC]],KenPomTable[Team])</f>
        <v>Mississippi</v>
      </c>
      <c r="M83" s="6">
        <f>VLOOKUP(SECTable[[#This Row],[SEC]],KenPomTable[],2)</f>
        <v>46</v>
      </c>
    </row>
    <row r="84" spans="2:13" ht="16" thickBot="1">
      <c r="B84" s="6" t="s">
        <v>96</v>
      </c>
      <c r="C84" s="6" t="s">
        <v>409</v>
      </c>
      <c r="D84" s="5">
        <v>44880</v>
      </c>
      <c r="G84" s="10" t="s">
        <v>129</v>
      </c>
      <c r="H84" s="13">
        <v>315</v>
      </c>
      <c r="K84" s="6" t="s">
        <v>81</v>
      </c>
      <c r="L84" s="6" t="str">
        <f>LOOKUP(SECTable[[#This Row],[SEC]],KenPomTable[Team])</f>
        <v>LSU</v>
      </c>
      <c r="M84" s="6">
        <f>VLOOKUP(SECTable[[#This Row],[SEC]],KenPomTable[],2)</f>
        <v>47</v>
      </c>
    </row>
    <row r="85" spans="2:13" ht="16" thickBot="1">
      <c r="B85" s="6" t="s">
        <v>233</v>
      </c>
      <c r="C85" s="6" t="s">
        <v>609</v>
      </c>
      <c r="D85" s="5">
        <v>44880</v>
      </c>
      <c r="G85" s="10" t="s">
        <v>213</v>
      </c>
      <c r="H85" s="12">
        <v>325</v>
      </c>
      <c r="K85" s="6" t="s">
        <v>87</v>
      </c>
      <c r="L85" s="6" t="str">
        <f>LOOKUP(SECTable[[#This Row],[SEC]],KenPomTable[Team])</f>
        <v>Missouri</v>
      </c>
      <c r="M85" s="6">
        <f>VLOOKUP(SECTable[[#This Row],[SEC]],KenPomTable[],2)</f>
        <v>56</v>
      </c>
    </row>
    <row r="86" spans="2:13" ht="16" thickBot="1">
      <c r="B86" s="6" t="s">
        <v>250</v>
      </c>
      <c r="C86" s="6" t="s">
        <v>417</v>
      </c>
      <c r="D86" s="5">
        <v>44880</v>
      </c>
      <c r="G86" s="10" t="s">
        <v>112</v>
      </c>
      <c r="H86" s="13">
        <v>219</v>
      </c>
      <c r="K86" s="6" t="s">
        <v>90</v>
      </c>
      <c r="L86" s="6" t="str">
        <f>LOOKUP(SECTable[[#This Row],[SEC]],KenPomTable[Team])</f>
        <v>South Carolina</v>
      </c>
      <c r="M86" s="6">
        <f>VLOOKUP(SECTable[[#This Row],[SEC]],KenPomTable[],2)</f>
        <v>83</v>
      </c>
    </row>
    <row r="87" spans="2:13" ht="16" thickBot="1">
      <c r="B87" s="6" t="s">
        <v>124</v>
      </c>
      <c r="C87" s="6" t="s">
        <v>99</v>
      </c>
      <c r="D87" s="5">
        <v>44880</v>
      </c>
      <c r="G87" s="10" t="s">
        <v>410</v>
      </c>
      <c r="H87" s="12">
        <v>348</v>
      </c>
      <c r="K87" s="6" t="s">
        <v>185</v>
      </c>
      <c r="L87" s="6" t="str">
        <f>LOOKUP(SECTable[[#This Row],[SEC]],KenPomTable[Team])</f>
        <v>Vanderbilt</v>
      </c>
      <c r="M87" s="6">
        <f>VLOOKUP(SECTable[[#This Row],[SEC]],KenPomTable[],2)</f>
        <v>89</v>
      </c>
    </row>
    <row r="88" spans="2:13" ht="16" thickBot="1">
      <c r="B88" s="6" t="s">
        <v>349</v>
      </c>
      <c r="C88" s="6" t="s">
        <v>253</v>
      </c>
      <c r="D88" s="5">
        <v>44880</v>
      </c>
      <c r="G88" s="10" t="s">
        <v>736</v>
      </c>
      <c r="H88" s="13">
        <v>225</v>
      </c>
      <c r="K88" s="6" t="s">
        <v>89</v>
      </c>
      <c r="L88" s="6" t="str">
        <f>LOOKUP(SECTable[[#This Row],[SEC]],KenPomTable[Team])</f>
        <v>Georgia</v>
      </c>
      <c r="M88" s="6">
        <f>VLOOKUP(SECTable[[#This Row],[SEC]],KenPomTable[],2)</f>
        <v>95</v>
      </c>
    </row>
    <row r="89" spans="2:13" ht="16" thickBot="1">
      <c r="B89" s="6" t="s">
        <v>146</v>
      </c>
      <c r="C89" s="6" t="s">
        <v>419</v>
      </c>
      <c r="D89" s="5">
        <v>44880</v>
      </c>
      <c r="G89" s="10" t="s">
        <v>79</v>
      </c>
      <c r="H89" s="12">
        <v>31</v>
      </c>
    </row>
    <row r="90" spans="2:13" ht="16" thickBot="1">
      <c r="B90" s="6" t="s">
        <v>216</v>
      </c>
      <c r="C90" s="6" t="s">
        <v>351</v>
      </c>
      <c r="D90" s="5">
        <v>44880</v>
      </c>
      <c r="G90" s="10" t="s">
        <v>170</v>
      </c>
      <c r="H90" s="13">
        <v>359</v>
      </c>
    </row>
    <row r="91" spans="2:13" ht="16" thickBot="1">
      <c r="B91" s="6" t="s">
        <v>242</v>
      </c>
      <c r="C91" s="6" t="s">
        <v>143</v>
      </c>
      <c r="D91" s="5">
        <v>44880</v>
      </c>
      <c r="G91" s="10" t="s">
        <v>421</v>
      </c>
      <c r="H91" s="12">
        <v>86</v>
      </c>
    </row>
    <row r="92" spans="2:13" ht="16" thickBot="1">
      <c r="B92" s="6" t="s">
        <v>210</v>
      </c>
      <c r="C92" s="6" t="s">
        <v>610</v>
      </c>
      <c r="D92" s="5">
        <v>44880</v>
      </c>
      <c r="G92" s="10" t="s">
        <v>292</v>
      </c>
      <c r="H92" s="14">
        <v>207</v>
      </c>
    </row>
    <row r="93" spans="2:13" ht="17" thickTop="1" thickBot="1">
      <c r="B93" s="6" t="s">
        <v>302</v>
      </c>
      <c r="C93" s="6" t="s">
        <v>246</v>
      </c>
      <c r="D93" s="5">
        <v>44880</v>
      </c>
      <c r="G93" s="10" t="s">
        <v>737</v>
      </c>
      <c r="H93" s="12">
        <v>92</v>
      </c>
    </row>
    <row r="94" spans="2:13" ht="16" thickBot="1">
      <c r="B94" s="6" t="s">
        <v>732</v>
      </c>
      <c r="C94" s="6" t="s">
        <v>203</v>
      </c>
      <c r="D94" s="5">
        <v>44880</v>
      </c>
      <c r="G94" s="10" t="s">
        <v>349</v>
      </c>
      <c r="H94" s="13">
        <v>217</v>
      </c>
    </row>
    <row r="95" spans="2:13" ht="16" thickBot="1">
      <c r="B95" s="6" t="s">
        <v>56</v>
      </c>
      <c r="C95" s="6" t="s">
        <v>126</v>
      </c>
      <c r="D95" s="5">
        <v>44880</v>
      </c>
      <c r="G95" s="10" t="s">
        <v>738</v>
      </c>
      <c r="H95" s="12">
        <v>113</v>
      </c>
    </row>
    <row r="96" spans="2:13" ht="16" thickBot="1">
      <c r="B96" s="6" t="s">
        <v>32</v>
      </c>
      <c r="C96" s="6" t="s">
        <v>305</v>
      </c>
      <c r="D96" s="5">
        <v>44880</v>
      </c>
      <c r="G96" s="10" t="s">
        <v>111</v>
      </c>
      <c r="H96" s="13">
        <v>63</v>
      </c>
    </row>
    <row r="97" spans="2:8" ht="16" thickBot="1">
      <c r="B97" s="6" t="s">
        <v>145</v>
      </c>
      <c r="C97" s="6" t="s">
        <v>185</v>
      </c>
      <c r="D97" s="5">
        <v>44880</v>
      </c>
      <c r="G97" s="10" t="s">
        <v>739</v>
      </c>
      <c r="H97" s="12">
        <v>199</v>
      </c>
    </row>
    <row r="98" spans="2:8" ht="16" thickBot="1">
      <c r="B98" s="6" t="s">
        <v>53</v>
      </c>
      <c r="C98" s="6" t="s">
        <v>383</v>
      </c>
      <c r="D98" s="5">
        <v>44880</v>
      </c>
      <c r="G98" s="10" t="s">
        <v>281</v>
      </c>
      <c r="H98" s="13">
        <v>98</v>
      </c>
    </row>
    <row r="99" spans="2:8" ht="16" thickBot="1">
      <c r="B99" s="6" t="s">
        <v>47</v>
      </c>
      <c r="C99" s="6" t="s">
        <v>176</v>
      </c>
      <c r="D99" s="5">
        <v>44880</v>
      </c>
      <c r="G99" s="10" t="s">
        <v>337</v>
      </c>
      <c r="H99" s="12">
        <v>210</v>
      </c>
    </row>
    <row r="100" spans="2:8" ht="16" thickBot="1">
      <c r="B100" s="6" t="s">
        <v>48</v>
      </c>
      <c r="C100" s="6" t="s">
        <v>170</v>
      </c>
      <c r="D100" s="5">
        <v>44880</v>
      </c>
      <c r="G100" s="10" t="s">
        <v>41</v>
      </c>
      <c r="H100" s="13">
        <v>100</v>
      </c>
    </row>
    <row r="101" spans="2:8" ht="16" thickBot="1">
      <c r="B101" s="6" t="s">
        <v>51</v>
      </c>
      <c r="C101" s="6" t="s">
        <v>273</v>
      </c>
      <c r="D101" s="5">
        <v>44880</v>
      </c>
      <c r="G101" s="10" t="s">
        <v>89</v>
      </c>
      <c r="H101" s="12">
        <v>95</v>
      </c>
    </row>
    <row r="102" spans="2:8" ht="16" thickBot="1">
      <c r="B102" s="6" t="s">
        <v>290</v>
      </c>
      <c r="C102" s="6" t="s">
        <v>156</v>
      </c>
      <c r="D102" s="5">
        <v>44880</v>
      </c>
      <c r="G102" s="10" t="s">
        <v>289</v>
      </c>
      <c r="H102" s="14">
        <v>244</v>
      </c>
    </row>
    <row r="103" spans="2:8" ht="17" thickTop="1" thickBot="1">
      <c r="B103" s="6" t="s">
        <v>295</v>
      </c>
      <c r="C103" s="6" t="s">
        <v>340</v>
      </c>
      <c r="D103" s="5">
        <v>44880</v>
      </c>
      <c r="G103" s="10" t="s">
        <v>740</v>
      </c>
      <c r="H103" s="12">
        <v>229</v>
      </c>
    </row>
    <row r="104" spans="2:8" ht="16" thickBot="1">
      <c r="B104" s="6" t="s">
        <v>762</v>
      </c>
      <c r="C104" s="6" t="s">
        <v>104</v>
      </c>
      <c r="D104" s="5">
        <v>44880</v>
      </c>
      <c r="G104" s="10" t="s">
        <v>50</v>
      </c>
      <c r="H104" s="13">
        <v>115</v>
      </c>
    </row>
    <row r="105" spans="2:8" ht="16" thickBot="1">
      <c r="B105" s="6" t="s">
        <v>251</v>
      </c>
      <c r="C105" s="6" t="s">
        <v>425</v>
      </c>
      <c r="D105" s="5">
        <v>44880</v>
      </c>
      <c r="G105" s="10" t="s">
        <v>132</v>
      </c>
      <c r="H105" s="12">
        <v>3</v>
      </c>
    </row>
    <row r="106" spans="2:8" ht="16" thickBot="1">
      <c r="B106" s="6" t="s">
        <v>345</v>
      </c>
      <c r="C106" s="6" t="s">
        <v>478</v>
      </c>
      <c r="D106" s="5">
        <v>44880</v>
      </c>
      <c r="G106" s="10" t="s">
        <v>741</v>
      </c>
      <c r="H106" s="13">
        <v>296</v>
      </c>
    </row>
    <row r="107" spans="2:8" ht="16" thickBot="1">
      <c r="B107" s="6" t="s">
        <v>313</v>
      </c>
      <c r="C107" s="6" t="s">
        <v>611</v>
      </c>
      <c r="D107" s="5">
        <v>44880</v>
      </c>
      <c r="G107" s="10" t="s">
        <v>381</v>
      </c>
      <c r="H107" s="12">
        <v>93</v>
      </c>
    </row>
    <row r="108" spans="2:8" ht="16" thickBot="1">
      <c r="B108" s="6" t="s">
        <v>403</v>
      </c>
      <c r="C108" s="6" t="s">
        <v>460</v>
      </c>
      <c r="D108" s="5">
        <v>44880</v>
      </c>
      <c r="G108" s="10" t="s">
        <v>324</v>
      </c>
      <c r="H108" s="13">
        <v>356</v>
      </c>
    </row>
    <row r="109" spans="2:8" ht="16" thickBot="1">
      <c r="B109" s="6" t="s">
        <v>323</v>
      </c>
      <c r="C109" s="6" t="s">
        <v>540</v>
      </c>
      <c r="D109" s="5">
        <v>44880</v>
      </c>
      <c r="G109" s="10" t="s">
        <v>179</v>
      </c>
      <c r="H109" s="12">
        <v>343</v>
      </c>
    </row>
    <row r="110" spans="2:8" ht="16" thickBot="1">
      <c r="B110" s="6" t="s">
        <v>196</v>
      </c>
      <c r="C110" s="6" t="s">
        <v>427</v>
      </c>
      <c r="D110" s="5">
        <v>44880</v>
      </c>
      <c r="G110" s="10" t="s">
        <v>122</v>
      </c>
      <c r="H110" s="13">
        <v>344</v>
      </c>
    </row>
    <row r="111" spans="2:8" ht="16" thickBot="1">
      <c r="B111" s="6" t="s">
        <v>119</v>
      </c>
      <c r="C111" s="6" t="s">
        <v>247</v>
      </c>
      <c r="D111" s="5">
        <v>44880</v>
      </c>
      <c r="G111" s="10" t="s">
        <v>108</v>
      </c>
      <c r="H111" s="12">
        <v>227</v>
      </c>
    </row>
    <row r="112" spans="2:8" ht="16" thickBot="1">
      <c r="B112" s="6" t="s">
        <v>385</v>
      </c>
      <c r="C112" s="6" t="s">
        <v>252</v>
      </c>
      <c r="D112" s="5">
        <v>44880</v>
      </c>
      <c r="G112" s="10" t="s">
        <v>742</v>
      </c>
      <c r="H112" s="14">
        <v>154</v>
      </c>
    </row>
    <row r="113" spans="2:8" ht="17" thickTop="1" thickBot="1">
      <c r="B113" s="6" t="s">
        <v>341</v>
      </c>
      <c r="C113" s="6" t="s">
        <v>189</v>
      </c>
      <c r="D113" s="5">
        <v>44880</v>
      </c>
      <c r="G113" s="10" t="s">
        <v>110</v>
      </c>
      <c r="H113" s="12">
        <v>213</v>
      </c>
    </row>
    <row r="114" spans="2:8" ht="16" thickBot="1">
      <c r="B114" s="6" t="s">
        <v>29</v>
      </c>
      <c r="C114" s="6" t="s">
        <v>327</v>
      </c>
      <c r="D114" s="5">
        <v>44880</v>
      </c>
      <c r="G114" s="10" t="s">
        <v>178</v>
      </c>
      <c r="H114" s="13">
        <v>129</v>
      </c>
    </row>
    <row r="115" spans="2:8" ht="16" thickBot="1">
      <c r="B115" s="6" t="s">
        <v>87</v>
      </c>
      <c r="C115" s="6" t="s">
        <v>370</v>
      </c>
      <c r="D115" s="5">
        <v>44880</v>
      </c>
      <c r="G115" s="10" t="s">
        <v>131</v>
      </c>
      <c r="H115" s="12">
        <v>326</v>
      </c>
    </row>
    <row r="116" spans="2:8" ht="16" thickBot="1">
      <c r="B116" s="6" t="s">
        <v>58</v>
      </c>
      <c r="C116" s="6" t="s">
        <v>37</v>
      </c>
      <c r="D116" s="5">
        <v>44880</v>
      </c>
      <c r="G116" s="10" t="s">
        <v>212</v>
      </c>
      <c r="H116" s="13">
        <v>5</v>
      </c>
    </row>
    <row r="117" spans="2:8" ht="16" thickBot="1">
      <c r="B117" s="6" t="s">
        <v>93</v>
      </c>
      <c r="C117" s="6" t="s">
        <v>392</v>
      </c>
      <c r="D117" s="5">
        <v>44880</v>
      </c>
      <c r="G117" s="10" t="s">
        <v>584</v>
      </c>
      <c r="H117" s="12">
        <v>321</v>
      </c>
    </row>
    <row r="118" spans="2:8" ht="16" thickBot="1">
      <c r="B118" s="6" t="s">
        <v>69</v>
      </c>
      <c r="C118" s="6" t="s">
        <v>391</v>
      </c>
      <c r="D118" s="5">
        <v>44880</v>
      </c>
      <c r="G118" s="10" t="s">
        <v>96</v>
      </c>
      <c r="H118" s="13">
        <v>250</v>
      </c>
    </row>
    <row r="119" spans="2:8" ht="16" thickBot="1">
      <c r="B119" s="6" t="s">
        <v>376</v>
      </c>
      <c r="C119" s="6" t="s">
        <v>558</v>
      </c>
      <c r="D119" s="5">
        <v>44880</v>
      </c>
      <c r="G119" s="10" t="s">
        <v>158</v>
      </c>
      <c r="H119" s="12">
        <v>351</v>
      </c>
    </row>
    <row r="120" spans="2:8" ht="16" thickBot="1">
      <c r="B120" s="6" t="s">
        <v>39</v>
      </c>
      <c r="C120" s="6" t="s">
        <v>112</v>
      </c>
      <c r="D120" s="5">
        <v>44880</v>
      </c>
      <c r="G120" s="10" t="s">
        <v>743</v>
      </c>
      <c r="H120" s="13">
        <v>333</v>
      </c>
    </row>
    <row r="121" spans="2:8" ht="16" thickBot="1">
      <c r="B121" s="6" t="s">
        <v>133</v>
      </c>
      <c r="C121" s="6" t="s">
        <v>144</v>
      </c>
      <c r="D121" s="5">
        <v>44880</v>
      </c>
      <c r="G121" s="10" t="s">
        <v>60</v>
      </c>
      <c r="H121" s="12">
        <v>28</v>
      </c>
    </row>
    <row r="122" spans="2:8" ht="16" thickBot="1">
      <c r="B122" s="6" t="s">
        <v>65</v>
      </c>
      <c r="C122" s="6" t="s">
        <v>324</v>
      </c>
      <c r="D122" s="5">
        <v>44880</v>
      </c>
      <c r="G122" s="10" t="s">
        <v>744</v>
      </c>
      <c r="H122" s="14">
        <v>269</v>
      </c>
    </row>
    <row r="123" spans="2:8" ht="17" thickTop="1" thickBot="1">
      <c r="B123" s="6" t="s">
        <v>770</v>
      </c>
      <c r="C123" s="6" t="s">
        <v>274</v>
      </c>
      <c r="D123" s="5">
        <v>44880</v>
      </c>
      <c r="G123" s="10" t="s">
        <v>745</v>
      </c>
      <c r="H123" s="12">
        <v>234</v>
      </c>
    </row>
    <row r="124" spans="2:8" ht="16" thickBot="1">
      <c r="B124" s="6" t="s">
        <v>26</v>
      </c>
      <c r="C124" s="6" t="s">
        <v>44</v>
      </c>
      <c r="D124" s="5">
        <v>44880</v>
      </c>
      <c r="G124" s="10" t="s">
        <v>295</v>
      </c>
      <c r="H124" s="13">
        <v>358</v>
      </c>
    </row>
    <row r="125" spans="2:8" ht="16" thickBot="1">
      <c r="B125" s="6" t="s">
        <v>306</v>
      </c>
      <c r="C125" s="6" t="s">
        <v>82</v>
      </c>
      <c r="D125" s="5">
        <v>44880</v>
      </c>
      <c r="G125" s="10" t="s">
        <v>62</v>
      </c>
      <c r="H125" s="12">
        <v>8</v>
      </c>
    </row>
    <row r="126" spans="2:8" ht="16" thickBot="1">
      <c r="B126" s="6" t="s">
        <v>165</v>
      </c>
      <c r="C126" s="6" t="s">
        <v>612</v>
      </c>
      <c r="D126" s="5">
        <v>44880</v>
      </c>
      <c r="G126" s="10" t="s">
        <v>746</v>
      </c>
      <c r="H126" s="13">
        <v>134</v>
      </c>
    </row>
    <row r="127" spans="2:8" ht="16" thickBot="1">
      <c r="B127" s="6" t="s">
        <v>433</v>
      </c>
      <c r="C127" s="6" t="s">
        <v>314</v>
      </c>
      <c r="D127" s="5">
        <v>44880</v>
      </c>
      <c r="G127" s="10" t="s">
        <v>285</v>
      </c>
      <c r="H127" s="12">
        <v>102</v>
      </c>
    </row>
    <row r="128" spans="2:8" ht="16" thickBot="1">
      <c r="B128" s="6" t="s">
        <v>159</v>
      </c>
      <c r="C128" s="6" t="s">
        <v>599</v>
      </c>
      <c r="D128" s="5">
        <v>44880</v>
      </c>
      <c r="G128" s="10" t="s">
        <v>61</v>
      </c>
      <c r="H128" s="13">
        <v>19</v>
      </c>
    </row>
    <row r="129" spans="2:8" ht="16" thickBot="1">
      <c r="B129" s="6" t="s">
        <v>167</v>
      </c>
      <c r="C129" s="6" t="s">
        <v>396</v>
      </c>
      <c r="D129" s="5">
        <v>44880</v>
      </c>
      <c r="G129" s="10" t="s">
        <v>747</v>
      </c>
      <c r="H129" s="12">
        <v>60</v>
      </c>
    </row>
    <row r="130" spans="2:8" ht="16" thickBot="1">
      <c r="B130" s="6" t="s">
        <v>169</v>
      </c>
      <c r="C130" s="6" t="s">
        <v>390</v>
      </c>
      <c r="D130" s="5">
        <v>44880</v>
      </c>
      <c r="G130" s="10" t="s">
        <v>172</v>
      </c>
      <c r="H130" s="13">
        <v>363</v>
      </c>
    </row>
    <row r="131" spans="2:8" ht="16" thickBot="1">
      <c r="B131" s="6" t="s">
        <v>236</v>
      </c>
      <c r="C131" s="6" t="s">
        <v>164</v>
      </c>
      <c r="D131" s="5">
        <v>44880</v>
      </c>
      <c r="G131" s="10" t="s">
        <v>748</v>
      </c>
      <c r="H131" s="12">
        <v>312</v>
      </c>
    </row>
    <row r="132" spans="2:8" ht="16" thickBot="1">
      <c r="B132" s="6" t="s">
        <v>163</v>
      </c>
      <c r="C132" s="6" t="s">
        <v>214</v>
      </c>
      <c r="D132" s="5">
        <v>44880</v>
      </c>
      <c r="G132" s="10" t="s">
        <v>120</v>
      </c>
      <c r="H132" s="14">
        <v>181</v>
      </c>
    </row>
    <row r="133" spans="2:8" ht="17" thickTop="1" thickBot="1">
      <c r="B133" s="6" t="s">
        <v>779</v>
      </c>
      <c r="C133" s="6" t="s">
        <v>613</v>
      </c>
      <c r="D133" s="5">
        <v>44880</v>
      </c>
      <c r="G133" s="10" t="s">
        <v>749</v>
      </c>
      <c r="H133" s="12">
        <v>220</v>
      </c>
    </row>
    <row r="134" spans="2:8" ht="16" thickBot="1">
      <c r="B134" s="6" t="s">
        <v>74</v>
      </c>
      <c r="C134" s="6" t="s">
        <v>205</v>
      </c>
      <c r="D134" s="5">
        <v>44880</v>
      </c>
      <c r="G134" s="10" t="s">
        <v>409</v>
      </c>
      <c r="H134" s="13">
        <v>116</v>
      </c>
    </row>
    <row r="135" spans="2:8" ht="16" thickBot="1">
      <c r="B135" s="6" t="s">
        <v>180</v>
      </c>
      <c r="C135" s="6" t="s">
        <v>332</v>
      </c>
      <c r="D135" s="5">
        <v>44881</v>
      </c>
      <c r="G135" s="10" t="s">
        <v>26</v>
      </c>
      <c r="H135" s="12">
        <v>9</v>
      </c>
    </row>
    <row r="136" spans="2:8" ht="16" thickBot="1">
      <c r="B136" s="6" t="s">
        <v>277</v>
      </c>
      <c r="C136" s="6" t="s">
        <v>258</v>
      </c>
      <c r="D136" s="5">
        <v>44881</v>
      </c>
      <c r="G136" s="10" t="s">
        <v>331</v>
      </c>
      <c r="H136" s="12">
        <v>294</v>
      </c>
    </row>
    <row r="137" spans="2:8" ht="16" thickBot="1">
      <c r="B137" s="6" t="s">
        <v>269</v>
      </c>
      <c r="C137" s="6" t="s">
        <v>336</v>
      </c>
      <c r="D137" s="5">
        <v>44881</v>
      </c>
      <c r="G137" s="10" t="s">
        <v>750</v>
      </c>
      <c r="H137" s="13">
        <v>68</v>
      </c>
    </row>
    <row r="138" spans="2:8" ht="16" thickBot="1">
      <c r="B138" s="6" t="s">
        <v>49</v>
      </c>
      <c r="C138" s="6" t="s">
        <v>59</v>
      </c>
      <c r="D138" s="5">
        <v>44881</v>
      </c>
      <c r="G138" s="10" t="s">
        <v>751</v>
      </c>
      <c r="H138" s="12">
        <v>198</v>
      </c>
    </row>
    <row r="139" spans="2:8" ht="16" thickBot="1">
      <c r="B139" s="6" t="s">
        <v>86</v>
      </c>
      <c r="C139" s="6" t="s">
        <v>292</v>
      </c>
      <c r="D139" s="5">
        <v>44881</v>
      </c>
      <c r="G139" s="10" t="s">
        <v>752</v>
      </c>
      <c r="H139" s="13">
        <v>101</v>
      </c>
    </row>
    <row r="140" spans="2:8" ht="16" thickBot="1">
      <c r="B140" s="6" t="s">
        <v>412</v>
      </c>
      <c r="C140" s="6" t="s">
        <v>614</v>
      </c>
      <c r="D140" s="5">
        <v>44881</v>
      </c>
      <c r="G140" s="10" t="s">
        <v>80</v>
      </c>
      <c r="H140" s="12">
        <v>1</v>
      </c>
    </row>
    <row r="141" spans="2:8" ht="16" thickBot="1">
      <c r="B141" s="6" t="s">
        <v>140</v>
      </c>
      <c r="C141" s="6" t="s">
        <v>101</v>
      </c>
      <c r="D141" s="5">
        <v>44881</v>
      </c>
      <c r="G141" s="10" t="s">
        <v>210</v>
      </c>
      <c r="H141" s="13">
        <v>186</v>
      </c>
    </row>
    <row r="142" spans="2:8" ht="16" thickBot="1">
      <c r="B142" s="6" t="s">
        <v>114</v>
      </c>
      <c r="C142" s="6" t="s">
        <v>361</v>
      </c>
      <c r="D142" s="5">
        <v>44881</v>
      </c>
      <c r="G142" s="10" t="s">
        <v>137</v>
      </c>
      <c r="H142" s="15">
        <v>317</v>
      </c>
    </row>
    <row r="143" spans="2:8" ht="17" thickTop="1" thickBot="1">
      <c r="B143" s="6" t="s">
        <v>232</v>
      </c>
      <c r="C143" s="6" t="s">
        <v>283</v>
      </c>
      <c r="D143" s="5">
        <v>44881</v>
      </c>
      <c r="G143" s="10" t="s">
        <v>94</v>
      </c>
      <c r="H143" s="13">
        <v>357</v>
      </c>
    </row>
    <row r="144" spans="2:8" ht="16" thickBot="1">
      <c r="B144" s="6" t="s">
        <v>422</v>
      </c>
      <c r="C144" s="6" t="s">
        <v>127</v>
      </c>
      <c r="D144" s="5">
        <v>44881</v>
      </c>
      <c r="G144" s="10" t="s">
        <v>114</v>
      </c>
      <c r="H144" s="12">
        <v>286</v>
      </c>
    </row>
    <row r="145" spans="2:8" ht="16" thickBot="1">
      <c r="B145" s="6" t="s">
        <v>202</v>
      </c>
      <c r="C145" s="6" t="s">
        <v>560</v>
      </c>
      <c r="D145" s="5">
        <v>44881</v>
      </c>
      <c r="G145" s="10" t="s">
        <v>201</v>
      </c>
      <c r="H145" s="13">
        <v>88</v>
      </c>
    </row>
    <row r="146" spans="2:8" ht="16" thickBot="1">
      <c r="B146" s="6" t="s">
        <v>130</v>
      </c>
      <c r="C146" s="6" t="s">
        <v>148</v>
      </c>
      <c r="D146" s="5">
        <v>44881</v>
      </c>
      <c r="G146" s="10" t="s">
        <v>603</v>
      </c>
      <c r="H146" s="12">
        <v>350</v>
      </c>
    </row>
    <row r="147" spans="2:8" ht="16" thickBot="1">
      <c r="B147" s="6" t="s">
        <v>360</v>
      </c>
      <c r="C147" s="6" t="s">
        <v>413</v>
      </c>
      <c r="D147" s="5">
        <v>44881</v>
      </c>
      <c r="G147" s="10" t="s">
        <v>128</v>
      </c>
      <c r="H147" s="13">
        <v>188</v>
      </c>
    </row>
    <row r="148" spans="2:8" ht="16" thickBot="1">
      <c r="B148" s="6" t="s">
        <v>138</v>
      </c>
      <c r="C148" s="6" t="s">
        <v>264</v>
      </c>
      <c r="D148" s="5">
        <v>44881</v>
      </c>
      <c r="G148" s="10" t="s">
        <v>240</v>
      </c>
      <c r="H148" s="12">
        <v>322</v>
      </c>
    </row>
    <row r="149" spans="2:8" ht="16" thickBot="1">
      <c r="B149" s="6" t="s">
        <v>256</v>
      </c>
      <c r="C149" s="6" t="s">
        <v>187</v>
      </c>
      <c r="D149" s="5">
        <v>44881</v>
      </c>
      <c r="G149" s="10" t="s">
        <v>753</v>
      </c>
      <c r="H149" s="13">
        <v>340</v>
      </c>
    </row>
    <row r="150" spans="2:8" ht="16" thickBot="1">
      <c r="B150" s="6" t="s">
        <v>275</v>
      </c>
      <c r="C150" s="6" t="s">
        <v>179</v>
      </c>
      <c r="D150" s="5">
        <v>44881</v>
      </c>
      <c r="G150" s="10" t="s">
        <v>754</v>
      </c>
      <c r="H150" s="12">
        <v>139</v>
      </c>
    </row>
    <row r="151" spans="2:8" ht="16" thickBot="1">
      <c r="B151" s="6" t="s">
        <v>211</v>
      </c>
      <c r="C151" s="6" t="s">
        <v>397</v>
      </c>
      <c r="D151" s="5">
        <v>44881</v>
      </c>
      <c r="G151" s="10" t="s">
        <v>395</v>
      </c>
      <c r="H151" s="13">
        <v>171</v>
      </c>
    </row>
    <row r="152" spans="2:8" ht="16" thickBot="1">
      <c r="B152" s="6" t="s">
        <v>221</v>
      </c>
      <c r="C152" s="6" t="s">
        <v>270</v>
      </c>
      <c r="D152" s="5">
        <v>44881</v>
      </c>
      <c r="G152" s="10" t="s">
        <v>365</v>
      </c>
      <c r="H152" s="15">
        <v>136</v>
      </c>
    </row>
    <row r="153" spans="2:8" ht="17" thickTop="1" thickBot="1">
      <c r="B153" s="6" t="s">
        <v>272</v>
      </c>
      <c r="C153" s="6" t="s">
        <v>108</v>
      </c>
      <c r="D153" s="5">
        <v>44881</v>
      </c>
      <c r="G153" s="10" t="s">
        <v>755</v>
      </c>
      <c r="H153" s="13">
        <v>262</v>
      </c>
    </row>
    <row r="154" spans="2:8" ht="16" thickBot="1">
      <c r="B154" s="6" t="s">
        <v>777</v>
      </c>
      <c r="C154" s="6" t="s">
        <v>329</v>
      </c>
      <c r="D154" s="5">
        <v>44881</v>
      </c>
      <c r="G154" s="10" t="s">
        <v>373</v>
      </c>
      <c r="H154" s="12">
        <v>140</v>
      </c>
    </row>
    <row r="155" spans="2:8" ht="16" thickBot="1">
      <c r="B155" s="6" t="s">
        <v>195</v>
      </c>
      <c r="C155" s="6" t="s">
        <v>192</v>
      </c>
      <c r="D155" s="5">
        <v>44881</v>
      </c>
      <c r="G155" s="10" t="s">
        <v>43</v>
      </c>
      <c r="H155" s="13">
        <v>104</v>
      </c>
    </row>
    <row r="156" spans="2:8" ht="16" thickBot="1">
      <c r="B156" s="6" t="s">
        <v>36</v>
      </c>
      <c r="C156" s="6" t="s">
        <v>61</v>
      </c>
      <c r="D156" s="5">
        <v>44881</v>
      </c>
      <c r="G156" s="10" t="s">
        <v>350</v>
      </c>
      <c r="H156" s="12">
        <v>71</v>
      </c>
    </row>
    <row r="157" spans="2:8" ht="16" thickBot="1">
      <c r="B157" s="6" t="s">
        <v>212</v>
      </c>
      <c r="C157" s="6" t="s">
        <v>249</v>
      </c>
      <c r="D157" s="5">
        <v>44881</v>
      </c>
      <c r="G157" s="10" t="s">
        <v>396</v>
      </c>
      <c r="H157" s="13">
        <v>151</v>
      </c>
    </row>
    <row r="158" spans="2:8" ht="16" thickBot="1">
      <c r="B158" s="6" t="s">
        <v>84</v>
      </c>
      <c r="C158" s="6" t="s">
        <v>385</v>
      </c>
      <c r="D158" s="5">
        <v>44881</v>
      </c>
      <c r="G158" s="10" t="s">
        <v>756</v>
      </c>
      <c r="H158" s="12">
        <v>233</v>
      </c>
    </row>
    <row r="159" spans="2:8" ht="16" thickBot="1">
      <c r="B159" s="6" t="s">
        <v>347</v>
      </c>
      <c r="C159" s="6" t="s">
        <v>139</v>
      </c>
      <c r="D159" s="5">
        <v>44881</v>
      </c>
      <c r="G159" s="10" t="s">
        <v>81</v>
      </c>
      <c r="H159" s="13">
        <v>47</v>
      </c>
    </row>
    <row r="160" spans="2:8" ht="16" thickBot="1">
      <c r="B160" s="6" t="s">
        <v>213</v>
      </c>
      <c r="C160" s="6" t="s">
        <v>321</v>
      </c>
      <c r="D160" s="5">
        <v>44881</v>
      </c>
      <c r="G160" s="10" t="s">
        <v>174</v>
      </c>
      <c r="H160" s="12">
        <v>352</v>
      </c>
    </row>
    <row r="161" spans="2:8" ht="16" thickBot="1">
      <c r="B161" s="6" t="s">
        <v>46</v>
      </c>
      <c r="C161" s="6" t="s">
        <v>615</v>
      </c>
      <c r="D161" s="5">
        <v>44881</v>
      </c>
      <c r="G161" s="10" t="s">
        <v>230</v>
      </c>
      <c r="H161" s="13">
        <v>288</v>
      </c>
    </row>
    <row r="162" spans="2:8" ht="16" thickBot="1">
      <c r="B162" s="6" t="s">
        <v>357</v>
      </c>
      <c r="C162" s="6" t="s">
        <v>109</v>
      </c>
      <c r="D162" s="5">
        <v>44881</v>
      </c>
      <c r="G162" s="10" t="s">
        <v>361</v>
      </c>
      <c r="H162" s="15">
        <v>300</v>
      </c>
    </row>
    <row r="163" spans="2:8" ht="17" thickTop="1" thickBot="1">
      <c r="B163" s="6" t="s">
        <v>398</v>
      </c>
      <c r="C163" s="6" t="s">
        <v>181</v>
      </c>
      <c r="D163" s="5">
        <v>44881</v>
      </c>
      <c r="G163" s="10" t="s">
        <v>37</v>
      </c>
      <c r="H163" s="13">
        <v>75</v>
      </c>
    </row>
    <row r="164" spans="2:8" ht="16" thickBot="1">
      <c r="B164" s="6" t="s">
        <v>719</v>
      </c>
      <c r="C164" s="6" t="s">
        <v>121</v>
      </c>
      <c r="D164" s="5">
        <v>44881</v>
      </c>
      <c r="G164" s="10" t="s">
        <v>193</v>
      </c>
      <c r="H164" s="12">
        <v>146</v>
      </c>
    </row>
    <row r="165" spans="2:8" ht="16" thickBot="1">
      <c r="B165" s="6" t="s">
        <v>157</v>
      </c>
      <c r="C165" s="6" t="s">
        <v>320</v>
      </c>
      <c r="D165" s="5">
        <v>44881</v>
      </c>
      <c r="G165" s="10" t="s">
        <v>56</v>
      </c>
      <c r="H165" s="13">
        <v>49</v>
      </c>
    </row>
    <row r="166" spans="2:8" ht="16" thickBot="1">
      <c r="B166" s="6" t="s">
        <v>158</v>
      </c>
      <c r="C166" s="6" t="s">
        <v>586</v>
      </c>
      <c r="D166" s="5">
        <v>44881</v>
      </c>
      <c r="G166" s="10" t="s">
        <v>757</v>
      </c>
      <c r="H166" s="12">
        <v>313</v>
      </c>
    </row>
    <row r="167" spans="2:8" ht="16" thickBot="1">
      <c r="B167" s="6" t="s">
        <v>30</v>
      </c>
      <c r="C167" s="6" t="s">
        <v>132</v>
      </c>
      <c r="D167" s="5">
        <v>44881</v>
      </c>
      <c r="G167" s="10" t="s">
        <v>758</v>
      </c>
      <c r="H167" s="13">
        <v>158</v>
      </c>
    </row>
    <row r="168" spans="2:8" ht="16" thickBot="1">
      <c r="B168" s="6" t="s">
        <v>394</v>
      </c>
      <c r="C168" s="6" t="s">
        <v>404</v>
      </c>
      <c r="D168" s="5">
        <v>44881</v>
      </c>
      <c r="G168" s="10" t="s">
        <v>759</v>
      </c>
      <c r="H168" s="12">
        <v>338</v>
      </c>
    </row>
    <row r="169" spans="2:8" ht="16" thickBot="1">
      <c r="B169" s="6" t="s">
        <v>402</v>
      </c>
      <c r="C169" s="6" t="s">
        <v>443</v>
      </c>
      <c r="D169" s="5">
        <v>44881</v>
      </c>
      <c r="G169" s="10" t="s">
        <v>144</v>
      </c>
      <c r="H169" s="13">
        <v>29</v>
      </c>
    </row>
    <row r="170" spans="2:8" ht="16" thickBot="1">
      <c r="B170" s="6" t="s">
        <v>781</v>
      </c>
      <c r="C170" s="6" t="s">
        <v>111</v>
      </c>
      <c r="D170" s="5">
        <v>44882</v>
      </c>
      <c r="G170" s="10" t="s">
        <v>171</v>
      </c>
      <c r="H170" s="12">
        <v>162</v>
      </c>
    </row>
    <row r="171" spans="2:8" ht="16" thickBot="1">
      <c r="B171" s="6" t="s">
        <v>300</v>
      </c>
      <c r="C171" s="6" t="s">
        <v>72</v>
      </c>
      <c r="D171" s="5">
        <v>44882</v>
      </c>
      <c r="G171" s="10" t="s">
        <v>175</v>
      </c>
      <c r="H171" s="13">
        <v>293</v>
      </c>
    </row>
    <row r="172" spans="2:8" ht="16" thickBot="1">
      <c r="B172" s="6" t="s">
        <v>52</v>
      </c>
      <c r="C172" s="6" t="s">
        <v>136</v>
      </c>
      <c r="D172" s="5">
        <v>44882</v>
      </c>
      <c r="G172" s="10" t="s">
        <v>48</v>
      </c>
      <c r="H172" s="15">
        <v>43</v>
      </c>
    </row>
    <row r="173" spans="2:8" ht="17" thickTop="1" thickBot="1">
      <c r="B173" s="6" t="s">
        <v>91</v>
      </c>
      <c r="C173" s="6" t="s">
        <v>312</v>
      </c>
      <c r="D173" s="5">
        <v>44882</v>
      </c>
      <c r="G173" s="10" t="s">
        <v>760</v>
      </c>
      <c r="H173" s="13">
        <v>279</v>
      </c>
    </row>
    <row r="174" spans="2:8" ht="16" thickBot="1">
      <c r="B174" s="6" t="s">
        <v>194</v>
      </c>
      <c r="C174" s="6" t="s">
        <v>175</v>
      </c>
      <c r="D174" s="5">
        <v>44882</v>
      </c>
      <c r="G174" s="10" t="s">
        <v>59</v>
      </c>
      <c r="H174" s="12">
        <v>30</v>
      </c>
    </row>
    <row r="175" spans="2:8" ht="16" thickBot="1">
      <c r="B175" s="6" t="s">
        <v>90</v>
      </c>
      <c r="C175" s="6" t="s">
        <v>386</v>
      </c>
      <c r="D175" s="5">
        <v>44882</v>
      </c>
      <c r="G175" s="10" t="s">
        <v>761</v>
      </c>
      <c r="H175" s="13">
        <v>27</v>
      </c>
    </row>
    <row r="176" spans="2:8" ht="16" thickBot="1">
      <c r="B176" s="6" t="s">
        <v>42</v>
      </c>
      <c r="C176" s="6" t="s">
        <v>338</v>
      </c>
      <c r="D176" s="5">
        <v>44882</v>
      </c>
      <c r="G176" s="10" t="s">
        <v>242</v>
      </c>
      <c r="H176" s="12">
        <v>122</v>
      </c>
    </row>
    <row r="177" spans="2:8" ht="16" thickBot="1">
      <c r="B177" s="6" t="s">
        <v>750</v>
      </c>
      <c r="C177" s="6" t="s">
        <v>331</v>
      </c>
      <c r="D177" s="5">
        <v>44882</v>
      </c>
      <c r="G177" s="10" t="s">
        <v>358</v>
      </c>
      <c r="H177" s="13">
        <v>328</v>
      </c>
    </row>
    <row r="178" spans="2:8" ht="16" thickBot="1">
      <c r="B178" s="6" t="s">
        <v>302</v>
      </c>
      <c r="C178" s="6" t="s">
        <v>67</v>
      </c>
      <c r="D178" s="5">
        <v>44882</v>
      </c>
      <c r="G178" s="10" t="s">
        <v>63</v>
      </c>
      <c r="H178" s="12">
        <v>118</v>
      </c>
    </row>
    <row r="179" spans="2:8" ht="16" thickBot="1">
      <c r="B179" s="6" t="s">
        <v>80</v>
      </c>
      <c r="C179" s="6" t="s">
        <v>276</v>
      </c>
      <c r="D179" s="5">
        <v>44882</v>
      </c>
      <c r="G179" s="10" t="s">
        <v>762</v>
      </c>
      <c r="H179" s="13">
        <v>46</v>
      </c>
    </row>
    <row r="180" spans="2:8" ht="16" thickBot="1">
      <c r="B180" s="6" t="s">
        <v>266</v>
      </c>
      <c r="C180" s="6" t="s">
        <v>485</v>
      </c>
      <c r="D180" s="5">
        <v>44882</v>
      </c>
      <c r="G180" s="10" t="s">
        <v>763</v>
      </c>
      <c r="H180" s="12">
        <v>40</v>
      </c>
    </row>
    <row r="181" spans="2:8" ht="16" thickBot="1">
      <c r="B181" s="6" t="s">
        <v>200</v>
      </c>
      <c r="C181" s="6" t="s">
        <v>352</v>
      </c>
      <c r="D181" s="5">
        <v>44882</v>
      </c>
      <c r="G181" s="10" t="s">
        <v>764</v>
      </c>
      <c r="H181" s="13">
        <v>361</v>
      </c>
    </row>
    <row r="182" spans="2:8" ht="16" thickBot="1">
      <c r="B182" s="6" t="s">
        <v>278</v>
      </c>
      <c r="C182" s="6" t="s">
        <v>122</v>
      </c>
      <c r="D182" s="5">
        <v>44882</v>
      </c>
      <c r="G182" s="10" t="s">
        <v>87</v>
      </c>
      <c r="H182" s="15">
        <v>56</v>
      </c>
    </row>
    <row r="183" spans="2:8" ht="17" thickTop="1" thickBot="1">
      <c r="B183" s="6" t="s">
        <v>209</v>
      </c>
      <c r="C183" s="6" t="s">
        <v>193</v>
      </c>
      <c r="D183" s="5">
        <v>44882</v>
      </c>
      <c r="G183" s="10" t="s">
        <v>765</v>
      </c>
      <c r="H183" s="13">
        <v>137</v>
      </c>
    </row>
    <row r="184" spans="2:8" ht="16" thickBot="1">
      <c r="B184" s="6" t="s">
        <v>580</v>
      </c>
      <c r="C184" s="6" t="s">
        <v>431</v>
      </c>
      <c r="D184" s="5">
        <v>44882</v>
      </c>
      <c r="G184" s="10" t="s">
        <v>115</v>
      </c>
      <c r="H184" s="12">
        <v>271</v>
      </c>
    </row>
    <row r="185" spans="2:8" ht="16" thickBot="1">
      <c r="B185" s="6" t="s">
        <v>421</v>
      </c>
      <c r="C185" s="6" t="s">
        <v>106</v>
      </c>
      <c r="D185" s="5">
        <v>44882</v>
      </c>
      <c r="G185" s="10" t="s">
        <v>190</v>
      </c>
      <c r="H185" s="13">
        <v>216</v>
      </c>
    </row>
    <row r="186" spans="2:8" ht="16" thickBot="1">
      <c r="B186" s="6" t="s">
        <v>267</v>
      </c>
      <c r="C186" s="6" t="s">
        <v>123</v>
      </c>
      <c r="D186" s="5">
        <v>44882</v>
      </c>
      <c r="G186" s="10" t="s">
        <v>766</v>
      </c>
      <c r="H186" s="12">
        <v>163</v>
      </c>
    </row>
    <row r="187" spans="2:8" ht="16" thickBot="1">
      <c r="B187" s="6" t="s">
        <v>129</v>
      </c>
      <c r="C187" s="6" t="s">
        <v>196</v>
      </c>
      <c r="D187" s="5">
        <v>44882</v>
      </c>
      <c r="G187" s="10" t="s">
        <v>767</v>
      </c>
      <c r="H187" s="13">
        <v>230</v>
      </c>
    </row>
    <row r="188" spans="2:8" ht="16" thickBot="1">
      <c r="B188" s="6" t="s">
        <v>325</v>
      </c>
      <c r="C188" s="6" t="s">
        <v>359</v>
      </c>
      <c r="D188" s="5">
        <v>44882</v>
      </c>
      <c r="G188" s="10" t="s">
        <v>768</v>
      </c>
      <c r="H188" s="12">
        <v>298</v>
      </c>
    </row>
    <row r="189" spans="2:8" ht="16" thickBot="1">
      <c r="B189" s="6" t="s">
        <v>107</v>
      </c>
      <c r="C189" s="6" t="s">
        <v>99</v>
      </c>
      <c r="D189" s="5">
        <v>44882</v>
      </c>
      <c r="G189" s="10" t="s">
        <v>233</v>
      </c>
      <c r="H189" s="13">
        <v>251</v>
      </c>
    </row>
    <row r="190" spans="2:8" ht="16" thickBot="1">
      <c r="B190" s="6" t="s">
        <v>231</v>
      </c>
      <c r="C190" s="6" t="s">
        <v>147</v>
      </c>
      <c r="D190" s="5">
        <v>44882</v>
      </c>
      <c r="G190" s="10" t="s">
        <v>769</v>
      </c>
      <c r="H190" s="12">
        <v>135</v>
      </c>
    </row>
    <row r="191" spans="2:8" ht="16" thickBot="1">
      <c r="B191" s="6" t="s">
        <v>334</v>
      </c>
      <c r="C191" s="6" t="s">
        <v>215</v>
      </c>
      <c r="D191" s="5">
        <v>44882</v>
      </c>
      <c r="G191" s="10" t="s">
        <v>770</v>
      </c>
      <c r="H191" s="13">
        <v>72</v>
      </c>
    </row>
    <row r="192" spans="2:8" ht="16" thickBot="1">
      <c r="B192" s="6" t="s">
        <v>182</v>
      </c>
      <c r="C192" s="6" t="s">
        <v>162</v>
      </c>
      <c r="D192" s="5">
        <v>44882</v>
      </c>
      <c r="G192" s="10" t="s">
        <v>220</v>
      </c>
      <c r="H192" s="15">
        <v>192</v>
      </c>
    </row>
    <row r="193" spans="2:8" ht="17" thickTop="1" thickBot="1">
      <c r="B193" s="6" t="s">
        <v>432</v>
      </c>
      <c r="C193" s="6" t="s">
        <v>199</v>
      </c>
      <c r="D193" s="5">
        <v>44882</v>
      </c>
      <c r="G193" s="10" t="s">
        <v>67</v>
      </c>
      <c r="H193" s="13">
        <v>114</v>
      </c>
    </row>
    <row r="194" spans="2:8" ht="16" thickBot="1">
      <c r="B194" s="6" t="s">
        <v>451</v>
      </c>
      <c r="C194" s="6" t="s">
        <v>451</v>
      </c>
      <c r="D194" s="5">
        <v>44882</v>
      </c>
      <c r="G194" s="10" t="s">
        <v>771</v>
      </c>
      <c r="H194" s="12">
        <v>323</v>
      </c>
    </row>
    <row r="195" spans="2:8" ht="16" thickBot="1">
      <c r="B195" s="6" t="s">
        <v>436</v>
      </c>
      <c r="C195" s="6" t="s">
        <v>240</v>
      </c>
      <c r="D195" s="5">
        <v>44882</v>
      </c>
      <c r="G195" s="10" t="s">
        <v>169</v>
      </c>
      <c r="H195" s="13">
        <v>131</v>
      </c>
    </row>
    <row r="196" spans="2:8" ht="16" thickBot="1">
      <c r="B196" s="6" t="s">
        <v>115</v>
      </c>
      <c r="C196" s="6" t="s">
        <v>310</v>
      </c>
      <c r="D196" s="5">
        <v>44882</v>
      </c>
      <c r="G196" s="10" t="s">
        <v>253</v>
      </c>
      <c r="H196" s="12">
        <v>307</v>
      </c>
    </row>
    <row r="197" spans="2:8" ht="16" thickBot="1">
      <c r="B197" s="6" t="s">
        <v>34</v>
      </c>
      <c r="C197" s="6" t="s">
        <v>333</v>
      </c>
      <c r="D197" s="5">
        <v>44882</v>
      </c>
      <c r="G197" s="10" t="s">
        <v>189</v>
      </c>
      <c r="H197" s="13">
        <v>141</v>
      </c>
    </row>
    <row r="198" spans="2:8" ht="16" thickBot="1">
      <c r="B198" s="6" t="s">
        <v>308</v>
      </c>
      <c r="C198" s="6" t="s">
        <v>102</v>
      </c>
      <c r="D198" s="5">
        <v>44882</v>
      </c>
      <c r="G198" s="10" t="s">
        <v>772</v>
      </c>
      <c r="H198" s="12">
        <v>142</v>
      </c>
    </row>
    <row r="199" spans="2:8" ht="16" thickBot="1">
      <c r="B199" s="6" t="s">
        <v>365</v>
      </c>
      <c r="C199" s="6" t="s">
        <v>373</v>
      </c>
      <c r="D199" s="5">
        <v>44882</v>
      </c>
      <c r="G199" s="10" t="s">
        <v>134</v>
      </c>
      <c r="H199" s="13">
        <v>329</v>
      </c>
    </row>
    <row r="200" spans="2:8" ht="16" thickBot="1">
      <c r="B200" s="6" t="s">
        <v>241</v>
      </c>
      <c r="C200" s="6" t="s">
        <v>309</v>
      </c>
      <c r="D200" s="5">
        <v>44882</v>
      </c>
      <c r="G200" s="10" t="s">
        <v>204</v>
      </c>
      <c r="H200" s="12">
        <v>236</v>
      </c>
    </row>
    <row r="201" spans="2:8" ht="16" thickBot="1">
      <c r="B201" s="6" t="s">
        <v>326</v>
      </c>
      <c r="C201" s="6" t="s">
        <v>343</v>
      </c>
      <c r="D201" s="5">
        <v>44882</v>
      </c>
      <c r="G201" s="10" t="s">
        <v>773</v>
      </c>
      <c r="H201" s="13">
        <v>247</v>
      </c>
    </row>
    <row r="202" spans="2:8" ht="16" thickBot="1">
      <c r="B202" s="6" t="s">
        <v>640</v>
      </c>
      <c r="C202" s="6" t="s">
        <v>344</v>
      </c>
      <c r="D202" s="5">
        <v>44882</v>
      </c>
      <c r="G202" s="10" t="s">
        <v>177</v>
      </c>
      <c r="H202" s="15">
        <v>341</v>
      </c>
    </row>
    <row r="203" spans="2:8" ht="17" thickTop="1" thickBot="1">
      <c r="B203" s="6" t="s">
        <v>368</v>
      </c>
      <c r="C203" s="6" t="s">
        <v>150</v>
      </c>
      <c r="D203" s="5">
        <v>44882</v>
      </c>
      <c r="G203" s="10" t="s">
        <v>774</v>
      </c>
      <c r="H203" s="13">
        <v>161</v>
      </c>
    </row>
    <row r="204" spans="2:8" ht="16" thickBot="1">
      <c r="B204" s="6" t="s">
        <v>81</v>
      </c>
      <c r="C204" s="6" t="s">
        <v>134</v>
      </c>
      <c r="D204" s="5">
        <v>44882</v>
      </c>
      <c r="G204" s="10" t="s">
        <v>173</v>
      </c>
      <c r="H204" s="12">
        <v>310</v>
      </c>
    </row>
    <row r="205" spans="2:8" ht="16" thickBot="1">
      <c r="B205" s="6" t="s">
        <v>50</v>
      </c>
      <c r="C205" s="6" t="s">
        <v>400</v>
      </c>
      <c r="D205" s="5">
        <v>44882</v>
      </c>
      <c r="G205" s="10" t="s">
        <v>251</v>
      </c>
      <c r="H205" s="13">
        <v>12</v>
      </c>
    </row>
    <row r="206" spans="2:8" ht="16" thickBot="1">
      <c r="B206" s="6" t="s">
        <v>38</v>
      </c>
      <c r="C206" s="6" t="s">
        <v>154</v>
      </c>
      <c r="D206" s="5">
        <v>44882</v>
      </c>
      <c r="G206" s="10" t="s">
        <v>268</v>
      </c>
      <c r="H206" s="12">
        <v>280</v>
      </c>
    </row>
    <row r="207" spans="2:8" ht="16" thickBot="1">
      <c r="B207" s="6" t="s">
        <v>304</v>
      </c>
      <c r="C207" s="6" t="s">
        <v>116</v>
      </c>
      <c r="D207" s="5">
        <v>44882</v>
      </c>
      <c r="G207" s="10" t="s">
        <v>277</v>
      </c>
      <c r="H207" s="13">
        <v>239</v>
      </c>
    </row>
    <row r="208" spans="2:8" ht="16" thickBot="1">
      <c r="B208" s="6" t="s">
        <v>37</v>
      </c>
      <c r="C208" s="6" t="s">
        <v>405</v>
      </c>
      <c r="D208" s="5">
        <v>44882</v>
      </c>
      <c r="G208" s="10" t="s">
        <v>196</v>
      </c>
      <c r="H208" s="12">
        <v>330</v>
      </c>
    </row>
    <row r="209" spans="2:8" ht="16" thickBot="1">
      <c r="B209" s="6" t="s">
        <v>70</v>
      </c>
      <c r="C209" s="6" t="s">
        <v>607</v>
      </c>
      <c r="D209" s="5">
        <v>44882</v>
      </c>
      <c r="G209" s="10" t="s">
        <v>775</v>
      </c>
      <c r="H209" s="13">
        <v>206</v>
      </c>
    </row>
    <row r="210" spans="2:8" ht="16" thickBot="1">
      <c r="B210" s="6" t="s">
        <v>198</v>
      </c>
      <c r="C210" s="6" t="s">
        <v>161</v>
      </c>
      <c r="D210" s="5">
        <v>44882</v>
      </c>
      <c r="G210" s="10" t="s">
        <v>354</v>
      </c>
      <c r="H210" s="12">
        <v>223</v>
      </c>
    </row>
    <row r="211" spans="2:8" ht="16" thickBot="1">
      <c r="B211" s="6" t="s">
        <v>77</v>
      </c>
      <c r="C211" s="6" t="s">
        <v>415</v>
      </c>
      <c r="D211" s="5">
        <v>44882</v>
      </c>
      <c r="G211" s="10" t="s">
        <v>135</v>
      </c>
      <c r="H211" s="13">
        <v>67</v>
      </c>
    </row>
    <row r="212" spans="2:8" ht="16" thickBot="1">
      <c r="B212" s="6" t="s">
        <v>63</v>
      </c>
      <c r="C212" s="6" t="s">
        <v>362</v>
      </c>
      <c r="D212" s="5">
        <v>44882</v>
      </c>
      <c r="G212" s="10" t="s">
        <v>272</v>
      </c>
      <c r="H212" s="15">
        <v>246</v>
      </c>
    </row>
    <row r="213" spans="2:8" ht="17" thickTop="1" thickBot="1">
      <c r="B213" s="6" t="s">
        <v>763</v>
      </c>
      <c r="C213" s="6" t="s">
        <v>208</v>
      </c>
      <c r="D213" s="5">
        <v>44882</v>
      </c>
      <c r="G213" s="10" t="s">
        <v>403</v>
      </c>
      <c r="H213" s="13">
        <v>263</v>
      </c>
    </row>
    <row r="214" spans="2:8" ht="16" thickBot="1">
      <c r="B214" s="6" t="s">
        <v>190</v>
      </c>
      <c r="C214" s="6" t="s">
        <v>348</v>
      </c>
      <c r="D214" s="5">
        <v>44882</v>
      </c>
      <c r="G214" s="10" t="s">
        <v>426</v>
      </c>
      <c r="H214" s="12">
        <v>209</v>
      </c>
    </row>
    <row r="215" spans="2:8" ht="16" thickBot="1">
      <c r="B215" s="6" t="s">
        <v>95</v>
      </c>
      <c r="C215" s="6" t="s">
        <v>350</v>
      </c>
      <c r="D215" s="5">
        <v>44882</v>
      </c>
      <c r="G215" s="10" t="s">
        <v>400</v>
      </c>
      <c r="H215" s="13">
        <v>291</v>
      </c>
    </row>
    <row r="216" spans="2:8" ht="16" thickBot="1">
      <c r="B216" s="6" t="s">
        <v>451</v>
      </c>
      <c r="C216" s="6" t="s">
        <v>451</v>
      </c>
      <c r="D216" s="5">
        <v>44882</v>
      </c>
      <c r="G216" s="10" t="s">
        <v>318</v>
      </c>
      <c r="H216" s="12">
        <v>130</v>
      </c>
    </row>
    <row r="217" spans="2:8" ht="16" thickBot="1">
      <c r="B217" s="6" t="s">
        <v>433</v>
      </c>
      <c r="C217" s="6" t="s">
        <v>178</v>
      </c>
      <c r="D217" s="5">
        <v>44882</v>
      </c>
      <c r="G217" s="10" t="s">
        <v>256</v>
      </c>
      <c r="H217" s="13">
        <v>182</v>
      </c>
    </row>
    <row r="218" spans="2:8" ht="16" thickBot="1">
      <c r="B218" s="6" t="s">
        <v>166</v>
      </c>
      <c r="C218" s="6" t="s">
        <v>168</v>
      </c>
      <c r="D218" s="5">
        <v>44882</v>
      </c>
      <c r="G218" s="10" t="s">
        <v>68</v>
      </c>
      <c r="H218" s="12">
        <v>69</v>
      </c>
    </row>
    <row r="219" spans="2:8" ht="16" thickBot="1">
      <c r="B219" s="6" t="s">
        <v>71</v>
      </c>
      <c r="C219" s="6" t="s">
        <v>159</v>
      </c>
      <c r="D219" s="5">
        <v>44882</v>
      </c>
      <c r="G219" s="10" t="s">
        <v>776</v>
      </c>
      <c r="H219" s="13">
        <v>353</v>
      </c>
    </row>
    <row r="220" spans="2:8" ht="16" thickBot="1">
      <c r="B220" s="6" t="s">
        <v>314</v>
      </c>
      <c r="C220" s="6" t="s">
        <v>366</v>
      </c>
      <c r="D220" s="5">
        <v>44883</v>
      </c>
      <c r="G220" s="10" t="s">
        <v>46</v>
      </c>
      <c r="H220" s="12">
        <v>54</v>
      </c>
    </row>
    <row r="221" spans="2:8" ht="16" thickBot="1">
      <c r="B221" s="6" t="s">
        <v>142</v>
      </c>
      <c r="C221" s="6" t="s">
        <v>117</v>
      </c>
      <c r="D221" s="5">
        <v>44883</v>
      </c>
      <c r="G221" s="10" t="s">
        <v>101</v>
      </c>
      <c r="H221" s="13">
        <v>240</v>
      </c>
    </row>
    <row r="222" spans="2:8" ht="16" thickBot="1">
      <c r="B222" s="6" t="s">
        <v>204</v>
      </c>
      <c r="C222" s="6" t="s">
        <v>355</v>
      </c>
      <c r="D222" s="5">
        <v>44883</v>
      </c>
      <c r="G222" s="10" t="s">
        <v>127</v>
      </c>
      <c r="H222" s="15">
        <v>195</v>
      </c>
    </row>
    <row r="223" spans="2:8" ht="17" thickTop="1" thickBot="1">
      <c r="B223" s="6" t="s">
        <v>610</v>
      </c>
      <c r="C223" s="6" t="s">
        <v>324</v>
      </c>
      <c r="D223" s="5">
        <v>44883</v>
      </c>
      <c r="G223" s="10" t="s">
        <v>777</v>
      </c>
      <c r="H223" s="13">
        <v>26</v>
      </c>
    </row>
    <row r="224" spans="2:8" ht="16" thickBot="1">
      <c r="B224" s="6" t="s">
        <v>451</v>
      </c>
      <c r="C224" s="6" t="s">
        <v>451</v>
      </c>
      <c r="D224" s="5">
        <v>44883</v>
      </c>
      <c r="G224" s="10" t="s">
        <v>29</v>
      </c>
      <c r="H224" s="12">
        <v>48</v>
      </c>
    </row>
    <row r="225" spans="2:8" ht="16" thickBot="1">
      <c r="B225" s="6" t="s">
        <v>451</v>
      </c>
      <c r="C225" s="6" t="s">
        <v>451</v>
      </c>
      <c r="D225" s="5">
        <v>44883</v>
      </c>
      <c r="G225" s="10" t="s">
        <v>778</v>
      </c>
      <c r="H225" s="13">
        <v>42</v>
      </c>
    </row>
    <row r="226" spans="2:8" ht="16" thickBot="1">
      <c r="B226" s="6" t="s">
        <v>301</v>
      </c>
      <c r="C226" s="6" t="s">
        <v>137</v>
      </c>
      <c r="D226" s="5">
        <v>44883</v>
      </c>
      <c r="G226" s="10" t="s">
        <v>136</v>
      </c>
      <c r="H226" s="12">
        <v>164</v>
      </c>
    </row>
    <row r="227" spans="2:8" ht="16" thickBot="1">
      <c r="B227" s="6" t="s">
        <v>363</v>
      </c>
      <c r="C227" s="6" t="s">
        <v>203</v>
      </c>
      <c r="D227" s="5">
        <v>44883</v>
      </c>
      <c r="G227" s="10" t="s">
        <v>184</v>
      </c>
      <c r="H227" s="13">
        <v>117</v>
      </c>
    </row>
    <row r="228" spans="2:8" ht="16" thickBot="1">
      <c r="B228" s="6" t="s">
        <v>451</v>
      </c>
      <c r="C228" s="6" t="s">
        <v>451</v>
      </c>
      <c r="D228" s="5">
        <v>44883</v>
      </c>
      <c r="G228" s="10" t="s">
        <v>69</v>
      </c>
      <c r="H228" s="12">
        <v>45</v>
      </c>
    </row>
    <row r="229" spans="2:8" ht="16" thickBot="1">
      <c r="B229" s="6" t="s">
        <v>451</v>
      </c>
      <c r="C229" s="6" t="s">
        <v>451</v>
      </c>
      <c r="D229" s="5">
        <v>44883</v>
      </c>
      <c r="G229" s="10" t="s">
        <v>779</v>
      </c>
      <c r="H229" s="13">
        <v>215</v>
      </c>
    </row>
    <row r="230" spans="2:8" ht="16" thickBot="1">
      <c r="B230" s="6" t="s">
        <v>53</v>
      </c>
      <c r="C230" s="6" t="s">
        <v>210</v>
      </c>
      <c r="D230" s="5">
        <v>44883</v>
      </c>
      <c r="G230" s="10" t="s">
        <v>427</v>
      </c>
      <c r="H230" s="12">
        <v>243</v>
      </c>
    </row>
    <row r="231" spans="2:8" ht="16" thickBot="1">
      <c r="B231" s="6" t="s">
        <v>389</v>
      </c>
      <c r="C231" s="6" t="s">
        <v>511</v>
      </c>
      <c r="D231" s="5">
        <v>44883</v>
      </c>
      <c r="G231" s="10" t="s">
        <v>780</v>
      </c>
      <c r="H231" s="13">
        <v>174</v>
      </c>
    </row>
    <row r="232" spans="2:8" ht="16" thickBot="1">
      <c r="B232" s="6" t="s">
        <v>603</v>
      </c>
      <c r="C232" s="6" t="s">
        <v>94</v>
      </c>
      <c r="D232" s="5">
        <v>44883</v>
      </c>
      <c r="G232" s="10" t="s">
        <v>781</v>
      </c>
      <c r="H232" s="15">
        <v>34</v>
      </c>
    </row>
    <row r="233" spans="2:8" ht="17" thickTop="1" thickBot="1">
      <c r="B233" s="6" t="s">
        <v>216</v>
      </c>
      <c r="C233" s="6" t="s">
        <v>616</v>
      </c>
      <c r="D233" s="5">
        <v>44883</v>
      </c>
      <c r="G233" s="10" t="s">
        <v>165</v>
      </c>
      <c r="H233" s="13">
        <v>166</v>
      </c>
    </row>
    <row r="234" spans="2:8" ht="16" thickBot="1">
      <c r="B234" s="6" t="s">
        <v>183</v>
      </c>
      <c r="C234" s="6" t="s">
        <v>356</v>
      </c>
      <c r="D234" s="5">
        <v>44883</v>
      </c>
      <c r="G234" s="10" t="s">
        <v>49</v>
      </c>
      <c r="H234" s="12">
        <v>105</v>
      </c>
    </row>
    <row r="235" spans="2:8" ht="16" thickBot="1">
      <c r="B235" s="6" t="s">
        <v>152</v>
      </c>
      <c r="C235" s="6" t="s">
        <v>96</v>
      </c>
      <c r="D235" s="5">
        <v>44883</v>
      </c>
      <c r="G235" s="10" t="s">
        <v>161</v>
      </c>
      <c r="H235" s="13">
        <v>124</v>
      </c>
    </row>
    <row r="236" spans="2:8" ht="16" thickBot="1">
      <c r="B236" s="6" t="s">
        <v>396</v>
      </c>
      <c r="C236" s="6" t="s">
        <v>41</v>
      </c>
      <c r="D236" s="5">
        <v>44883</v>
      </c>
      <c r="G236" s="10" t="s">
        <v>782</v>
      </c>
      <c r="H236" s="12">
        <v>289</v>
      </c>
    </row>
    <row r="237" spans="2:8" ht="16" thickBot="1">
      <c r="B237" s="6" t="s">
        <v>342</v>
      </c>
      <c r="C237" s="6" t="s">
        <v>287</v>
      </c>
      <c r="D237" s="5">
        <v>44883</v>
      </c>
      <c r="G237" s="10" t="s">
        <v>399</v>
      </c>
      <c r="H237" s="13">
        <v>311</v>
      </c>
    </row>
    <row r="238" spans="2:8" ht="16" thickBot="1">
      <c r="B238" s="6" t="s">
        <v>451</v>
      </c>
      <c r="C238" s="6" t="s">
        <v>451</v>
      </c>
      <c r="D238" s="5">
        <v>44883</v>
      </c>
      <c r="G238" s="10" t="s">
        <v>192</v>
      </c>
      <c r="H238" s="12">
        <v>270</v>
      </c>
    </row>
    <row r="239" spans="2:8" ht="16" thickBot="1">
      <c r="B239" s="6" t="s">
        <v>395</v>
      </c>
      <c r="C239" s="6" t="s">
        <v>261</v>
      </c>
      <c r="D239" s="5">
        <v>44883</v>
      </c>
      <c r="G239" s="10" t="s">
        <v>97</v>
      </c>
      <c r="H239" s="13">
        <v>152</v>
      </c>
    </row>
    <row r="240" spans="2:8" ht="16" thickBot="1">
      <c r="B240" s="6" t="s">
        <v>64</v>
      </c>
      <c r="C240" s="6" t="s">
        <v>145</v>
      </c>
      <c r="D240" s="5">
        <v>44883</v>
      </c>
      <c r="G240" s="10" t="s">
        <v>40</v>
      </c>
      <c r="H240" s="12">
        <v>64</v>
      </c>
    </row>
    <row r="241" spans="2:8" ht="16" thickBot="1">
      <c r="B241" s="6" t="s">
        <v>186</v>
      </c>
      <c r="C241" s="6" t="s">
        <v>388</v>
      </c>
      <c r="D241" s="5">
        <v>44883</v>
      </c>
      <c r="G241" s="10" t="s">
        <v>58</v>
      </c>
      <c r="H241" s="13">
        <v>22</v>
      </c>
    </row>
    <row r="242" spans="2:8" ht="16" thickBot="1">
      <c r="B242" s="6" t="s">
        <v>39</v>
      </c>
      <c r="C242" s="6" t="s">
        <v>62</v>
      </c>
      <c r="D242" s="5">
        <v>44883</v>
      </c>
      <c r="G242" s="10" t="s">
        <v>296</v>
      </c>
      <c r="H242" s="15">
        <v>156</v>
      </c>
    </row>
    <row r="243" spans="2:8" ht="17" thickTop="1" thickBot="1">
      <c r="B243" s="6" t="s">
        <v>146</v>
      </c>
      <c r="C243" s="6" t="s">
        <v>617</v>
      </c>
      <c r="D243" s="5">
        <v>44883</v>
      </c>
      <c r="G243" s="10" t="s">
        <v>783</v>
      </c>
      <c r="H243" s="13">
        <v>224</v>
      </c>
    </row>
    <row r="244" spans="2:8" ht="16" thickBot="1">
      <c r="B244" s="6" t="s">
        <v>259</v>
      </c>
      <c r="C244" s="6" t="s">
        <v>255</v>
      </c>
      <c r="D244" s="5">
        <v>44883</v>
      </c>
      <c r="G244" s="10" t="s">
        <v>216</v>
      </c>
      <c r="H244" s="12">
        <v>194</v>
      </c>
    </row>
    <row r="245" spans="2:8" ht="16" thickBot="1">
      <c r="B245" s="6" t="s">
        <v>284</v>
      </c>
      <c r="C245" s="6" t="s">
        <v>176</v>
      </c>
      <c r="D245" s="5">
        <v>44883</v>
      </c>
      <c r="G245" s="10" t="s">
        <v>202</v>
      </c>
      <c r="H245" s="13">
        <v>268</v>
      </c>
    </row>
    <row r="246" spans="2:8" ht="16" thickBot="1">
      <c r="B246" s="6" t="s">
        <v>28</v>
      </c>
      <c r="C246" s="6" t="s">
        <v>188</v>
      </c>
      <c r="D246" s="5">
        <v>44883</v>
      </c>
      <c r="G246" s="10" t="s">
        <v>124</v>
      </c>
      <c r="H246" s="12">
        <v>155</v>
      </c>
    </row>
    <row r="247" spans="2:8" ht="16" thickBot="1">
      <c r="B247" s="6" t="s">
        <v>44</v>
      </c>
      <c r="C247" s="6" t="s">
        <v>118</v>
      </c>
      <c r="D247" s="5">
        <v>44883</v>
      </c>
      <c r="G247" s="10" t="s">
        <v>143</v>
      </c>
      <c r="H247" s="13">
        <v>232</v>
      </c>
    </row>
    <row r="248" spans="2:8" ht="16" thickBot="1">
      <c r="B248" s="6" t="s">
        <v>98</v>
      </c>
      <c r="C248" s="6" t="s">
        <v>112</v>
      </c>
      <c r="D248" s="5">
        <v>44883</v>
      </c>
      <c r="G248" s="10" t="s">
        <v>200</v>
      </c>
      <c r="H248" s="12">
        <v>81</v>
      </c>
    </row>
    <row r="249" spans="2:8" ht="16" thickBot="1">
      <c r="B249" s="6" t="s">
        <v>211</v>
      </c>
      <c r="C249" s="6" t="s">
        <v>482</v>
      </c>
      <c r="D249" s="5">
        <v>44883</v>
      </c>
      <c r="G249" s="10" t="s">
        <v>117</v>
      </c>
      <c r="H249" s="13">
        <v>172</v>
      </c>
    </row>
    <row r="250" spans="2:8" ht="16" thickBot="1">
      <c r="B250" s="6" t="s">
        <v>230</v>
      </c>
      <c r="C250" s="6" t="s">
        <v>479</v>
      </c>
      <c r="D250" s="5">
        <v>44883</v>
      </c>
      <c r="G250" s="10" t="s">
        <v>412</v>
      </c>
      <c r="H250" s="12">
        <v>304</v>
      </c>
    </row>
    <row r="251" spans="2:8" ht="16" thickBot="1">
      <c r="B251" s="6" t="s">
        <v>174</v>
      </c>
      <c r="C251" s="6" t="s">
        <v>138</v>
      </c>
      <c r="D251" s="5">
        <v>44883</v>
      </c>
      <c r="G251" s="10" t="s">
        <v>64</v>
      </c>
      <c r="H251" s="13">
        <v>39</v>
      </c>
    </row>
    <row r="252" spans="2:8" ht="16" thickBot="1">
      <c r="B252" s="6" t="s">
        <v>125</v>
      </c>
      <c r="C252" s="6" t="s">
        <v>618</v>
      </c>
      <c r="D252" s="5">
        <v>44883</v>
      </c>
      <c r="G252" s="10" t="s">
        <v>784</v>
      </c>
      <c r="H252" s="15">
        <v>281</v>
      </c>
    </row>
    <row r="253" spans="2:8" ht="17" thickTop="1" thickBot="1">
      <c r="B253" s="6" t="s">
        <v>348</v>
      </c>
      <c r="C253" s="6" t="s">
        <v>194</v>
      </c>
      <c r="D253" s="5">
        <v>44883</v>
      </c>
      <c r="G253" s="10" t="s">
        <v>336</v>
      </c>
      <c r="H253" s="13">
        <v>303</v>
      </c>
    </row>
    <row r="254" spans="2:8" ht="16" thickBot="1">
      <c r="B254" s="6" t="s">
        <v>397</v>
      </c>
      <c r="C254" s="6" t="s">
        <v>332</v>
      </c>
      <c r="D254" s="5">
        <v>44883</v>
      </c>
      <c r="G254" s="10" t="s">
        <v>334</v>
      </c>
      <c r="H254" s="12">
        <v>175</v>
      </c>
    </row>
    <row r="255" spans="2:8" ht="16" thickBot="1">
      <c r="B255" s="6" t="s">
        <v>103</v>
      </c>
      <c r="C255" s="6" t="s">
        <v>425</v>
      </c>
      <c r="D255" s="5">
        <v>44883</v>
      </c>
      <c r="G255" s="10" t="s">
        <v>133</v>
      </c>
      <c r="H255" s="13">
        <v>32</v>
      </c>
    </row>
    <row r="256" spans="2:8" ht="16" thickBot="1">
      <c r="B256" s="6" t="s">
        <v>286</v>
      </c>
      <c r="C256" s="6" t="s">
        <v>298</v>
      </c>
      <c r="D256" s="5">
        <v>44883</v>
      </c>
      <c r="G256" s="10" t="s">
        <v>398</v>
      </c>
      <c r="H256" s="12">
        <v>38</v>
      </c>
    </row>
    <row r="257" spans="2:8" ht="16" thickBot="1">
      <c r="B257" s="6" t="s">
        <v>220</v>
      </c>
      <c r="C257" s="6" t="s">
        <v>236</v>
      </c>
      <c r="D257" s="5">
        <v>44883</v>
      </c>
      <c r="G257" s="10" t="s">
        <v>244</v>
      </c>
      <c r="H257" s="13">
        <v>208</v>
      </c>
    </row>
    <row r="258" spans="2:8" ht="16" thickBot="1">
      <c r="B258" s="6" t="s">
        <v>337</v>
      </c>
      <c r="C258" s="6" t="s">
        <v>335</v>
      </c>
      <c r="D258" s="5">
        <v>44883</v>
      </c>
      <c r="G258" s="10" t="s">
        <v>785</v>
      </c>
      <c r="H258" s="12">
        <v>143</v>
      </c>
    </row>
    <row r="259" spans="2:8" ht="16" thickBot="1">
      <c r="B259" s="6" t="s">
        <v>143</v>
      </c>
      <c r="C259" s="6" t="s">
        <v>289</v>
      </c>
      <c r="D259" s="5">
        <v>44883</v>
      </c>
      <c r="G259" s="10" t="s">
        <v>102</v>
      </c>
      <c r="H259" s="13">
        <v>159</v>
      </c>
    </row>
    <row r="260" spans="2:8" ht="16" thickBot="1">
      <c r="B260" s="6" t="s">
        <v>238</v>
      </c>
      <c r="C260" s="6" t="s">
        <v>383</v>
      </c>
      <c r="D260" s="5">
        <v>44883</v>
      </c>
      <c r="G260" s="10" t="s">
        <v>166</v>
      </c>
      <c r="H260" s="12">
        <v>144</v>
      </c>
    </row>
    <row r="261" spans="2:8" ht="16" thickBot="1">
      <c r="B261" s="6" t="s">
        <v>778</v>
      </c>
      <c r="C261" s="6" t="s">
        <v>411</v>
      </c>
      <c r="D261" s="5">
        <v>44883</v>
      </c>
      <c r="G261" s="10" t="s">
        <v>786</v>
      </c>
      <c r="H261" s="13">
        <v>17</v>
      </c>
    </row>
    <row r="262" spans="2:8" ht="16" thickBot="1">
      <c r="B262" s="6" t="s">
        <v>451</v>
      </c>
      <c r="C262" s="6" t="s">
        <v>451</v>
      </c>
      <c r="D262" s="5">
        <v>44883</v>
      </c>
      <c r="G262" s="10" t="s">
        <v>404</v>
      </c>
      <c r="H262" s="15">
        <v>99</v>
      </c>
    </row>
    <row r="263" spans="2:8" ht="17" thickTop="1" thickBot="1">
      <c r="B263" s="6" t="s">
        <v>201</v>
      </c>
      <c r="C263" s="6" t="s">
        <v>316</v>
      </c>
      <c r="D263" s="5">
        <v>44883</v>
      </c>
      <c r="G263" s="10" t="s">
        <v>787</v>
      </c>
      <c r="H263" s="13">
        <v>212</v>
      </c>
    </row>
    <row r="264" spans="2:8" ht="16" thickBot="1">
      <c r="B264" s="6" t="s">
        <v>32</v>
      </c>
      <c r="C264" s="6" t="s">
        <v>419</v>
      </c>
      <c r="D264" s="5">
        <v>44883</v>
      </c>
      <c r="G264" s="10" t="s">
        <v>160</v>
      </c>
      <c r="H264" s="12">
        <v>106</v>
      </c>
    </row>
    <row r="265" spans="2:8" ht="16" thickBot="1">
      <c r="B265" s="6" t="s">
        <v>185</v>
      </c>
      <c r="C265" s="6" t="s">
        <v>305</v>
      </c>
      <c r="D265" s="5">
        <v>44883</v>
      </c>
      <c r="G265" s="10" t="s">
        <v>788</v>
      </c>
      <c r="H265" s="13">
        <v>149</v>
      </c>
    </row>
    <row r="266" spans="2:8" ht="16" thickBot="1">
      <c r="B266" s="6" t="s">
        <v>89</v>
      </c>
      <c r="C266" s="6" t="s">
        <v>113</v>
      </c>
      <c r="D266" s="5">
        <v>44883</v>
      </c>
      <c r="G266" s="10" t="s">
        <v>36</v>
      </c>
      <c r="H266" s="12">
        <v>44</v>
      </c>
    </row>
    <row r="267" spans="2:8" ht="16" thickBot="1">
      <c r="B267" s="6" t="s">
        <v>46</v>
      </c>
      <c r="C267" s="6" t="s">
        <v>128</v>
      </c>
      <c r="D267" s="5">
        <v>44883</v>
      </c>
      <c r="G267" s="10" t="s">
        <v>130</v>
      </c>
      <c r="H267" s="13">
        <v>237</v>
      </c>
    </row>
    <row r="268" spans="2:8" ht="16" thickBot="1">
      <c r="B268" s="6" t="s">
        <v>51</v>
      </c>
      <c r="C268" s="6" t="s">
        <v>248</v>
      </c>
      <c r="D268" s="5">
        <v>44883</v>
      </c>
      <c r="G268" s="10" t="s">
        <v>370</v>
      </c>
      <c r="H268" s="12">
        <v>283</v>
      </c>
    </row>
    <row r="269" spans="2:8" ht="16" thickBot="1">
      <c r="B269" s="6" t="s">
        <v>391</v>
      </c>
      <c r="C269" s="6" t="s">
        <v>619</v>
      </c>
      <c r="D269" s="5">
        <v>44883</v>
      </c>
      <c r="G269" s="10" t="s">
        <v>341</v>
      </c>
      <c r="H269" s="13">
        <v>110</v>
      </c>
    </row>
    <row r="270" spans="2:8" ht="16" thickBot="1">
      <c r="B270" s="6" t="s">
        <v>273</v>
      </c>
      <c r="C270" s="6" t="s">
        <v>294</v>
      </c>
      <c r="D270" s="5">
        <v>44883</v>
      </c>
      <c r="G270" s="10" t="s">
        <v>306</v>
      </c>
      <c r="H270" s="12">
        <v>218</v>
      </c>
    </row>
    <row r="271" spans="2:8" ht="16" thickBot="1">
      <c r="B271" s="6" t="s">
        <v>370</v>
      </c>
      <c r="C271" s="6" t="s">
        <v>410</v>
      </c>
      <c r="D271" s="5">
        <v>44883</v>
      </c>
      <c r="G271" s="10" t="s">
        <v>90</v>
      </c>
      <c r="H271" s="13">
        <v>83</v>
      </c>
    </row>
    <row r="272" spans="2:8" ht="16" thickBot="1">
      <c r="B272" s="6" t="s">
        <v>285</v>
      </c>
      <c r="C272" s="6" t="s">
        <v>205</v>
      </c>
      <c r="D272" s="5">
        <v>44883</v>
      </c>
      <c r="G272" s="10" t="s">
        <v>789</v>
      </c>
      <c r="H272" s="15">
        <v>345</v>
      </c>
    </row>
    <row r="273" spans="2:8" ht="17" thickTop="1" thickBot="1">
      <c r="B273" s="6" t="s">
        <v>451</v>
      </c>
      <c r="C273" s="6" t="s">
        <v>451</v>
      </c>
      <c r="D273" s="5">
        <v>44883</v>
      </c>
      <c r="G273" s="10" t="s">
        <v>208</v>
      </c>
      <c r="H273" s="13">
        <v>165</v>
      </c>
    </row>
    <row r="274" spans="2:8" ht="16" thickBot="1">
      <c r="B274" s="6" t="s">
        <v>762</v>
      </c>
      <c r="C274" s="6" t="s">
        <v>250</v>
      </c>
      <c r="D274" s="5">
        <v>44883</v>
      </c>
      <c r="G274" s="10" t="s">
        <v>790</v>
      </c>
      <c r="H274" s="12">
        <v>125</v>
      </c>
    </row>
    <row r="275" spans="2:8" ht="16" thickBot="1">
      <c r="B275" s="6" t="s">
        <v>26</v>
      </c>
      <c r="C275" s="6" t="s">
        <v>378</v>
      </c>
      <c r="D275" s="5">
        <v>44883</v>
      </c>
      <c r="G275" s="10" t="s">
        <v>231</v>
      </c>
      <c r="H275" s="13">
        <v>178</v>
      </c>
    </row>
    <row r="276" spans="2:8" ht="16" thickBot="1">
      <c r="B276" s="6" t="s">
        <v>83</v>
      </c>
      <c r="C276" s="6" t="s">
        <v>249</v>
      </c>
      <c r="D276" s="5">
        <v>44883</v>
      </c>
      <c r="G276" s="10" t="s">
        <v>791</v>
      </c>
      <c r="H276" s="12">
        <v>292</v>
      </c>
    </row>
    <row r="277" spans="2:8" ht="16" thickBot="1">
      <c r="B277" s="6" t="s">
        <v>761</v>
      </c>
      <c r="C277" s="6" t="s">
        <v>35</v>
      </c>
      <c r="D277" s="5">
        <v>44883</v>
      </c>
      <c r="G277" s="10" t="s">
        <v>792</v>
      </c>
      <c r="H277" s="13">
        <v>342</v>
      </c>
    </row>
    <row r="278" spans="2:8" ht="16" thickBot="1">
      <c r="B278" s="6" t="s">
        <v>615</v>
      </c>
      <c r="C278" s="6" t="s">
        <v>620</v>
      </c>
      <c r="D278" s="5">
        <v>44883</v>
      </c>
      <c r="G278" s="10" t="s">
        <v>181</v>
      </c>
      <c r="H278" s="12">
        <v>258</v>
      </c>
    </row>
    <row r="279" spans="2:8" ht="16" thickBot="1">
      <c r="B279" s="6" t="s">
        <v>303</v>
      </c>
      <c r="C279" s="6" t="s">
        <v>173</v>
      </c>
      <c r="D279" s="5">
        <v>44883</v>
      </c>
      <c r="G279" s="10" t="s">
        <v>241</v>
      </c>
      <c r="H279" s="13">
        <v>78</v>
      </c>
    </row>
    <row r="280" spans="2:8" ht="16" thickBot="1">
      <c r="B280" s="6" t="s">
        <v>584</v>
      </c>
      <c r="C280" s="6" t="s">
        <v>414</v>
      </c>
      <c r="D280" s="5">
        <v>44883</v>
      </c>
      <c r="G280" s="10" t="s">
        <v>615</v>
      </c>
      <c r="H280" s="12">
        <v>238</v>
      </c>
    </row>
    <row r="281" spans="2:8" ht="16" thickBot="1">
      <c r="B281" s="6" t="s">
        <v>403</v>
      </c>
      <c r="C281" s="6" t="s">
        <v>423</v>
      </c>
      <c r="D281" s="5">
        <v>44883</v>
      </c>
      <c r="G281" s="10" t="s">
        <v>316</v>
      </c>
      <c r="H281" s="13">
        <v>287</v>
      </c>
    </row>
    <row r="282" spans="2:8" ht="16" thickBot="1">
      <c r="B282" s="6" t="s">
        <v>323</v>
      </c>
      <c r="C282" s="6" t="s">
        <v>169</v>
      </c>
      <c r="D282" s="5">
        <v>44883</v>
      </c>
      <c r="G282" s="10" t="s">
        <v>378</v>
      </c>
      <c r="H282" s="15">
        <v>167</v>
      </c>
    </row>
    <row r="283" spans="2:8" ht="17" thickTop="1" thickBot="1">
      <c r="B283" s="6" t="s">
        <v>68</v>
      </c>
      <c r="C283" s="6" t="s">
        <v>296</v>
      </c>
      <c r="D283" s="5">
        <v>44883</v>
      </c>
      <c r="G283" s="10" t="s">
        <v>252</v>
      </c>
      <c r="H283" s="13">
        <v>120</v>
      </c>
    </row>
    <row r="284" spans="2:8" ht="16" thickBot="1">
      <c r="B284" s="6" t="s">
        <v>29</v>
      </c>
      <c r="C284" s="6" t="s">
        <v>306</v>
      </c>
      <c r="D284" s="5">
        <v>44883</v>
      </c>
      <c r="G284" s="10" t="s">
        <v>793</v>
      </c>
      <c r="H284" s="12">
        <v>346</v>
      </c>
    </row>
    <row r="285" spans="2:8" ht="16" thickBot="1">
      <c r="B285" s="6" t="s">
        <v>737</v>
      </c>
      <c r="C285" s="6" t="s">
        <v>79</v>
      </c>
      <c r="D285" s="5">
        <v>44883</v>
      </c>
      <c r="G285" s="10" t="s">
        <v>794</v>
      </c>
      <c r="H285" s="13">
        <v>319</v>
      </c>
    </row>
    <row r="286" spans="2:8" ht="16" thickBot="1">
      <c r="B286" s="6" t="s">
        <v>281</v>
      </c>
      <c r="C286" s="6" t="s">
        <v>54</v>
      </c>
      <c r="D286" s="5">
        <v>44883</v>
      </c>
      <c r="G286" s="10" t="s">
        <v>302</v>
      </c>
      <c r="H286" s="12">
        <v>35</v>
      </c>
    </row>
    <row r="287" spans="2:8" ht="16" thickBot="1">
      <c r="B287" s="6" t="s">
        <v>297</v>
      </c>
      <c r="C287" s="6" t="s">
        <v>588</v>
      </c>
      <c r="D287" s="5">
        <v>44883</v>
      </c>
      <c r="G287" s="10" t="s">
        <v>795</v>
      </c>
      <c r="H287" s="13">
        <v>257</v>
      </c>
    </row>
    <row r="288" spans="2:8" ht="16" thickBot="1">
      <c r="B288" s="6" t="s">
        <v>732</v>
      </c>
      <c r="C288" s="6" t="s">
        <v>327</v>
      </c>
      <c r="D288" s="5">
        <v>44883</v>
      </c>
      <c r="G288" s="10" t="s">
        <v>93</v>
      </c>
      <c r="H288" s="12">
        <v>65</v>
      </c>
    </row>
    <row r="289" spans="2:8" ht="16" thickBot="1">
      <c r="B289" s="6" t="s">
        <v>82</v>
      </c>
      <c r="C289" s="6" t="s">
        <v>353</v>
      </c>
      <c r="D289" s="5">
        <v>44883</v>
      </c>
      <c r="G289" s="10" t="s">
        <v>290</v>
      </c>
      <c r="H289" s="13">
        <v>147</v>
      </c>
    </row>
    <row r="290" spans="2:8" ht="16" thickBot="1">
      <c r="B290" s="6" t="s">
        <v>153</v>
      </c>
      <c r="C290" s="6" t="s">
        <v>151</v>
      </c>
      <c r="D290" s="5">
        <v>44883</v>
      </c>
      <c r="G290" s="10" t="s">
        <v>142</v>
      </c>
      <c r="H290" s="12">
        <v>274</v>
      </c>
    </row>
    <row r="291" spans="2:8" ht="16" thickBot="1">
      <c r="B291" s="6" t="s">
        <v>381</v>
      </c>
      <c r="C291" s="6" t="s">
        <v>382</v>
      </c>
      <c r="D291" s="5">
        <v>44883</v>
      </c>
      <c r="G291" s="10" t="s">
        <v>590</v>
      </c>
      <c r="H291" s="13">
        <v>349</v>
      </c>
    </row>
    <row r="292" spans="2:8" ht="16" thickBot="1">
      <c r="B292" s="6" t="s">
        <v>141</v>
      </c>
      <c r="C292" s="6" t="s">
        <v>367</v>
      </c>
      <c r="D292" s="5">
        <v>44883</v>
      </c>
      <c r="G292" s="10" t="s">
        <v>99</v>
      </c>
      <c r="H292" s="15">
        <v>299</v>
      </c>
    </row>
    <row r="293" spans="2:8" ht="17" thickTop="1" thickBot="1">
      <c r="B293" s="6" t="s">
        <v>164</v>
      </c>
      <c r="C293" s="6" t="s">
        <v>181</v>
      </c>
      <c r="D293" s="5">
        <v>44883</v>
      </c>
      <c r="G293" s="10" t="s">
        <v>47</v>
      </c>
      <c r="H293" s="13">
        <v>50</v>
      </c>
    </row>
    <row r="294" spans="2:8" ht="16" thickBot="1">
      <c r="B294" s="6" t="s">
        <v>75</v>
      </c>
      <c r="C294" s="6" t="s">
        <v>60</v>
      </c>
      <c r="D294" s="5">
        <v>44883</v>
      </c>
      <c r="G294" s="10" t="s">
        <v>796</v>
      </c>
      <c r="H294" s="12">
        <v>200</v>
      </c>
    </row>
    <row r="295" spans="2:8" ht="16" thickBot="1">
      <c r="B295" s="6" t="s">
        <v>190</v>
      </c>
      <c r="C295" s="6" t="s">
        <v>175</v>
      </c>
      <c r="D295" s="5">
        <v>44883</v>
      </c>
      <c r="G295" s="10" t="s">
        <v>34</v>
      </c>
      <c r="H295" s="13">
        <v>36</v>
      </c>
    </row>
    <row r="296" spans="2:8" ht="16" thickBot="1">
      <c r="B296" s="6" t="s">
        <v>451</v>
      </c>
      <c r="C296" s="6" t="s">
        <v>451</v>
      </c>
      <c r="D296" s="5">
        <v>44883</v>
      </c>
      <c r="G296" s="10" t="s">
        <v>145</v>
      </c>
      <c r="H296" s="12">
        <v>97</v>
      </c>
    </row>
    <row r="297" spans="2:8" ht="16" thickBot="1">
      <c r="B297" s="6" t="s">
        <v>160</v>
      </c>
      <c r="C297" s="6" t="s">
        <v>155</v>
      </c>
      <c r="D297" s="5">
        <v>44883</v>
      </c>
      <c r="G297" s="10" t="s">
        <v>86</v>
      </c>
      <c r="H297" s="13">
        <v>4</v>
      </c>
    </row>
    <row r="298" spans="2:8" ht="16" thickBot="1">
      <c r="B298" s="6" t="s">
        <v>427</v>
      </c>
      <c r="C298" s="6" t="s">
        <v>621</v>
      </c>
      <c r="D298" s="5">
        <v>44883</v>
      </c>
      <c r="G298" s="10" t="s">
        <v>797</v>
      </c>
      <c r="H298" s="12">
        <v>316</v>
      </c>
    </row>
    <row r="299" spans="2:8" ht="16" thickBot="1">
      <c r="B299" s="6" t="s">
        <v>163</v>
      </c>
      <c r="C299" s="6" t="s">
        <v>110</v>
      </c>
      <c r="D299" s="5">
        <v>44883</v>
      </c>
      <c r="G299" s="10" t="s">
        <v>798</v>
      </c>
      <c r="H299" s="13">
        <v>284</v>
      </c>
    </row>
    <row r="300" spans="2:8" ht="16" thickBot="1">
      <c r="B300" s="6" t="s">
        <v>93</v>
      </c>
      <c r="C300" s="6" t="s">
        <v>207</v>
      </c>
      <c r="D300" s="5">
        <v>44883</v>
      </c>
      <c r="G300" s="10" t="s">
        <v>304</v>
      </c>
      <c r="H300" s="12">
        <v>337</v>
      </c>
    </row>
    <row r="301" spans="2:8" ht="16" thickBot="1">
      <c r="B301" s="6" t="s">
        <v>74</v>
      </c>
      <c r="C301" s="6" t="s">
        <v>233</v>
      </c>
      <c r="D301" s="5">
        <v>44883</v>
      </c>
      <c r="G301" s="10" t="s">
        <v>30</v>
      </c>
      <c r="H301" s="13">
        <v>2</v>
      </c>
    </row>
    <row r="302" spans="2:8" ht="16" thickBot="1">
      <c r="B302" s="6" t="s">
        <v>117</v>
      </c>
      <c r="C302" s="6" t="s">
        <v>355</v>
      </c>
      <c r="D302" s="5">
        <v>44884</v>
      </c>
      <c r="G302" s="10" t="s">
        <v>91</v>
      </c>
      <c r="H302" s="15">
        <v>33</v>
      </c>
    </row>
    <row r="303" spans="2:8" ht="17" thickTop="1" thickBot="1">
      <c r="B303" s="6" t="s">
        <v>172</v>
      </c>
      <c r="C303" s="6" t="s">
        <v>622</v>
      </c>
      <c r="D303" s="5">
        <v>44884</v>
      </c>
      <c r="G303" s="10" t="s">
        <v>799</v>
      </c>
      <c r="H303" s="13">
        <v>305</v>
      </c>
    </row>
    <row r="304" spans="2:8" ht="16" thickBot="1">
      <c r="B304" s="6" t="s">
        <v>268</v>
      </c>
      <c r="C304" s="6" t="s">
        <v>425</v>
      </c>
      <c r="D304" s="5">
        <v>44884</v>
      </c>
      <c r="G304" s="10" t="s">
        <v>800</v>
      </c>
      <c r="H304" s="12">
        <v>203</v>
      </c>
    </row>
    <row r="305" spans="2:8" ht="16" thickBot="1">
      <c r="B305" s="6" t="s">
        <v>246</v>
      </c>
      <c r="C305" s="6" t="s">
        <v>137</v>
      </c>
      <c r="D305" s="5">
        <v>44884</v>
      </c>
      <c r="G305" s="10" t="s">
        <v>249</v>
      </c>
      <c r="H305" s="13">
        <v>231</v>
      </c>
    </row>
    <row r="306" spans="2:8" ht="16" thickBot="1">
      <c r="B306" s="6" t="s">
        <v>142</v>
      </c>
      <c r="C306" s="6" t="s">
        <v>204</v>
      </c>
      <c r="D306" s="5">
        <v>44884</v>
      </c>
      <c r="G306" s="10" t="s">
        <v>801</v>
      </c>
      <c r="H306" s="12">
        <v>190</v>
      </c>
    </row>
    <row r="307" spans="2:8" ht="16" thickBot="1">
      <c r="B307" s="6" t="s">
        <v>214</v>
      </c>
      <c r="C307" s="6" t="s">
        <v>412</v>
      </c>
      <c r="D307" s="5">
        <v>44884</v>
      </c>
      <c r="G307" s="10" t="s">
        <v>27</v>
      </c>
      <c r="H307" s="13">
        <v>21</v>
      </c>
    </row>
    <row r="308" spans="2:8" ht="16" thickBot="1">
      <c r="B308" s="6" t="s">
        <v>56</v>
      </c>
      <c r="C308" s="6" t="s">
        <v>133</v>
      </c>
      <c r="D308" s="5">
        <v>44884</v>
      </c>
      <c r="G308" s="10" t="s">
        <v>282</v>
      </c>
      <c r="H308" s="12">
        <v>249</v>
      </c>
    </row>
    <row r="309" spans="2:8" ht="16" thickBot="1">
      <c r="B309" s="6" t="s">
        <v>770</v>
      </c>
      <c r="C309" s="6" t="s">
        <v>129</v>
      </c>
      <c r="D309" s="5">
        <v>44884</v>
      </c>
      <c r="G309" s="10" t="s">
        <v>140</v>
      </c>
      <c r="H309" s="13">
        <v>77</v>
      </c>
    </row>
    <row r="310" spans="2:8" ht="16" thickBot="1">
      <c r="B310" s="6" t="s">
        <v>122</v>
      </c>
      <c r="C310" s="6" t="s">
        <v>623</v>
      </c>
      <c r="D310" s="5">
        <v>44884</v>
      </c>
      <c r="G310" s="10" t="s">
        <v>123</v>
      </c>
      <c r="H310" s="12">
        <v>91</v>
      </c>
    </row>
    <row r="311" spans="2:8" ht="16" thickBot="1">
      <c r="B311" s="6" t="s">
        <v>587</v>
      </c>
      <c r="C311" s="6" t="s">
        <v>244</v>
      </c>
      <c r="D311" s="5">
        <v>44884</v>
      </c>
      <c r="G311" s="10" t="s">
        <v>194</v>
      </c>
      <c r="H311" s="13">
        <v>205</v>
      </c>
    </row>
    <row r="312" spans="2:8" ht="16" thickBot="1">
      <c r="B312" s="6" t="s">
        <v>109</v>
      </c>
      <c r="C312" s="6" t="s">
        <v>624</v>
      </c>
      <c r="D312" s="5">
        <v>44884</v>
      </c>
      <c r="G312" s="10" t="s">
        <v>221</v>
      </c>
      <c r="H312" s="15">
        <v>66</v>
      </c>
    </row>
    <row r="313" spans="2:8" ht="17" thickTop="1" thickBot="1">
      <c r="B313" s="6" t="s">
        <v>104</v>
      </c>
      <c r="C313" s="6" t="s">
        <v>484</v>
      </c>
      <c r="D313" s="5">
        <v>44884</v>
      </c>
      <c r="G313" s="10" t="s">
        <v>95</v>
      </c>
      <c r="H313" s="13">
        <v>157</v>
      </c>
    </row>
    <row r="314" spans="2:8" ht="16" thickBot="1">
      <c r="B314" s="6" t="s">
        <v>126</v>
      </c>
      <c r="C314" s="6" t="s">
        <v>336</v>
      </c>
      <c r="D314" s="5">
        <v>44884</v>
      </c>
      <c r="G314" s="10" t="s">
        <v>195</v>
      </c>
      <c r="H314" s="12">
        <v>55</v>
      </c>
    </row>
    <row r="315" spans="2:8" ht="16" thickBot="1">
      <c r="B315" s="6" t="s">
        <v>171</v>
      </c>
      <c r="C315" s="6" t="s">
        <v>191</v>
      </c>
      <c r="D315" s="5">
        <v>44884</v>
      </c>
      <c r="G315" s="10" t="s">
        <v>141</v>
      </c>
      <c r="H315" s="13">
        <v>168</v>
      </c>
    </row>
    <row r="316" spans="2:8" ht="16" thickBot="1">
      <c r="B316" s="6" t="s">
        <v>180</v>
      </c>
      <c r="C316" s="6" t="s">
        <v>347</v>
      </c>
      <c r="D316" s="5">
        <v>44884</v>
      </c>
      <c r="G316" s="10" t="s">
        <v>167</v>
      </c>
      <c r="H316" s="12">
        <v>123</v>
      </c>
    </row>
    <row r="317" spans="2:8" ht="16" thickBot="1">
      <c r="B317" s="6" t="s">
        <v>342</v>
      </c>
      <c r="C317" s="6" t="s">
        <v>603</v>
      </c>
      <c r="D317" s="5">
        <v>44884</v>
      </c>
      <c r="G317" s="10" t="s">
        <v>154</v>
      </c>
      <c r="H317" s="13">
        <v>193</v>
      </c>
    </row>
    <row r="318" spans="2:8" ht="16" thickBot="1">
      <c r="B318" s="6" t="s">
        <v>100</v>
      </c>
      <c r="C318" s="6" t="s">
        <v>625</v>
      </c>
      <c r="D318" s="5">
        <v>44884</v>
      </c>
      <c r="G318" s="10" t="s">
        <v>236</v>
      </c>
      <c r="H318" s="12">
        <v>282</v>
      </c>
    </row>
    <row r="319" spans="2:8" ht="16" thickBot="1">
      <c r="B319" s="6" t="s">
        <v>252</v>
      </c>
      <c r="C319" s="6" t="s">
        <v>288</v>
      </c>
      <c r="D319" s="5">
        <v>44884</v>
      </c>
      <c r="G319" s="10" t="s">
        <v>423</v>
      </c>
      <c r="H319" s="13">
        <v>94</v>
      </c>
    </row>
    <row r="320" spans="2:8" ht="16" thickBot="1">
      <c r="B320" s="6" t="s">
        <v>47</v>
      </c>
      <c r="C320" s="6" t="s">
        <v>272</v>
      </c>
      <c r="D320" s="5">
        <v>44884</v>
      </c>
      <c r="G320" s="10" t="s">
        <v>411</v>
      </c>
      <c r="H320" s="12">
        <v>82</v>
      </c>
    </row>
    <row r="321" spans="2:8" ht="16" thickBot="1">
      <c r="B321" s="6" t="s">
        <v>101</v>
      </c>
      <c r="C321" s="6" t="s">
        <v>247</v>
      </c>
      <c r="D321" s="5">
        <v>44884</v>
      </c>
      <c r="G321" s="10" t="s">
        <v>75</v>
      </c>
      <c r="H321" s="13">
        <v>11</v>
      </c>
    </row>
    <row r="322" spans="2:8" ht="16" thickBot="1">
      <c r="B322" s="6" t="s">
        <v>320</v>
      </c>
      <c r="C322" s="6" t="s">
        <v>242</v>
      </c>
      <c r="D322" s="5">
        <v>44884</v>
      </c>
      <c r="G322" s="10" t="s">
        <v>269</v>
      </c>
      <c r="H322" s="15">
        <v>150</v>
      </c>
    </row>
    <row r="323" spans="2:8" ht="17" thickTop="1" thickBot="1">
      <c r="B323" s="6" t="s">
        <v>341</v>
      </c>
      <c r="C323" s="6" t="s">
        <v>213</v>
      </c>
      <c r="D323" s="5">
        <v>44884</v>
      </c>
      <c r="G323" s="10" t="s">
        <v>301</v>
      </c>
      <c r="H323" s="13">
        <v>272</v>
      </c>
    </row>
    <row r="324" spans="2:8" ht="16" thickBot="1">
      <c r="B324" s="6" t="s">
        <v>287</v>
      </c>
      <c r="C324" s="6" t="s">
        <v>94</v>
      </c>
      <c r="D324" s="5">
        <v>44884</v>
      </c>
      <c r="G324" s="10" t="s">
        <v>297</v>
      </c>
      <c r="H324" s="13">
        <v>173</v>
      </c>
    </row>
    <row r="325" spans="2:8" ht="16" thickBot="1">
      <c r="B325" s="6" t="s">
        <v>259</v>
      </c>
      <c r="C325" s="6" t="s">
        <v>588</v>
      </c>
      <c r="D325" s="5">
        <v>44884</v>
      </c>
      <c r="G325" s="10" t="s">
        <v>267</v>
      </c>
      <c r="H325" s="12">
        <v>107</v>
      </c>
    </row>
    <row r="326" spans="2:8" ht="16" thickBot="1">
      <c r="B326" s="6" t="s">
        <v>451</v>
      </c>
      <c r="C326" s="6" t="s">
        <v>451</v>
      </c>
      <c r="D326" s="5">
        <v>44884</v>
      </c>
      <c r="G326" s="10" t="s">
        <v>327</v>
      </c>
      <c r="H326" s="13">
        <v>197</v>
      </c>
    </row>
    <row r="327" spans="2:8" ht="16" thickBot="1">
      <c r="B327" s="6" t="s">
        <v>426</v>
      </c>
      <c r="C327" s="6" t="s">
        <v>433</v>
      </c>
      <c r="D327" s="5">
        <v>44884</v>
      </c>
      <c r="G327" s="10" t="s">
        <v>163</v>
      </c>
      <c r="H327" s="12">
        <v>119</v>
      </c>
    </row>
    <row r="328" spans="2:8" ht="16" thickBot="1">
      <c r="B328" s="6" t="s">
        <v>177</v>
      </c>
      <c r="C328" s="6" t="s">
        <v>360</v>
      </c>
      <c r="D328" s="5">
        <v>44884</v>
      </c>
      <c r="G328" s="10" t="s">
        <v>74</v>
      </c>
      <c r="H328" s="13">
        <v>53</v>
      </c>
    </row>
    <row r="329" spans="2:8" ht="16" thickBot="1">
      <c r="B329" s="6" t="s">
        <v>119</v>
      </c>
      <c r="C329" s="6" t="s">
        <v>321</v>
      </c>
      <c r="D329" s="5">
        <v>44884</v>
      </c>
      <c r="G329" s="10" t="s">
        <v>802</v>
      </c>
      <c r="H329" s="12">
        <v>309</v>
      </c>
    </row>
    <row r="330" spans="2:8" ht="16" thickBot="1">
      <c r="B330" s="6" t="s">
        <v>413</v>
      </c>
      <c r="C330" s="6" t="s">
        <v>148</v>
      </c>
      <c r="D330" s="5">
        <v>44884</v>
      </c>
      <c r="G330" s="10" t="s">
        <v>323</v>
      </c>
      <c r="H330" s="13">
        <v>259</v>
      </c>
    </row>
    <row r="331" spans="2:8" ht="16" thickBot="1">
      <c r="B331" s="6" t="s">
        <v>298</v>
      </c>
      <c r="C331" s="6" t="s">
        <v>183</v>
      </c>
      <c r="D331" s="5">
        <v>44884</v>
      </c>
      <c r="G331" s="10" t="s">
        <v>344</v>
      </c>
      <c r="H331" s="12">
        <v>331</v>
      </c>
    </row>
    <row r="332" spans="2:8" ht="16" thickBot="1">
      <c r="B332" s="6" t="s">
        <v>40</v>
      </c>
      <c r="C332" s="6" t="s">
        <v>48</v>
      </c>
      <c r="D332" s="5">
        <v>44884</v>
      </c>
      <c r="G332" s="10" t="s">
        <v>77</v>
      </c>
      <c r="H332" s="14">
        <v>59</v>
      </c>
    </row>
    <row r="333" spans="2:8" ht="17" thickTop="1" thickBot="1">
      <c r="B333" s="6" t="s">
        <v>354</v>
      </c>
      <c r="C333" s="6" t="s">
        <v>276</v>
      </c>
      <c r="D333" s="5">
        <v>44884</v>
      </c>
      <c r="G333" s="10" t="s">
        <v>803</v>
      </c>
      <c r="H333" s="12">
        <v>58</v>
      </c>
    </row>
    <row r="334" spans="2:8" ht="16" thickBot="1">
      <c r="B334" s="6" t="s">
        <v>428</v>
      </c>
      <c r="C334" s="6" t="s">
        <v>517</v>
      </c>
      <c r="D334" s="5">
        <v>44884</v>
      </c>
      <c r="G334" s="10" t="s">
        <v>607</v>
      </c>
      <c r="H334" s="13">
        <v>266</v>
      </c>
    </row>
    <row r="335" spans="2:8" ht="16" thickBot="1">
      <c r="B335" s="6" t="s">
        <v>269</v>
      </c>
      <c r="C335" s="6" t="s">
        <v>257</v>
      </c>
      <c r="D335" s="5">
        <v>44884</v>
      </c>
      <c r="G335" s="10" t="s">
        <v>383</v>
      </c>
      <c r="H335" s="12">
        <v>132</v>
      </c>
    </row>
    <row r="336" spans="2:8" ht="16" thickBot="1">
      <c r="B336" s="6" t="s">
        <v>158</v>
      </c>
      <c r="C336" s="6" t="s">
        <v>607</v>
      </c>
      <c r="D336" s="5">
        <v>44884</v>
      </c>
      <c r="G336" s="10" t="s">
        <v>376</v>
      </c>
      <c r="H336" s="13">
        <v>170</v>
      </c>
    </row>
    <row r="337" spans="2:8" ht="16" thickBot="1">
      <c r="B337" s="6" t="s">
        <v>349</v>
      </c>
      <c r="C337" s="6" t="s">
        <v>280</v>
      </c>
      <c r="D337" s="5">
        <v>44884</v>
      </c>
      <c r="G337" s="10" t="s">
        <v>368</v>
      </c>
      <c r="H337" s="12">
        <v>308</v>
      </c>
    </row>
    <row r="338" spans="2:8" ht="16" thickBot="1">
      <c r="B338" s="6" t="s">
        <v>395</v>
      </c>
      <c r="C338" s="6" t="s">
        <v>410</v>
      </c>
      <c r="D338" s="5">
        <v>44884</v>
      </c>
      <c r="G338" s="10" t="s">
        <v>139</v>
      </c>
      <c r="H338" s="13">
        <v>221</v>
      </c>
    </row>
    <row r="339" spans="2:8" ht="16" thickBot="1">
      <c r="B339" s="6" t="s">
        <v>297</v>
      </c>
      <c r="C339" s="6" t="s">
        <v>255</v>
      </c>
      <c r="D339" s="5">
        <v>44884</v>
      </c>
      <c r="G339" s="10" t="s">
        <v>185</v>
      </c>
      <c r="H339" s="12">
        <v>89</v>
      </c>
    </row>
    <row r="340" spans="2:8" ht="16" thickBot="1">
      <c r="B340" s="6" t="s">
        <v>451</v>
      </c>
      <c r="C340" s="6" t="s">
        <v>451</v>
      </c>
      <c r="D340" s="5">
        <v>44884</v>
      </c>
      <c r="G340" s="10" t="s">
        <v>121</v>
      </c>
      <c r="H340" s="13">
        <v>87</v>
      </c>
    </row>
    <row r="341" spans="2:8" ht="16" thickBot="1">
      <c r="B341" s="6" t="s">
        <v>135</v>
      </c>
      <c r="C341" s="6" t="s">
        <v>394</v>
      </c>
      <c r="D341" s="5">
        <v>44884</v>
      </c>
      <c r="G341" s="10" t="s">
        <v>205</v>
      </c>
      <c r="H341" s="12">
        <v>111</v>
      </c>
    </row>
    <row r="342" spans="2:8" ht="16" thickBot="1">
      <c r="B342" s="6" t="s">
        <v>421</v>
      </c>
      <c r="C342" s="6" t="s">
        <v>422</v>
      </c>
      <c r="D342" s="5">
        <v>44884</v>
      </c>
      <c r="G342" s="10" t="s">
        <v>35</v>
      </c>
      <c r="H342" s="14">
        <v>25</v>
      </c>
    </row>
    <row r="343" spans="2:8" ht="17" thickTop="1" thickBot="1">
      <c r="B343" s="6" t="s">
        <v>236</v>
      </c>
      <c r="C343" s="6" t="s">
        <v>418</v>
      </c>
      <c r="D343" s="5">
        <v>44884</v>
      </c>
      <c r="G343" s="10" t="s">
        <v>188</v>
      </c>
      <c r="H343" s="12">
        <v>6</v>
      </c>
    </row>
    <row r="344" spans="2:8" ht="16" thickBot="1">
      <c r="B344" s="6" t="s">
        <v>143</v>
      </c>
      <c r="C344" s="6" t="s">
        <v>414</v>
      </c>
      <c r="D344" s="5">
        <v>44884</v>
      </c>
      <c r="G344" s="10" t="s">
        <v>52</v>
      </c>
      <c r="H344" s="13">
        <v>18</v>
      </c>
    </row>
    <row r="345" spans="2:8" ht="16" thickBot="1">
      <c r="B345" s="6" t="s">
        <v>385</v>
      </c>
      <c r="C345" s="6" t="s">
        <v>290</v>
      </c>
      <c r="D345" s="5">
        <v>44884</v>
      </c>
      <c r="G345" s="10" t="s">
        <v>261</v>
      </c>
      <c r="H345" s="12">
        <v>297</v>
      </c>
    </row>
    <row r="346" spans="2:8" ht="16" thickBot="1">
      <c r="B346" s="6" t="s">
        <v>154</v>
      </c>
      <c r="C346" s="6" t="s">
        <v>626</v>
      </c>
      <c r="D346" s="5">
        <v>44884</v>
      </c>
      <c r="G346" s="10" t="s">
        <v>98</v>
      </c>
      <c r="H346" s="13">
        <v>260</v>
      </c>
    </row>
    <row r="347" spans="2:8" ht="16" thickBot="1">
      <c r="B347" s="6" t="s">
        <v>361</v>
      </c>
      <c r="C347" s="6" t="s">
        <v>97</v>
      </c>
      <c r="D347" s="5">
        <v>44884</v>
      </c>
      <c r="G347" s="10" t="s">
        <v>53</v>
      </c>
      <c r="H347" s="12">
        <v>76</v>
      </c>
    </row>
    <row r="348" spans="2:8" ht="16" thickBot="1">
      <c r="B348" s="6" t="s">
        <v>274</v>
      </c>
      <c r="C348" s="6" t="s">
        <v>106</v>
      </c>
      <c r="D348" s="5">
        <v>44884</v>
      </c>
      <c r="G348" s="10" t="s">
        <v>71</v>
      </c>
      <c r="H348" s="13">
        <v>108</v>
      </c>
    </row>
    <row r="349" spans="2:8" ht="16" thickBot="1">
      <c r="B349" s="6" t="s">
        <v>193</v>
      </c>
      <c r="C349" s="6" t="s">
        <v>116</v>
      </c>
      <c r="D349" s="5">
        <v>44884</v>
      </c>
      <c r="G349" s="10" t="s">
        <v>804</v>
      </c>
      <c r="H349" s="12">
        <v>61</v>
      </c>
    </row>
    <row r="350" spans="2:8" ht="16" thickBot="1">
      <c r="B350" s="6" t="s">
        <v>348</v>
      </c>
      <c r="C350" s="6" t="s">
        <v>175</v>
      </c>
      <c r="D350" s="5">
        <v>44884</v>
      </c>
      <c r="G350" s="10" t="s">
        <v>805</v>
      </c>
      <c r="H350" s="13">
        <v>235</v>
      </c>
    </row>
    <row r="351" spans="2:8" ht="16" thickBot="1">
      <c r="B351" s="6" t="s">
        <v>286</v>
      </c>
      <c r="C351" s="6" t="s">
        <v>356</v>
      </c>
      <c r="D351" s="5">
        <v>44884</v>
      </c>
      <c r="G351" s="10" t="s">
        <v>32</v>
      </c>
      <c r="H351" s="12">
        <v>51</v>
      </c>
    </row>
    <row r="352" spans="2:8" ht="16" thickBot="1">
      <c r="B352" s="6" t="s">
        <v>420</v>
      </c>
      <c r="C352" s="6" t="s">
        <v>491</v>
      </c>
      <c r="D352" s="5">
        <v>44884</v>
      </c>
      <c r="G352" s="10" t="s">
        <v>287</v>
      </c>
      <c r="H352" s="14">
        <v>285</v>
      </c>
    </row>
    <row r="353" spans="2:8" ht="17" thickTop="1" thickBot="1">
      <c r="B353" s="6" t="s">
        <v>189</v>
      </c>
      <c r="C353" s="6" t="s">
        <v>375</v>
      </c>
      <c r="D353" s="5">
        <v>44884</v>
      </c>
      <c r="G353" s="10" t="s">
        <v>330</v>
      </c>
      <c r="H353" s="12">
        <v>273</v>
      </c>
    </row>
    <row r="354" spans="2:8" ht="16" thickBot="1">
      <c r="B354" s="6" t="s">
        <v>42</v>
      </c>
      <c r="C354" s="6" t="s">
        <v>282</v>
      </c>
      <c r="D354" s="5">
        <v>44884</v>
      </c>
      <c r="G354" s="10" t="s">
        <v>313</v>
      </c>
      <c r="H354" s="13">
        <v>96</v>
      </c>
    </row>
    <row r="355" spans="2:8" ht="16" thickBot="1">
      <c r="B355" s="6" t="s">
        <v>131</v>
      </c>
      <c r="C355" s="6" t="s">
        <v>590</v>
      </c>
      <c r="D355" s="5">
        <v>44884</v>
      </c>
      <c r="G355" s="10" t="s">
        <v>414</v>
      </c>
      <c r="H355" s="12">
        <v>254</v>
      </c>
    </row>
    <row r="356" spans="2:8" ht="16" thickBot="1">
      <c r="B356" s="6" t="s">
        <v>261</v>
      </c>
      <c r="C356" s="6" t="s">
        <v>370</v>
      </c>
      <c r="D356" s="5">
        <v>44884</v>
      </c>
      <c r="G356" s="10" t="s">
        <v>806</v>
      </c>
      <c r="H356" s="13">
        <v>80</v>
      </c>
    </row>
    <row r="357" spans="2:8" ht="16" thickBot="1">
      <c r="B357" s="6" t="s">
        <v>184</v>
      </c>
      <c r="C357" s="6" t="s">
        <v>627</v>
      </c>
      <c r="D357" s="5">
        <v>44884</v>
      </c>
      <c r="G357" s="10" t="s">
        <v>413</v>
      </c>
      <c r="H357" s="12">
        <v>336</v>
      </c>
    </row>
    <row r="358" spans="2:8" ht="16" thickBot="1">
      <c r="B358" s="6" t="s">
        <v>139</v>
      </c>
      <c r="C358" s="6" t="s">
        <v>295</v>
      </c>
      <c r="D358" s="5">
        <v>44884</v>
      </c>
      <c r="G358" s="10" t="s">
        <v>191</v>
      </c>
      <c r="H358" s="13">
        <v>177</v>
      </c>
    </row>
    <row r="359" spans="2:8" ht="16" thickBot="1">
      <c r="B359" s="6" t="s">
        <v>161</v>
      </c>
      <c r="C359" s="6" t="s">
        <v>424</v>
      </c>
      <c r="D359" s="5">
        <v>44884</v>
      </c>
      <c r="G359" s="10" t="s">
        <v>65</v>
      </c>
      <c r="H359" s="12">
        <v>41</v>
      </c>
    </row>
    <row r="360" spans="2:8" ht="16" thickBot="1">
      <c r="B360" s="6" t="s">
        <v>584</v>
      </c>
      <c r="C360" s="6" t="s">
        <v>289</v>
      </c>
      <c r="D360" s="5">
        <v>44884</v>
      </c>
      <c r="G360" s="10" t="s">
        <v>103</v>
      </c>
      <c r="H360" s="13">
        <v>148</v>
      </c>
    </row>
    <row r="361" spans="2:8" ht="16" thickBot="1">
      <c r="B361" s="6" t="s">
        <v>165</v>
      </c>
      <c r="C361" s="6" t="s">
        <v>167</v>
      </c>
      <c r="D361" s="5">
        <v>44884</v>
      </c>
      <c r="G361" s="10" t="s">
        <v>807</v>
      </c>
      <c r="H361" s="12">
        <v>202</v>
      </c>
    </row>
    <row r="362" spans="2:8" ht="16" thickBot="1">
      <c r="B362" s="6" t="s">
        <v>310</v>
      </c>
      <c r="C362" s="6" t="s">
        <v>308</v>
      </c>
      <c r="D362" s="5">
        <v>44884</v>
      </c>
      <c r="G362" s="10" t="s">
        <v>152</v>
      </c>
      <c r="H362" s="14">
        <v>70</v>
      </c>
    </row>
    <row r="363" spans="2:8" ht="17" thickTop="1" thickBot="1">
      <c r="B363" s="6" t="s">
        <v>398</v>
      </c>
      <c r="C363" s="6" t="s">
        <v>178</v>
      </c>
      <c r="D363" s="5">
        <v>44884</v>
      </c>
      <c r="G363" s="10" t="s">
        <v>39</v>
      </c>
      <c r="H363" s="12">
        <v>37</v>
      </c>
    </row>
    <row r="364" spans="2:8" ht="16" thickBot="1">
      <c r="B364" s="6" t="s">
        <v>157</v>
      </c>
      <c r="C364" s="6" t="s">
        <v>319</v>
      </c>
      <c r="D364" s="5">
        <v>44884</v>
      </c>
      <c r="G364" s="10" t="s">
        <v>100</v>
      </c>
      <c r="H364" s="13">
        <v>145</v>
      </c>
    </row>
    <row r="365" spans="2:8" ht="16" thickBot="1">
      <c r="B365" s="6" t="s">
        <v>190</v>
      </c>
      <c r="C365" s="6" t="s">
        <v>194</v>
      </c>
      <c r="D365" s="5">
        <v>44884</v>
      </c>
      <c r="G365" s="10" t="s">
        <v>808</v>
      </c>
      <c r="H365" s="15">
        <v>191</v>
      </c>
    </row>
    <row r="366" spans="2:8" ht="16" thickTop="1">
      <c r="B366" s="6" t="s">
        <v>779</v>
      </c>
      <c r="C366" s="6" t="s">
        <v>402</v>
      </c>
      <c r="D366" s="5">
        <v>44884</v>
      </c>
    </row>
    <row r="367" spans="2:8">
      <c r="B367" s="6" t="s">
        <v>451</v>
      </c>
      <c r="C367" s="6" t="s">
        <v>451</v>
      </c>
      <c r="D367" s="5">
        <v>44885</v>
      </c>
    </row>
    <row r="368" spans="2:8">
      <c r="B368" s="6" t="s">
        <v>451</v>
      </c>
      <c r="C368" s="6" t="s">
        <v>451</v>
      </c>
      <c r="D368" s="5">
        <v>44885</v>
      </c>
    </row>
    <row r="369" spans="2:4">
      <c r="B369" s="6" t="s">
        <v>451</v>
      </c>
      <c r="C369" s="6" t="s">
        <v>451</v>
      </c>
      <c r="D369" s="5">
        <v>44885</v>
      </c>
    </row>
    <row r="370" spans="2:4">
      <c r="B370" s="6" t="s">
        <v>451</v>
      </c>
      <c r="C370" s="6" t="s">
        <v>451</v>
      </c>
      <c r="D370" s="5">
        <v>44885</v>
      </c>
    </row>
    <row r="371" spans="2:4">
      <c r="B371" s="6" t="s">
        <v>451</v>
      </c>
      <c r="C371" s="6" t="s">
        <v>451</v>
      </c>
      <c r="D371" s="5">
        <v>44885</v>
      </c>
    </row>
    <row r="372" spans="2:4">
      <c r="B372" s="6" t="s">
        <v>451</v>
      </c>
      <c r="C372" s="6" t="s">
        <v>451</v>
      </c>
      <c r="D372" s="5">
        <v>44885</v>
      </c>
    </row>
    <row r="373" spans="2:4">
      <c r="B373" s="6" t="s">
        <v>451</v>
      </c>
      <c r="C373" s="6" t="s">
        <v>451</v>
      </c>
      <c r="D373" s="5">
        <v>44885</v>
      </c>
    </row>
    <row r="374" spans="2:4">
      <c r="B374" s="6" t="s">
        <v>251</v>
      </c>
      <c r="C374" s="6" t="s">
        <v>409</v>
      </c>
      <c r="D374" s="5">
        <v>44885</v>
      </c>
    </row>
    <row r="375" spans="2:4">
      <c r="B375" s="6" t="s">
        <v>287</v>
      </c>
      <c r="C375" s="6" t="s">
        <v>603</v>
      </c>
      <c r="D375" s="5">
        <v>44885</v>
      </c>
    </row>
    <row r="376" spans="2:4">
      <c r="B376" s="6" t="s">
        <v>298</v>
      </c>
      <c r="C376" s="6" t="s">
        <v>356</v>
      </c>
      <c r="D376" s="5">
        <v>44885</v>
      </c>
    </row>
    <row r="377" spans="2:4">
      <c r="B377" s="6" t="s">
        <v>138</v>
      </c>
      <c r="C377" s="6" t="s">
        <v>628</v>
      </c>
      <c r="D377" s="5">
        <v>44885</v>
      </c>
    </row>
    <row r="378" spans="2:4">
      <c r="B378" s="6" t="s">
        <v>253</v>
      </c>
      <c r="C378" s="6" t="s">
        <v>278</v>
      </c>
      <c r="D378" s="5">
        <v>44885</v>
      </c>
    </row>
    <row r="379" spans="2:4">
      <c r="B379" s="6" t="s">
        <v>588</v>
      </c>
      <c r="C379" s="6" t="s">
        <v>255</v>
      </c>
      <c r="D379" s="5">
        <v>44885</v>
      </c>
    </row>
    <row r="380" spans="2:4">
      <c r="B380" s="6" t="s">
        <v>414</v>
      </c>
      <c r="C380" s="6" t="s">
        <v>289</v>
      </c>
      <c r="D380" s="5">
        <v>44885</v>
      </c>
    </row>
    <row r="381" spans="2:4">
      <c r="B381" s="6" t="s">
        <v>301</v>
      </c>
      <c r="C381" s="6" t="s">
        <v>246</v>
      </c>
      <c r="D381" s="5">
        <v>44885</v>
      </c>
    </row>
    <row r="382" spans="2:4">
      <c r="B382" s="6" t="s">
        <v>451</v>
      </c>
      <c r="C382" s="6" t="s">
        <v>451</v>
      </c>
      <c r="D382" s="5">
        <v>44885</v>
      </c>
    </row>
    <row r="383" spans="2:4">
      <c r="B383" s="6" t="s">
        <v>451</v>
      </c>
      <c r="C383" s="6" t="s">
        <v>451</v>
      </c>
      <c r="D383" s="5">
        <v>44885</v>
      </c>
    </row>
    <row r="384" spans="2:4">
      <c r="B384" s="6" t="s">
        <v>395</v>
      </c>
      <c r="C384" s="6" t="s">
        <v>370</v>
      </c>
      <c r="D384" s="5">
        <v>44885</v>
      </c>
    </row>
    <row r="385" spans="2:4">
      <c r="B385" s="6" t="s">
        <v>120</v>
      </c>
      <c r="C385" s="6" t="s">
        <v>513</v>
      </c>
      <c r="D385" s="5">
        <v>44885</v>
      </c>
    </row>
    <row r="386" spans="2:4">
      <c r="B386" s="6" t="s">
        <v>359</v>
      </c>
      <c r="C386" s="6" t="s">
        <v>508</v>
      </c>
      <c r="D386" s="5">
        <v>44885</v>
      </c>
    </row>
    <row r="387" spans="2:4">
      <c r="B387" s="6" t="s">
        <v>196</v>
      </c>
      <c r="C387" s="6" t="s">
        <v>391</v>
      </c>
      <c r="D387" s="5">
        <v>44885</v>
      </c>
    </row>
    <row r="388" spans="2:4">
      <c r="B388" s="6" t="s">
        <v>202</v>
      </c>
      <c r="C388" s="6" t="s">
        <v>148</v>
      </c>
      <c r="D388" s="5">
        <v>44885</v>
      </c>
    </row>
    <row r="389" spans="2:4">
      <c r="B389" s="6" t="s">
        <v>342</v>
      </c>
      <c r="C389" s="6" t="s">
        <v>94</v>
      </c>
      <c r="D389" s="5">
        <v>44885</v>
      </c>
    </row>
    <row r="390" spans="2:4">
      <c r="B390" s="6" t="s">
        <v>220</v>
      </c>
      <c r="C390" s="6" t="s">
        <v>418</v>
      </c>
      <c r="D390" s="5">
        <v>44885</v>
      </c>
    </row>
    <row r="391" spans="2:4">
      <c r="B391" s="6" t="s">
        <v>108</v>
      </c>
      <c r="C391" s="6" t="s">
        <v>130</v>
      </c>
      <c r="D391" s="5">
        <v>44885</v>
      </c>
    </row>
    <row r="392" spans="2:4">
      <c r="B392" s="6" t="s">
        <v>49</v>
      </c>
      <c r="C392" s="6" t="s">
        <v>314</v>
      </c>
      <c r="D392" s="5">
        <v>44885</v>
      </c>
    </row>
    <row r="393" spans="2:4">
      <c r="B393" s="6" t="s">
        <v>286</v>
      </c>
      <c r="C393" s="6" t="s">
        <v>183</v>
      </c>
      <c r="D393" s="5">
        <v>44885</v>
      </c>
    </row>
    <row r="394" spans="2:4">
      <c r="B394" s="6" t="s">
        <v>451</v>
      </c>
      <c r="C394" s="6" t="s">
        <v>451</v>
      </c>
      <c r="D394" s="5">
        <v>44885</v>
      </c>
    </row>
    <row r="395" spans="2:4">
      <c r="B395" s="6" t="s">
        <v>102</v>
      </c>
      <c r="C395" s="6" t="s">
        <v>249</v>
      </c>
      <c r="D395" s="5">
        <v>44885</v>
      </c>
    </row>
    <row r="396" spans="2:4">
      <c r="B396" s="6" t="s">
        <v>250</v>
      </c>
      <c r="C396" s="6" t="s">
        <v>399</v>
      </c>
      <c r="D396" s="5">
        <v>44885</v>
      </c>
    </row>
    <row r="397" spans="2:4">
      <c r="B397" s="6" t="s">
        <v>36</v>
      </c>
      <c r="C397" s="6" t="s">
        <v>98</v>
      </c>
      <c r="D397" s="5">
        <v>44885</v>
      </c>
    </row>
    <row r="398" spans="2:4">
      <c r="B398" s="6" t="s">
        <v>259</v>
      </c>
      <c r="C398" s="6" t="s">
        <v>297</v>
      </c>
      <c r="D398" s="5">
        <v>44885</v>
      </c>
    </row>
    <row r="399" spans="2:4">
      <c r="B399" s="6" t="s">
        <v>451</v>
      </c>
      <c r="C399" s="6" t="s">
        <v>451</v>
      </c>
      <c r="D399" s="5">
        <v>44885</v>
      </c>
    </row>
    <row r="400" spans="2:4">
      <c r="B400" s="6" t="s">
        <v>451</v>
      </c>
      <c r="C400" s="6" t="s">
        <v>451</v>
      </c>
      <c r="D400" s="5">
        <v>44885</v>
      </c>
    </row>
    <row r="401" spans="2:4">
      <c r="B401" s="6" t="s">
        <v>67</v>
      </c>
      <c r="C401" s="6" t="s">
        <v>332</v>
      </c>
      <c r="D401" s="5">
        <v>44885</v>
      </c>
    </row>
    <row r="402" spans="2:4">
      <c r="B402" s="6" t="s">
        <v>304</v>
      </c>
      <c r="C402" s="6" t="s">
        <v>436</v>
      </c>
      <c r="D402" s="5">
        <v>44885</v>
      </c>
    </row>
    <row r="403" spans="2:4">
      <c r="B403" s="6" t="s">
        <v>410</v>
      </c>
      <c r="C403" s="6" t="s">
        <v>261</v>
      </c>
      <c r="D403" s="5">
        <v>44885</v>
      </c>
    </row>
    <row r="404" spans="2:4">
      <c r="B404" s="6" t="s">
        <v>451</v>
      </c>
      <c r="C404" s="6" t="s">
        <v>451</v>
      </c>
      <c r="D404" s="5">
        <v>44885</v>
      </c>
    </row>
    <row r="405" spans="2:4">
      <c r="B405" s="6" t="s">
        <v>451</v>
      </c>
      <c r="C405" s="6" t="s">
        <v>451</v>
      </c>
      <c r="D405" s="5">
        <v>44885</v>
      </c>
    </row>
    <row r="406" spans="2:4">
      <c r="B406" s="6" t="s">
        <v>103</v>
      </c>
      <c r="C406" s="6" t="s">
        <v>268</v>
      </c>
      <c r="D406" s="5">
        <v>44885</v>
      </c>
    </row>
    <row r="407" spans="2:4">
      <c r="B407" s="6" t="s">
        <v>144</v>
      </c>
      <c r="C407" s="6" t="s">
        <v>121</v>
      </c>
      <c r="D407" s="5">
        <v>44885</v>
      </c>
    </row>
    <row r="408" spans="2:4">
      <c r="B408" s="6" t="s">
        <v>732</v>
      </c>
      <c r="C408" s="6" t="s">
        <v>264</v>
      </c>
      <c r="D408" s="5">
        <v>44885</v>
      </c>
    </row>
    <row r="409" spans="2:4">
      <c r="B409" s="6" t="s">
        <v>209</v>
      </c>
      <c r="C409" s="6" t="s">
        <v>62</v>
      </c>
      <c r="D409" s="5">
        <v>44885</v>
      </c>
    </row>
    <row r="410" spans="2:4">
      <c r="B410" s="6" t="s">
        <v>451</v>
      </c>
      <c r="C410" s="6" t="s">
        <v>451</v>
      </c>
      <c r="D410" s="5">
        <v>44885</v>
      </c>
    </row>
    <row r="411" spans="2:4">
      <c r="B411" s="6" t="s">
        <v>451</v>
      </c>
      <c r="C411" s="6" t="s">
        <v>451</v>
      </c>
      <c r="D411" s="5">
        <v>44885</v>
      </c>
    </row>
    <row r="412" spans="2:4">
      <c r="B412" s="6" t="s">
        <v>451</v>
      </c>
      <c r="C412" s="6" t="s">
        <v>451</v>
      </c>
      <c r="D412" s="5">
        <v>44885</v>
      </c>
    </row>
    <row r="413" spans="2:4">
      <c r="B413" s="6" t="s">
        <v>747</v>
      </c>
      <c r="C413" s="6" t="s">
        <v>358</v>
      </c>
      <c r="D413" s="5">
        <v>44885</v>
      </c>
    </row>
    <row r="414" spans="2:4">
      <c r="B414" s="6" t="s">
        <v>451</v>
      </c>
      <c r="C414" s="6" t="s">
        <v>451</v>
      </c>
      <c r="D414" s="5">
        <v>44885</v>
      </c>
    </row>
    <row r="415" spans="2:4">
      <c r="B415" s="6" t="s">
        <v>451</v>
      </c>
      <c r="C415" s="6" t="s">
        <v>451</v>
      </c>
      <c r="D415" s="5">
        <v>44885</v>
      </c>
    </row>
    <row r="416" spans="2:4">
      <c r="B416" s="6" t="s">
        <v>132</v>
      </c>
      <c r="C416" s="6" t="s">
        <v>80</v>
      </c>
      <c r="D416" s="5">
        <v>44885</v>
      </c>
    </row>
    <row r="417" spans="2:4">
      <c r="B417" s="6" t="s">
        <v>59</v>
      </c>
      <c r="C417" s="6" t="s">
        <v>127</v>
      </c>
      <c r="D417" s="5">
        <v>44885</v>
      </c>
    </row>
    <row r="418" spans="2:4">
      <c r="B418" s="6" t="s">
        <v>240</v>
      </c>
      <c r="C418" s="6" t="s">
        <v>364</v>
      </c>
      <c r="D418" s="5">
        <v>44885</v>
      </c>
    </row>
    <row r="419" spans="2:4">
      <c r="B419" s="6" t="s">
        <v>87</v>
      </c>
      <c r="C419" s="6" t="s">
        <v>303</v>
      </c>
      <c r="D419" s="5">
        <v>44885</v>
      </c>
    </row>
    <row r="420" spans="2:4">
      <c r="B420" s="6" t="s">
        <v>451</v>
      </c>
      <c r="C420" s="6" t="s">
        <v>451</v>
      </c>
      <c r="D420" s="5">
        <v>44885</v>
      </c>
    </row>
    <row r="421" spans="2:4">
      <c r="B421" s="6" t="s">
        <v>69</v>
      </c>
      <c r="C421" s="6" t="s">
        <v>212</v>
      </c>
      <c r="D421" s="5">
        <v>44885</v>
      </c>
    </row>
    <row r="422" spans="2:4">
      <c r="B422" s="6" t="s">
        <v>207</v>
      </c>
      <c r="C422" s="6" t="s">
        <v>233</v>
      </c>
      <c r="D422" s="5">
        <v>44885</v>
      </c>
    </row>
    <row r="423" spans="2:4">
      <c r="B423" s="6" t="s">
        <v>331</v>
      </c>
      <c r="C423" s="6" t="s">
        <v>140</v>
      </c>
      <c r="D423" s="5">
        <v>44886</v>
      </c>
    </row>
    <row r="424" spans="2:4">
      <c r="B424" s="6" t="s">
        <v>81</v>
      </c>
      <c r="C424" s="6" t="s">
        <v>326</v>
      </c>
      <c r="D424" s="5">
        <v>44886</v>
      </c>
    </row>
    <row r="425" spans="2:4">
      <c r="B425" s="6" t="s">
        <v>106</v>
      </c>
      <c r="C425" s="6" t="s">
        <v>422</v>
      </c>
      <c r="D425" s="5">
        <v>44886</v>
      </c>
    </row>
    <row r="426" spans="2:4">
      <c r="B426" s="6" t="s">
        <v>215</v>
      </c>
      <c r="C426" s="6" t="s">
        <v>147</v>
      </c>
      <c r="D426" s="5">
        <v>44886</v>
      </c>
    </row>
    <row r="427" spans="2:4">
      <c r="B427" s="6" t="s">
        <v>404</v>
      </c>
      <c r="C427" s="6" t="s">
        <v>318</v>
      </c>
      <c r="D427" s="5">
        <v>44886</v>
      </c>
    </row>
    <row r="428" spans="2:4">
      <c r="B428" s="6" t="s">
        <v>329</v>
      </c>
      <c r="C428" s="6" t="s">
        <v>629</v>
      </c>
      <c r="D428" s="5">
        <v>44886</v>
      </c>
    </row>
    <row r="429" spans="2:4">
      <c r="B429" s="6" t="s">
        <v>451</v>
      </c>
      <c r="C429" s="6" t="s">
        <v>451</v>
      </c>
      <c r="D429" s="5">
        <v>44886</v>
      </c>
    </row>
    <row r="430" spans="2:4">
      <c r="B430" s="6" t="s">
        <v>325</v>
      </c>
      <c r="C430" s="6" t="s">
        <v>275</v>
      </c>
      <c r="D430" s="5">
        <v>44886</v>
      </c>
    </row>
    <row r="431" spans="2:4">
      <c r="B431" s="6" t="s">
        <v>313</v>
      </c>
      <c r="C431" s="6" t="s">
        <v>105</v>
      </c>
      <c r="D431" s="5">
        <v>44886</v>
      </c>
    </row>
    <row r="432" spans="2:4">
      <c r="B432" s="6" t="s">
        <v>192</v>
      </c>
      <c r="C432" s="6" t="s">
        <v>113</v>
      </c>
      <c r="D432" s="5">
        <v>44886</v>
      </c>
    </row>
    <row r="433" spans="2:4">
      <c r="B433" s="6" t="s">
        <v>38</v>
      </c>
      <c r="C433" s="6" t="s">
        <v>27</v>
      </c>
      <c r="D433" s="5">
        <v>44886</v>
      </c>
    </row>
    <row r="434" spans="2:4">
      <c r="B434" s="6" t="s">
        <v>381</v>
      </c>
      <c r="C434" s="6" t="s">
        <v>352</v>
      </c>
      <c r="D434" s="5">
        <v>44886</v>
      </c>
    </row>
    <row r="435" spans="2:4">
      <c r="B435" s="6" t="s">
        <v>309</v>
      </c>
      <c r="C435" s="6" t="s">
        <v>599</v>
      </c>
      <c r="D435" s="5">
        <v>44886</v>
      </c>
    </row>
    <row r="436" spans="2:4">
      <c r="B436" s="6" t="s">
        <v>451</v>
      </c>
      <c r="C436" s="6" t="s">
        <v>451</v>
      </c>
      <c r="D436" s="5">
        <v>44886</v>
      </c>
    </row>
    <row r="437" spans="2:4">
      <c r="B437" s="6" t="s">
        <v>590</v>
      </c>
      <c r="C437" s="6" t="s">
        <v>280</v>
      </c>
      <c r="D437" s="5">
        <v>44886</v>
      </c>
    </row>
    <row r="438" spans="2:4">
      <c r="B438" s="6" t="s">
        <v>84</v>
      </c>
      <c r="C438" s="6" t="s">
        <v>43</v>
      </c>
      <c r="D438" s="5">
        <v>44886</v>
      </c>
    </row>
    <row r="439" spans="2:4">
      <c r="B439" s="6" t="s">
        <v>323</v>
      </c>
      <c r="C439" s="6" t="s">
        <v>146</v>
      </c>
      <c r="D439" s="5">
        <v>44886</v>
      </c>
    </row>
    <row r="440" spans="2:4">
      <c r="B440" s="6" t="s">
        <v>169</v>
      </c>
      <c r="C440" s="6" t="s">
        <v>221</v>
      </c>
      <c r="D440" s="5">
        <v>44886</v>
      </c>
    </row>
    <row r="441" spans="2:4">
      <c r="B441" s="6" t="s">
        <v>362</v>
      </c>
      <c r="C441" s="6" t="s">
        <v>110</v>
      </c>
      <c r="D441" s="5">
        <v>44886</v>
      </c>
    </row>
    <row r="442" spans="2:4">
      <c r="B442" s="6" t="s">
        <v>451</v>
      </c>
      <c r="C442" s="6" t="s">
        <v>451</v>
      </c>
      <c r="D442" s="5">
        <v>44886</v>
      </c>
    </row>
    <row r="443" spans="2:4">
      <c r="B443" s="6" t="s">
        <v>344</v>
      </c>
      <c r="C443" s="6" t="s">
        <v>330</v>
      </c>
      <c r="D443" s="5">
        <v>44886</v>
      </c>
    </row>
    <row r="444" spans="2:4">
      <c r="B444" s="6" t="s">
        <v>231</v>
      </c>
      <c r="C444" s="6" t="s">
        <v>195</v>
      </c>
      <c r="D444" s="5">
        <v>44886</v>
      </c>
    </row>
    <row r="445" spans="2:4">
      <c r="B445" s="6" t="s">
        <v>77</v>
      </c>
      <c r="C445" s="6" t="s">
        <v>50</v>
      </c>
      <c r="D445" s="5">
        <v>44886</v>
      </c>
    </row>
    <row r="446" spans="2:4">
      <c r="B446" s="6" t="s">
        <v>737</v>
      </c>
      <c r="C446" s="6" t="s">
        <v>171</v>
      </c>
      <c r="D446" s="5">
        <v>44886</v>
      </c>
    </row>
    <row r="447" spans="2:4">
      <c r="B447" s="6" t="s">
        <v>170</v>
      </c>
      <c r="C447" s="6" t="s">
        <v>630</v>
      </c>
      <c r="D447" s="5">
        <v>44886</v>
      </c>
    </row>
    <row r="448" spans="2:4">
      <c r="B448" s="6" t="s">
        <v>284</v>
      </c>
      <c r="C448" s="6" t="s">
        <v>354</v>
      </c>
      <c r="D448" s="5">
        <v>44886</v>
      </c>
    </row>
    <row r="449" spans="2:4">
      <c r="B449" s="6" t="s">
        <v>338</v>
      </c>
      <c r="C449" s="6" t="s">
        <v>114</v>
      </c>
      <c r="D449" s="5">
        <v>44886</v>
      </c>
    </row>
    <row r="450" spans="2:4">
      <c r="B450" s="6" t="s">
        <v>193</v>
      </c>
      <c r="C450" s="6" t="s">
        <v>347</v>
      </c>
      <c r="D450" s="5">
        <v>44886</v>
      </c>
    </row>
    <row r="451" spans="2:4">
      <c r="B451" s="6" t="s">
        <v>327</v>
      </c>
      <c r="C451" s="6" t="s">
        <v>532</v>
      </c>
      <c r="D451" s="5">
        <v>44886</v>
      </c>
    </row>
    <row r="452" spans="2:4">
      <c r="B452" s="6" t="s">
        <v>270</v>
      </c>
      <c r="C452" s="6" t="s">
        <v>232</v>
      </c>
      <c r="D452" s="5">
        <v>44886</v>
      </c>
    </row>
    <row r="453" spans="2:4">
      <c r="B453" s="6" t="s">
        <v>373</v>
      </c>
      <c r="C453" s="6" t="s">
        <v>333</v>
      </c>
      <c r="D453" s="5">
        <v>44886</v>
      </c>
    </row>
    <row r="454" spans="2:4">
      <c r="B454" s="6" t="s">
        <v>349</v>
      </c>
      <c r="C454" s="6" t="s">
        <v>131</v>
      </c>
      <c r="D454" s="5">
        <v>44886</v>
      </c>
    </row>
    <row r="455" spans="2:4">
      <c r="B455" s="6" t="s">
        <v>128</v>
      </c>
      <c r="C455" s="6" t="s">
        <v>484</v>
      </c>
      <c r="D455" s="5">
        <v>44886</v>
      </c>
    </row>
    <row r="456" spans="2:4">
      <c r="B456" s="6" t="s">
        <v>176</v>
      </c>
      <c r="C456" s="6" t="s">
        <v>115</v>
      </c>
      <c r="D456" s="5">
        <v>44886</v>
      </c>
    </row>
    <row r="457" spans="2:4">
      <c r="B457" s="6" t="s">
        <v>200</v>
      </c>
      <c r="C457" s="6" t="s">
        <v>47</v>
      </c>
      <c r="D457" s="5">
        <v>44886</v>
      </c>
    </row>
    <row r="458" spans="2:4">
      <c r="B458" s="6" t="s">
        <v>51</v>
      </c>
      <c r="C458" s="6" t="s">
        <v>580</v>
      </c>
      <c r="D458" s="5">
        <v>44886</v>
      </c>
    </row>
    <row r="459" spans="2:4">
      <c r="B459" s="6" t="s">
        <v>345</v>
      </c>
      <c r="C459" s="6" t="s">
        <v>266</v>
      </c>
      <c r="D459" s="5">
        <v>44886</v>
      </c>
    </row>
    <row r="460" spans="2:4">
      <c r="B460" s="6" t="s">
        <v>292</v>
      </c>
      <c r="C460" s="6" t="s">
        <v>256</v>
      </c>
      <c r="D460" s="5">
        <v>44886</v>
      </c>
    </row>
    <row r="461" spans="2:4">
      <c r="B461" s="6" t="s">
        <v>750</v>
      </c>
      <c r="C461" s="6" t="s">
        <v>124</v>
      </c>
      <c r="D461" s="5">
        <v>44886</v>
      </c>
    </row>
    <row r="462" spans="2:4">
      <c r="B462" s="6" t="s">
        <v>143</v>
      </c>
      <c r="C462" s="6" t="s">
        <v>584</v>
      </c>
      <c r="D462" s="5">
        <v>44886</v>
      </c>
    </row>
    <row r="463" spans="2:4">
      <c r="B463" s="6" t="s">
        <v>451</v>
      </c>
      <c r="C463" s="6" t="s">
        <v>451</v>
      </c>
      <c r="D463" s="5">
        <v>44886</v>
      </c>
    </row>
    <row r="464" spans="2:4">
      <c r="B464" s="6" t="s">
        <v>61</v>
      </c>
      <c r="C464" s="6" t="s">
        <v>357</v>
      </c>
      <c r="D464" s="5">
        <v>44886</v>
      </c>
    </row>
    <row r="465" spans="2:4">
      <c r="B465" s="6" t="s">
        <v>44</v>
      </c>
      <c r="C465" s="6" t="s">
        <v>248</v>
      </c>
      <c r="D465" s="5">
        <v>44886</v>
      </c>
    </row>
    <row r="466" spans="2:4">
      <c r="B466" s="6" t="s">
        <v>30</v>
      </c>
      <c r="C466" s="6" t="s">
        <v>403</v>
      </c>
      <c r="D466" s="5">
        <v>44886</v>
      </c>
    </row>
    <row r="467" spans="2:4">
      <c r="B467" s="6" t="s">
        <v>37</v>
      </c>
      <c r="C467" s="6" t="s">
        <v>763</v>
      </c>
      <c r="D467" s="5">
        <v>44886</v>
      </c>
    </row>
    <row r="468" spans="2:4">
      <c r="B468" s="6" t="s">
        <v>334</v>
      </c>
      <c r="C468" s="6" t="s">
        <v>89</v>
      </c>
      <c r="D468" s="5">
        <v>44886</v>
      </c>
    </row>
    <row r="469" spans="2:4">
      <c r="B469" s="6" t="s">
        <v>392</v>
      </c>
      <c r="C469" s="6" t="s">
        <v>777</v>
      </c>
      <c r="D469" s="5">
        <v>44886</v>
      </c>
    </row>
    <row r="470" spans="2:4">
      <c r="B470" s="6" t="s">
        <v>393</v>
      </c>
      <c r="C470" s="6" t="s">
        <v>804</v>
      </c>
      <c r="D470" s="5">
        <v>44886</v>
      </c>
    </row>
    <row r="471" spans="2:4">
      <c r="B471" s="6" t="s">
        <v>423</v>
      </c>
      <c r="C471" s="6" t="s">
        <v>179</v>
      </c>
      <c r="D471" s="5">
        <v>44886</v>
      </c>
    </row>
    <row r="472" spans="2:4">
      <c r="B472" s="6" t="s">
        <v>198</v>
      </c>
      <c r="C472" s="6" t="s">
        <v>273</v>
      </c>
      <c r="D472" s="5">
        <v>44886</v>
      </c>
    </row>
    <row r="473" spans="2:4">
      <c r="B473" s="6" t="s">
        <v>145</v>
      </c>
      <c r="C473" s="6" t="s">
        <v>302</v>
      </c>
      <c r="D473" s="5">
        <v>44886</v>
      </c>
    </row>
    <row r="474" spans="2:4">
      <c r="B474" s="6" t="s">
        <v>166</v>
      </c>
      <c r="C474" s="6" t="s">
        <v>472</v>
      </c>
      <c r="D474" s="5">
        <v>44886</v>
      </c>
    </row>
    <row r="475" spans="2:4">
      <c r="B475" s="6" t="s">
        <v>154</v>
      </c>
      <c r="C475" s="6" t="s">
        <v>206</v>
      </c>
      <c r="D475" s="5">
        <v>44886</v>
      </c>
    </row>
    <row r="476" spans="2:4">
      <c r="B476" s="6" t="s">
        <v>167</v>
      </c>
      <c r="C476" s="6" t="s">
        <v>446</v>
      </c>
      <c r="D476" s="5">
        <v>44886</v>
      </c>
    </row>
    <row r="477" spans="2:4">
      <c r="B477" s="6" t="s">
        <v>164</v>
      </c>
      <c r="C477" s="6" t="s">
        <v>150</v>
      </c>
      <c r="D477" s="5">
        <v>44886</v>
      </c>
    </row>
    <row r="478" spans="2:4">
      <c r="B478" s="6" t="s">
        <v>63</v>
      </c>
      <c r="C478" s="6" t="s">
        <v>159</v>
      </c>
      <c r="D478" s="5">
        <v>44886</v>
      </c>
    </row>
    <row r="479" spans="2:4">
      <c r="B479" s="6" t="s">
        <v>70</v>
      </c>
      <c r="C479" s="6" t="s">
        <v>187</v>
      </c>
      <c r="D479" s="5">
        <v>44886</v>
      </c>
    </row>
    <row r="480" spans="2:4">
      <c r="B480" s="6" t="s">
        <v>163</v>
      </c>
      <c r="C480" s="6" t="s">
        <v>241</v>
      </c>
      <c r="D480" s="5">
        <v>44887</v>
      </c>
    </row>
    <row r="481" spans="2:4">
      <c r="B481" s="6" t="s">
        <v>451</v>
      </c>
      <c r="C481" s="6" t="s">
        <v>451</v>
      </c>
      <c r="D481" s="5">
        <v>44887</v>
      </c>
    </row>
    <row r="482" spans="2:4">
      <c r="B482" s="6" t="s">
        <v>451</v>
      </c>
      <c r="C482" s="6" t="s">
        <v>451</v>
      </c>
      <c r="D482" s="5">
        <v>44887</v>
      </c>
    </row>
    <row r="483" spans="2:4">
      <c r="B483" s="6" t="s">
        <v>451</v>
      </c>
      <c r="C483" s="6" t="s">
        <v>451</v>
      </c>
      <c r="D483" s="5">
        <v>44887</v>
      </c>
    </row>
    <row r="484" spans="2:4">
      <c r="B484" s="6" t="s">
        <v>451</v>
      </c>
      <c r="C484" s="6" t="s">
        <v>451</v>
      </c>
      <c r="D484" s="5">
        <v>44887</v>
      </c>
    </row>
    <row r="485" spans="2:4">
      <c r="B485" s="6" t="s">
        <v>451</v>
      </c>
      <c r="C485" s="6" t="s">
        <v>451</v>
      </c>
      <c r="D485" s="5">
        <v>44887</v>
      </c>
    </row>
    <row r="486" spans="2:4">
      <c r="B486" s="6" t="s">
        <v>415</v>
      </c>
      <c r="C486" s="6" t="s">
        <v>400</v>
      </c>
      <c r="D486" s="5">
        <v>44887</v>
      </c>
    </row>
    <row r="487" spans="2:4">
      <c r="B487" s="6" t="s">
        <v>247</v>
      </c>
      <c r="C487" s="6" t="s">
        <v>296</v>
      </c>
      <c r="D487" s="5">
        <v>44887</v>
      </c>
    </row>
    <row r="488" spans="2:4">
      <c r="B488" s="6" t="s">
        <v>336</v>
      </c>
      <c r="C488" s="6" t="s">
        <v>177</v>
      </c>
      <c r="D488" s="5">
        <v>44887</v>
      </c>
    </row>
    <row r="489" spans="2:4">
      <c r="B489" s="6" t="s">
        <v>451</v>
      </c>
      <c r="C489" s="6" t="s">
        <v>451</v>
      </c>
      <c r="D489" s="5">
        <v>44887</v>
      </c>
    </row>
    <row r="490" spans="2:4">
      <c r="B490" s="6" t="s">
        <v>451</v>
      </c>
      <c r="C490" s="6" t="s">
        <v>451</v>
      </c>
      <c r="D490" s="5">
        <v>44887</v>
      </c>
    </row>
    <row r="491" spans="2:4">
      <c r="B491" s="6" t="s">
        <v>451</v>
      </c>
      <c r="C491" s="6" t="s">
        <v>451</v>
      </c>
      <c r="D491" s="5">
        <v>44887</v>
      </c>
    </row>
    <row r="492" spans="2:4">
      <c r="B492" s="6" t="s">
        <v>208</v>
      </c>
      <c r="C492" s="6" t="s">
        <v>405</v>
      </c>
      <c r="D492" s="5">
        <v>44887</v>
      </c>
    </row>
    <row r="493" spans="2:4">
      <c r="B493" s="6" t="s">
        <v>191</v>
      </c>
      <c r="C493" s="6" t="s">
        <v>316</v>
      </c>
      <c r="D493" s="5">
        <v>44887</v>
      </c>
    </row>
    <row r="494" spans="2:4">
      <c r="B494" s="6" t="s">
        <v>179</v>
      </c>
      <c r="C494" s="6" t="s">
        <v>173</v>
      </c>
      <c r="D494" s="5">
        <v>44887</v>
      </c>
    </row>
    <row r="495" spans="2:4">
      <c r="B495" s="6" t="s">
        <v>131</v>
      </c>
      <c r="C495" s="6" t="s">
        <v>280</v>
      </c>
      <c r="D495" s="5">
        <v>44887</v>
      </c>
    </row>
    <row r="496" spans="2:4">
      <c r="B496" s="6" t="s">
        <v>451</v>
      </c>
      <c r="C496" s="6" t="s">
        <v>451</v>
      </c>
      <c r="D496" s="5">
        <v>44887</v>
      </c>
    </row>
    <row r="497" spans="2:4">
      <c r="B497" s="6" t="s">
        <v>125</v>
      </c>
      <c r="C497" s="6" t="s">
        <v>211</v>
      </c>
      <c r="D497" s="5">
        <v>44887</v>
      </c>
    </row>
    <row r="498" spans="2:4">
      <c r="B498" s="6" t="s">
        <v>451</v>
      </c>
      <c r="C498" s="6" t="s">
        <v>451</v>
      </c>
      <c r="D498" s="5">
        <v>44887</v>
      </c>
    </row>
    <row r="499" spans="2:4">
      <c r="B499" s="6" t="s">
        <v>451</v>
      </c>
      <c r="C499" s="6" t="s">
        <v>451</v>
      </c>
      <c r="D499" s="5">
        <v>44887</v>
      </c>
    </row>
    <row r="500" spans="2:4">
      <c r="B500" s="6" t="s">
        <v>451</v>
      </c>
      <c r="C500" s="6" t="s">
        <v>451</v>
      </c>
      <c r="D500" s="5">
        <v>44887</v>
      </c>
    </row>
    <row r="501" spans="2:4">
      <c r="B501" s="6" t="s">
        <v>119</v>
      </c>
      <c r="C501" s="6" t="s">
        <v>83</v>
      </c>
      <c r="D501" s="5">
        <v>44887</v>
      </c>
    </row>
    <row r="502" spans="2:4">
      <c r="B502" s="6" t="s">
        <v>122</v>
      </c>
      <c r="C502" s="6" t="s">
        <v>631</v>
      </c>
      <c r="D502" s="5">
        <v>44887</v>
      </c>
    </row>
    <row r="503" spans="2:4">
      <c r="B503" s="6" t="s">
        <v>268</v>
      </c>
      <c r="C503" s="6" t="s">
        <v>454</v>
      </c>
      <c r="D503" s="5">
        <v>44887</v>
      </c>
    </row>
    <row r="504" spans="2:4">
      <c r="B504" s="6" t="s">
        <v>640</v>
      </c>
      <c r="C504" s="6" t="s">
        <v>586</v>
      </c>
      <c r="D504" s="5">
        <v>44887</v>
      </c>
    </row>
    <row r="505" spans="2:4">
      <c r="B505" s="6" t="s">
        <v>367</v>
      </c>
      <c r="C505" s="6" t="s">
        <v>250</v>
      </c>
      <c r="D505" s="5">
        <v>44887</v>
      </c>
    </row>
    <row r="506" spans="2:4">
      <c r="B506" s="6" t="s">
        <v>451</v>
      </c>
      <c r="C506" s="6" t="s">
        <v>451</v>
      </c>
      <c r="D506" s="5">
        <v>44887</v>
      </c>
    </row>
    <row r="507" spans="2:4">
      <c r="B507" s="6" t="s">
        <v>46</v>
      </c>
      <c r="C507" s="6" t="s">
        <v>288</v>
      </c>
      <c r="D507" s="5">
        <v>44887</v>
      </c>
    </row>
    <row r="508" spans="2:4">
      <c r="B508" s="6" t="s">
        <v>194</v>
      </c>
      <c r="C508" s="6" t="s">
        <v>632</v>
      </c>
      <c r="D508" s="5">
        <v>44887</v>
      </c>
    </row>
    <row r="509" spans="2:4">
      <c r="B509" s="6" t="s">
        <v>304</v>
      </c>
      <c r="C509" s="6" t="s">
        <v>556</v>
      </c>
      <c r="D509" s="5">
        <v>44887</v>
      </c>
    </row>
    <row r="510" spans="2:4">
      <c r="B510" s="6" t="s">
        <v>305</v>
      </c>
      <c r="C510" s="6" t="s">
        <v>597</v>
      </c>
      <c r="D510" s="5">
        <v>44887</v>
      </c>
    </row>
    <row r="511" spans="2:4">
      <c r="B511" s="6" t="s">
        <v>353</v>
      </c>
      <c r="C511" s="6" t="s">
        <v>129</v>
      </c>
      <c r="D511" s="5">
        <v>44887</v>
      </c>
    </row>
    <row r="512" spans="2:4">
      <c r="B512" s="6" t="s">
        <v>123</v>
      </c>
      <c r="C512" s="6" t="s">
        <v>116</v>
      </c>
      <c r="D512" s="5">
        <v>44887</v>
      </c>
    </row>
    <row r="513" spans="2:4">
      <c r="B513" s="6" t="s">
        <v>267</v>
      </c>
      <c r="C513" s="6" t="s">
        <v>301</v>
      </c>
      <c r="D513" s="5">
        <v>44887</v>
      </c>
    </row>
    <row r="514" spans="2:4">
      <c r="B514" s="6" t="s">
        <v>337</v>
      </c>
      <c r="C514" s="6" t="s">
        <v>236</v>
      </c>
      <c r="D514" s="5">
        <v>44887</v>
      </c>
    </row>
    <row r="515" spans="2:4">
      <c r="B515" s="6" t="s">
        <v>349</v>
      </c>
      <c r="C515" s="6" t="s">
        <v>590</v>
      </c>
      <c r="D515" s="5">
        <v>44887</v>
      </c>
    </row>
    <row r="516" spans="2:4">
      <c r="B516" s="6" t="s">
        <v>100</v>
      </c>
      <c r="C516" s="6" t="s">
        <v>205</v>
      </c>
      <c r="D516" s="5">
        <v>44887</v>
      </c>
    </row>
    <row r="517" spans="2:4">
      <c r="B517" s="6" t="s">
        <v>451</v>
      </c>
      <c r="C517" s="6" t="s">
        <v>451</v>
      </c>
      <c r="D517" s="5">
        <v>44887</v>
      </c>
    </row>
    <row r="518" spans="2:4">
      <c r="B518" s="6" t="s">
        <v>252</v>
      </c>
      <c r="C518" s="6" t="s">
        <v>615</v>
      </c>
      <c r="D518" s="5">
        <v>44887</v>
      </c>
    </row>
    <row r="519" spans="2:4">
      <c r="B519" s="6" t="s">
        <v>310</v>
      </c>
      <c r="C519" s="6" t="s">
        <v>239</v>
      </c>
      <c r="D519" s="5">
        <v>44887</v>
      </c>
    </row>
    <row r="520" spans="2:4">
      <c r="B520" s="6" t="s">
        <v>64</v>
      </c>
      <c r="C520" s="6" t="s">
        <v>117</v>
      </c>
      <c r="D520" s="5">
        <v>44887</v>
      </c>
    </row>
    <row r="521" spans="2:4">
      <c r="B521" s="6" t="s">
        <v>321</v>
      </c>
      <c r="C521" s="6" t="s">
        <v>542</v>
      </c>
      <c r="D521" s="5">
        <v>44887</v>
      </c>
    </row>
    <row r="522" spans="2:4">
      <c r="B522" s="6" t="s">
        <v>206</v>
      </c>
      <c r="C522" s="6" t="s">
        <v>345</v>
      </c>
      <c r="D522" s="5">
        <v>44887</v>
      </c>
    </row>
    <row r="523" spans="2:4">
      <c r="B523" s="6" t="s">
        <v>295</v>
      </c>
      <c r="C523" s="6" t="s">
        <v>503</v>
      </c>
      <c r="D523" s="5">
        <v>44887</v>
      </c>
    </row>
    <row r="524" spans="2:4">
      <c r="B524" s="6" t="s">
        <v>344</v>
      </c>
      <c r="C524" s="6" t="s">
        <v>403</v>
      </c>
      <c r="D524" s="5">
        <v>44887</v>
      </c>
    </row>
    <row r="525" spans="2:4">
      <c r="B525" s="6" t="s">
        <v>451</v>
      </c>
      <c r="C525" s="6" t="s">
        <v>451</v>
      </c>
      <c r="D525" s="5">
        <v>44887</v>
      </c>
    </row>
    <row r="526" spans="2:4">
      <c r="B526" s="6" t="s">
        <v>451</v>
      </c>
      <c r="C526" s="6" t="s">
        <v>451</v>
      </c>
      <c r="D526" s="5">
        <v>44887</v>
      </c>
    </row>
    <row r="527" spans="2:4">
      <c r="B527" s="6" t="s">
        <v>135</v>
      </c>
      <c r="C527" s="6" t="s">
        <v>447</v>
      </c>
      <c r="D527" s="5">
        <v>44887</v>
      </c>
    </row>
    <row r="528" spans="2:4">
      <c r="B528" s="6" t="s">
        <v>319</v>
      </c>
      <c r="C528" s="6" t="s">
        <v>459</v>
      </c>
      <c r="D528" s="5">
        <v>44887</v>
      </c>
    </row>
    <row r="529" spans="2:4">
      <c r="B529" s="6" t="s">
        <v>332</v>
      </c>
      <c r="C529" s="6" t="s">
        <v>549</v>
      </c>
      <c r="D529" s="5">
        <v>44887</v>
      </c>
    </row>
    <row r="530" spans="2:4">
      <c r="B530" s="6" t="s">
        <v>426</v>
      </c>
      <c r="C530" s="6" t="s">
        <v>633</v>
      </c>
      <c r="D530" s="5">
        <v>44887</v>
      </c>
    </row>
    <row r="531" spans="2:4">
      <c r="B531" s="6" t="s">
        <v>335</v>
      </c>
      <c r="C531" s="6" t="s">
        <v>361</v>
      </c>
      <c r="D531" s="5">
        <v>44887</v>
      </c>
    </row>
    <row r="532" spans="2:4">
      <c r="B532" s="6" t="s">
        <v>196</v>
      </c>
      <c r="C532" s="6" t="s">
        <v>634</v>
      </c>
      <c r="D532" s="5">
        <v>44887</v>
      </c>
    </row>
    <row r="533" spans="2:4">
      <c r="B533" s="6" t="s">
        <v>368</v>
      </c>
      <c r="C533" s="6" t="s">
        <v>399</v>
      </c>
      <c r="D533" s="5">
        <v>44887</v>
      </c>
    </row>
    <row r="534" spans="2:4">
      <c r="B534" s="6" t="s">
        <v>451</v>
      </c>
      <c r="C534" s="6" t="s">
        <v>451</v>
      </c>
      <c r="D534" s="5">
        <v>44887</v>
      </c>
    </row>
    <row r="535" spans="2:4">
      <c r="B535" s="6" t="s">
        <v>341</v>
      </c>
      <c r="C535" s="6" t="s">
        <v>365</v>
      </c>
      <c r="D535" s="5">
        <v>44887</v>
      </c>
    </row>
    <row r="536" spans="2:4">
      <c r="B536" s="6" t="s">
        <v>137</v>
      </c>
      <c r="C536" s="6" t="s">
        <v>419</v>
      </c>
      <c r="D536" s="5">
        <v>44887</v>
      </c>
    </row>
    <row r="537" spans="2:4">
      <c r="B537" s="6" t="s">
        <v>451</v>
      </c>
      <c r="C537" s="6" t="s">
        <v>451</v>
      </c>
      <c r="D537" s="5">
        <v>44887</v>
      </c>
    </row>
    <row r="538" spans="2:4">
      <c r="B538" s="6" t="s">
        <v>68</v>
      </c>
      <c r="C538" s="6" t="s">
        <v>201</v>
      </c>
      <c r="D538" s="5">
        <v>44887</v>
      </c>
    </row>
    <row r="539" spans="2:4">
      <c r="B539" s="6" t="s">
        <v>49</v>
      </c>
      <c r="C539" s="6" t="s">
        <v>410</v>
      </c>
      <c r="D539" s="5">
        <v>44887</v>
      </c>
    </row>
    <row r="540" spans="2:4">
      <c r="B540" s="6" t="s">
        <v>190</v>
      </c>
      <c r="C540" s="6" t="s">
        <v>635</v>
      </c>
      <c r="D540" s="5">
        <v>44887</v>
      </c>
    </row>
    <row r="541" spans="2:4">
      <c r="B541" s="6" t="s">
        <v>168</v>
      </c>
      <c r="C541" s="6" t="s">
        <v>184</v>
      </c>
      <c r="D541" s="5">
        <v>44887</v>
      </c>
    </row>
    <row r="542" spans="2:4">
      <c r="B542" s="6" t="s">
        <v>376</v>
      </c>
      <c r="C542" s="6" t="s">
        <v>156</v>
      </c>
      <c r="D542" s="5">
        <v>44887</v>
      </c>
    </row>
    <row r="543" spans="2:4">
      <c r="B543" s="6" t="s">
        <v>719</v>
      </c>
      <c r="C543" s="6" t="s">
        <v>382</v>
      </c>
      <c r="D543" s="5">
        <v>44887</v>
      </c>
    </row>
    <row r="544" spans="2:4">
      <c r="B544" s="6" t="s">
        <v>451</v>
      </c>
      <c r="C544" s="6" t="s">
        <v>451</v>
      </c>
      <c r="D544" s="5">
        <v>44887</v>
      </c>
    </row>
    <row r="545" spans="2:4">
      <c r="B545" s="6" t="s">
        <v>621</v>
      </c>
      <c r="C545" s="6" t="s">
        <v>387</v>
      </c>
      <c r="D545" s="5">
        <v>44887</v>
      </c>
    </row>
    <row r="546" spans="2:4">
      <c r="B546" s="6" t="s">
        <v>266</v>
      </c>
      <c r="C546" s="6" t="s">
        <v>154</v>
      </c>
      <c r="D546" s="5">
        <v>44887</v>
      </c>
    </row>
    <row r="547" spans="2:4">
      <c r="B547" s="6" t="s">
        <v>427</v>
      </c>
      <c r="C547" s="6" t="s">
        <v>233</v>
      </c>
      <c r="D547" s="5">
        <v>44887</v>
      </c>
    </row>
    <row r="548" spans="2:4">
      <c r="B548" s="6" t="s">
        <v>141</v>
      </c>
      <c r="C548" s="6" t="s">
        <v>389</v>
      </c>
      <c r="D548" s="5">
        <v>44887</v>
      </c>
    </row>
    <row r="549" spans="2:4">
      <c r="B549" s="6" t="s">
        <v>451</v>
      </c>
      <c r="C549" s="6" t="s">
        <v>451</v>
      </c>
      <c r="D549" s="5">
        <v>44887</v>
      </c>
    </row>
    <row r="550" spans="2:4">
      <c r="B550" s="6" t="s">
        <v>451</v>
      </c>
      <c r="C550" s="6" t="s">
        <v>451</v>
      </c>
      <c r="D550" s="5">
        <v>44888</v>
      </c>
    </row>
    <row r="551" spans="2:4">
      <c r="B551" s="6" t="s">
        <v>451</v>
      </c>
      <c r="C551" s="6" t="s">
        <v>451</v>
      </c>
      <c r="D551" s="5">
        <v>44888</v>
      </c>
    </row>
    <row r="552" spans="2:4">
      <c r="B552" s="6" t="s">
        <v>451</v>
      </c>
      <c r="C552" s="6" t="s">
        <v>451</v>
      </c>
      <c r="D552" s="5">
        <v>44888</v>
      </c>
    </row>
    <row r="553" spans="2:4">
      <c r="B553" s="6" t="s">
        <v>451</v>
      </c>
      <c r="C553" s="6" t="s">
        <v>451</v>
      </c>
      <c r="D553" s="5">
        <v>44888</v>
      </c>
    </row>
    <row r="554" spans="2:4">
      <c r="B554" s="6" t="s">
        <v>422</v>
      </c>
      <c r="C554" s="6" t="s">
        <v>182</v>
      </c>
      <c r="D554" s="5">
        <v>44888</v>
      </c>
    </row>
    <row r="555" spans="2:4">
      <c r="B555" s="6" t="s">
        <v>451</v>
      </c>
      <c r="C555" s="6" t="s">
        <v>451</v>
      </c>
      <c r="D555" s="5">
        <v>44888</v>
      </c>
    </row>
    <row r="556" spans="2:4">
      <c r="B556" s="6" t="s">
        <v>451</v>
      </c>
      <c r="C556" s="6" t="s">
        <v>451</v>
      </c>
      <c r="D556" s="5">
        <v>44888</v>
      </c>
    </row>
    <row r="557" spans="2:4">
      <c r="B557" s="6" t="s">
        <v>26</v>
      </c>
      <c r="C557" s="6" t="s">
        <v>770</v>
      </c>
      <c r="D557" s="5">
        <v>44888</v>
      </c>
    </row>
    <row r="558" spans="2:4">
      <c r="B558" s="6" t="s">
        <v>451</v>
      </c>
      <c r="C558" s="6" t="s">
        <v>451</v>
      </c>
      <c r="D558" s="5">
        <v>44888</v>
      </c>
    </row>
    <row r="559" spans="2:4">
      <c r="B559" s="6" t="s">
        <v>103</v>
      </c>
      <c r="C559" s="6" t="s">
        <v>263</v>
      </c>
      <c r="D559" s="5">
        <v>44888</v>
      </c>
    </row>
    <row r="560" spans="2:4">
      <c r="B560" s="6" t="s">
        <v>397</v>
      </c>
      <c r="C560" s="6" t="s">
        <v>347</v>
      </c>
      <c r="D560" s="5">
        <v>44888</v>
      </c>
    </row>
    <row r="561" spans="2:4">
      <c r="B561" s="6" t="s">
        <v>451</v>
      </c>
      <c r="C561" s="6" t="s">
        <v>451</v>
      </c>
      <c r="D561" s="5">
        <v>44888</v>
      </c>
    </row>
    <row r="562" spans="2:4">
      <c r="B562" s="6" t="s">
        <v>451</v>
      </c>
      <c r="C562" s="6" t="s">
        <v>451</v>
      </c>
      <c r="D562" s="5">
        <v>44888</v>
      </c>
    </row>
    <row r="563" spans="2:4">
      <c r="B563" s="6" t="s">
        <v>451</v>
      </c>
      <c r="C563" s="6" t="s">
        <v>451</v>
      </c>
      <c r="D563" s="5">
        <v>44888</v>
      </c>
    </row>
    <row r="564" spans="2:4">
      <c r="B564" s="6" t="s">
        <v>126</v>
      </c>
      <c r="C564" s="6" t="s">
        <v>138</v>
      </c>
      <c r="D564" s="5">
        <v>44888</v>
      </c>
    </row>
    <row r="565" spans="2:4">
      <c r="B565" s="6" t="s">
        <v>413</v>
      </c>
      <c r="C565" s="6" t="s">
        <v>202</v>
      </c>
      <c r="D565" s="5">
        <v>44888</v>
      </c>
    </row>
    <row r="566" spans="2:4">
      <c r="B566" s="6" t="s">
        <v>65</v>
      </c>
      <c r="C566" s="6" t="s">
        <v>214</v>
      </c>
      <c r="D566" s="5">
        <v>44888</v>
      </c>
    </row>
    <row r="567" spans="2:4">
      <c r="B567" s="6" t="s">
        <v>451</v>
      </c>
      <c r="C567" s="6" t="s">
        <v>451</v>
      </c>
      <c r="D567" s="5">
        <v>44888</v>
      </c>
    </row>
    <row r="568" spans="2:4">
      <c r="B568" s="6" t="s">
        <v>102</v>
      </c>
      <c r="C568" s="6" t="s">
        <v>139</v>
      </c>
      <c r="D568" s="5">
        <v>44888</v>
      </c>
    </row>
    <row r="569" spans="2:4">
      <c r="B569" s="6" t="s">
        <v>204</v>
      </c>
      <c r="C569" s="6" t="s">
        <v>636</v>
      </c>
      <c r="D569" s="5">
        <v>44888</v>
      </c>
    </row>
    <row r="570" spans="2:4">
      <c r="B570" s="6" t="s">
        <v>358</v>
      </c>
      <c r="C570" s="6" t="s">
        <v>348</v>
      </c>
      <c r="D570" s="5">
        <v>44888</v>
      </c>
    </row>
    <row r="571" spans="2:4">
      <c r="B571" s="6" t="s">
        <v>396</v>
      </c>
      <c r="C571" s="6" t="s">
        <v>238</v>
      </c>
      <c r="D571" s="5">
        <v>44888</v>
      </c>
    </row>
    <row r="572" spans="2:4">
      <c r="B572" s="6" t="s">
        <v>172</v>
      </c>
      <c r="C572" s="6" t="s">
        <v>151</v>
      </c>
      <c r="D572" s="5">
        <v>44888</v>
      </c>
    </row>
    <row r="573" spans="2:4">
      <c r="B573" s="6" t="s">
        <v>134</v>
      </c>
      <c r="C573" s="6" t="s">
        <v>282</v>
      </c>
      <c r="D573" s="5">
        <v>44888</v>
      </c>
    </row>
    <row r="574" spans="2:4">
      <c r="B574" s="6" t="s">
        <v>451</v>
      </c>
      <c r="C574" s="6" t="s">
        <v>451</v>
      </c>
      <c r="D574" s="5">
        <v>44888</v>
      </c>
    </row>
    <row r="575" spans="2:4">
      <c r="B575" s="6" t="s">
        <v>246</v>
      </c>
      <c r="C575" s="6" t="s">
        <v>174</v>
      </c>
      <c r="D575" s="5">
        <v>44888</v>
      </c>
    </row>
    <row r="576" spans="2:4">
      <c r="B576" s="6" t="s">
        <v>80</v>
      </c>
      <c r="C576" s="6" t="s">
        <v>354</v>
      </c>
      <c r="D576" s="5">
        <v>44888</v>
      </c>
    </row>
    <row r="577" spans="2:4">
      <c r="B577" s="6" t="s">
        <v>28</v>
      </c>
      <c r="C577" s="6" t="s">
        <v>342</v>
      </c>
      <c r="D577" s="5">
        <v>44888</v>
      </c>
    </row>
    <row r="578" spans="2:4">
      <c r="B578" s="6" t="s">
        <v>298</v>
      </c>
      <c r="C578" s="6" t="s">
        <v>120</v>
      </c>
      <c r="D578" s="5">
        <v>44888</v>
      </c>
    </row>
    <row r="579" spans="2:4">
      <c r="B579" s="6" t="s">
        <v>266</v>
      </c>
      <c r="C579" s="6" t="s">
        <v>206</v>
      </c>
      <c r="D579" s="5">
        <v>44888</v>
      </c>
    </row>
    <row r="580" spans="2:4">
      <c r="B580" s="6" t="s">
        <v>104</v>
      </c>
      <c r="C580" s="6" t="s">
        <v>128</v>
      </c>
      <c r="D580" s="5">
        <v>44888</v>
      </c>
    </row>
    <row r="581" spans="2:4">
      <c r="B581" s="6" t="s">
        <v>255</v>
      </c>
      <c r="C581" s="6" t="s">
        <v>243</v>
      </c>
      <c r="D581" s="5">
        <v>44888</v>
      </c>
    </row>
    <row r="582" spans="2:4">
      <c r="B582" s="6" t="s">
        <v>451</v>
      </c>
      <c r="C582" s="6" t="s">
        <v>451</v>
      </c>
      <c r="D582" s="5">
        <v>44888</v>
      </c>
    </row>
    <row r="583" spans="2:4">
      <c r="B583" s="6" t="s">
        <v>451</v>
      </c>
      <c r="C583" s="6" t="s">
        <v>451</v>
      </c>
      <c r="D583" s="5">
        <v>44888</v>
      </c>
    </row>
    <row r="584" spans="2:4">
      <c r="B584" s="6" t="s">
        <v>451</v>
      </c>
      <c r="C584" s="6" t="s">
        <v>451</v>
      </c>
      <c r="D584" s="5">
        <v>44888</v>
      </c>
    </row>
    <row r="585" spans="2:4">
      <c r="B585" s="6" t="s">
        <v>74</v>
      </c>
      <c r="C585" s="6" t="s">
        <v>157</v>
      </c>
      <c r="D585" s="5">
        <v>44888</v>
      </c>
    </row>
    <row r="586" spans="2:4">
      <c r="B586" s="6" t="s">
        <v>432</v>
      </c>
      <c r="C586" s="6" t="s">
        <v>180</v>
      </c>
      <c r="D586" s="5">
        <v>44888</v>
      </c>
    </row>
    <row r="587" spans="2:4">
      <c r="B587" s="6" t="s">
        <v>640</v>
      </c>
      <c r="C587" s="6" t="s">
        <v>156</v>
      </c>
      <c r="D587" s="5">
        <v>44888</v>
      </c>
    </row>
    <row r="588" spans="2:4">
      <c r="B588" s="6" t="s">
        <v>198</v>
      </c>
      <c r="C588" s="6" t="s">
        <v>303</v>
      </c>
      <c r="D588" s="5">
        <v>44888</v>
      </c>
    </row>
    <row r="589" spans="2:4">
      <c r="B589" s="6" t="s">
        <v>451</v>
      </c>
      <c r="C589" s="6" t="s">
        <v>451</v>
      </c>
      <c r="D589" s="5">
        <v>44888</v>
      </c>
    </row>
    <row r="590" spans="2:4">
      <c r="B590" s="6" t="s">
        <v>451</v>
      </c>
      <c r="C590" s="6" t="s">
        <v>451</v>
      </c>
      <c r="D590" s="5">
        <v>44888</v>
      </c>
    </row>
    <row r="591" spans="2:4">
      <c r="B591" s="6" t="s">
        <v>610</v>
      </c>
      <c r="C591" s="6" t="s">
        <v>637</v>
      </c>
      <c r="D591" s="5">
        <v>44888</v>
      </c>
    </row>
    <row r="592" spans="2:4">
      <c r="B592" s="6" t="s">
        <v>62</v>
      </c>
      <c r="C592" s="6" t="s">
        <v>240</v>
      </c>
      <c r="D592" s="5">
        <v>44888</v>
      </c>
    </row>
    <row r="593" spans="2:4">
      <c r="B593" s="6" t="s">
        <v>345</v>
      </c>
      <c r="C593" s="6" t="s">
        <v>154</v>
      </c>
      <c r="D593" s="5">
        <v>44888</v>
      </c>
    </row>
    <row r="594" spans="2:4">
      <c r="B594" s="6" t="s">
        <v>48</v>
      </c>
      <c r="C594" s="6" t="s">
        <v>587</v>
      </c>
      <c r="D594" s="5">
        <v>44888</v>
      </c>
    </row>
    <row r="595" spans="2:4">
      <c r="B595" s="6" t="s">
        <v>244</v>
      </c>
      <c r="C595" s="6" t="s">
        <v>638</v>
      </c>
      <c r="D595" s="5">
        <v>44888</v>
      </c>
    </row>
    <row r="596" spans="2:4">
      <c r="B596" s="6" t="s">
        <v>160</v>
      </c>
      <c r="C596" s="6" t="s">
        <v>554</v>
      </c>
      <c r="D596" s="5">
        <v>44888</v>
      </c>
    </row>
    <row r="597" spans="2:4">
      <c r="B597" s="6" t="s">
        <v>338</v>
      </c>
      <c r="C597" s="6" t="s">
        <v>458</v>
      </c>
      <c r="D597" s="5">
        <v>44888</v>
      </c>
    </row>
    <row r="598" spans="2:4">
      <c r="B598" s="6" t="s">
        <v>207</v>
      </c>
      <c r="C598" s="6" t="s">
        <v>158</v>
      </c>
      <c r="D598" s="5">
        <v>44888</v>
      </c>
    </row>
    <row r="599" spans="2:4">
      <c r="B599" s="6" t="s">
        <v>274</v>
      </c>
      <c r="C599" s="6" t="s">
        <v>99</v>
      </c>
      <c r="D599" s="5">
        <v>44888</v>
      </c>
    </row>
    <row r="600" spans="2:4">
      <c r="B600" s="6" t="s">
        <v>411</v>
      </c>
      <c r="C600" s="6" t="s">
        <v>213</v>
      </c>
      <c r="D600" s="5">
        <v>44888</v>
      </c>
    </row>
    <row r="601" spans="2:4">
      <c r="B601" s="6" t="s">
        <v>284</v>
      </c>
      <c r="C601" s="6" t="s">
        <v>314</v>
      </c>
      <c r="D601" s="5">
        <v>44888</v>
      </c>
    </row>
    <row r="602" spans="2:4">
      <c r="B602" s="6" t="s">
        <v>107</v>
      </c>
      <c r="C602" s="6" t="s">
        <v>269</v>
      </c>
      <c r="D602" s="5">
        <v>44888</v>
      </c>
    </row>
    <row r="603" spans="2:4">
      <c r="B603" s="6" t="s">
        <v>436</v>
      </c>
      <c r="C603" s="6" t="s">
        <v>286</v>
      </c>
      <c r="D603" s="5">
        <v>44888</v>
      </c>
    </row>
    <row r="604" spans="2:4">
      <c r="B604" s="6" t="s">
        <v>40</v>
      </c>
      <c r="C604" s="6" t="s">
        <v>175</v>
      </c>
      <c r="D604" s="5">
        <v>44888</v>
      </c>
    </row>
    <row r="605" spans="2:4">
      <c r="B605" s="6" t="s">
        <v>87</v>
      </c>
      <c r="C605" s="6" t="s">
        <v>294</v>
      </c>
      <c r="D605" s="5">
        <v>44888</v>
      </c>
    </row>
    <row r="606" spans="2:4">
      <c r="B606" s="6" t="s">
        <v>86</v>
      </c>
      <c r="C606" s="6" t="s">
        <v>42</v>
      </c>
      <c r="D606" s="5">
        <v>44888</v>
      </c>
    </row>
    <row r="607" spans="2:4">
      <c r="B607" s="6" t="s">
        <v>451</v>
      </c>
      <c r="C607" s="6" t="s">
        <v>451</v>
      </c>
      <c r="D607" s="5">
        <v>44888</v>
      </c>
    </row>
    <row r="608" spans="2:4">
      <c r="B608" s="6" t="s">
        <v>451</v>
      </c>
      <c r="C608" s="6" t="s">
        <v>451</v>
      </c>
      <c r="D608" s="5">
        <v>44888</v>
      </c>
    </row>
    <row r="609" spans="2:4">
      <c r="B609" s="6" t="s">
        <v>451</v>
      </c>
      <c r="C609" s="6" t="s">
        <v>451</v>
      </c>
      <c r="D609" s="5">
        <v>44888</v>
      </c>
    </row>
    <row r="610" spans="2:4">
      <c r="B610" s="6" t="s">
        <v>308</v>
      </c>
      <c r="C610" s="6" t="s">
        <v>373</v>
      </c>
      <c r="D610" s="5">
        <v>44888</v>
      </c>
    </row>
    <row r="611" spans="2:4">
      <c r="B611" s="6" t="s">
        <v>603</v>
      </c>
      <c r="C611" s="6" t="s">
        <v>153</v>
      </c>
      <c r="D611" s="5">
        <v>44888</v>
      </c>
    </row>
    <row r="612" spans="2:4">
      <c r="B612" s="6" t="s">
        <v>133</v>
      </c>
      <c r="C612" s="6" t="s">
        <v>447</v>
      </c>
      <c r="D612" s="5">
        <v>44888</v>
      </c>
    </row>
    <row r="613" spans="2:4">
      <c r="B613" s="6" t="s">
        <v>59</v>
      </c>
      <c r="C613" s="6" t="s">
        <v>364</v>
      </c>
      <c r="D613" s="5">
        <v>44888</v>
      </c>
    </row>
    <row r="614" spans="2:4">
      <c r="B614" s="6" t="s">
        <v>451</v>
      </c>
      <c r="C614" s="6" t="s">
        <v>451</v>
      </c>
      <c r="D614" s="5">
        <v>44888</v>
      </c>
    </row>
    <row r="615" spans="2:4">
      <c r="B615" s="6" t="s">
        <v>451</v>
      </c>
      <c r="C615" s="6" t="s">
        <v>451</v>
      </c>
      <c r="D615" s="5">
        <v>44888</v>
      </c>
    </row>
    <row r="616" spans="2:4">
      <c r="B616" s="6" t="s">
        <v>53</v>
      </c>
      <c r="C616" s="6" t="s">
        <v>276</v>
      </c>
      <c r="D616" s="5">
        <v>44888</v>
      </c>
    </row>
    <row r="617" spans="2:4">
      <c r="B617" s="6" t="s">
        <v>376</v>
      </c>
      <c r="C617" s="6" t="s">
        <v>586</v>
      </c>
      <c r="D617" s="5">
        <v>44888</v>
      </c>
    </row>
    <row r="618" spans="2:4">
      <c r="B618" s="6" t="s">
        <v>423</v>
      </c>
      <c r="C618" s="6" t="s">
        <v>173</v>
      </c>
      <c r="D618" s="5">
        <v>44888</v>
      </c>
    </row>
    <row r="619" spans="2:4">
      <c r="B619" s="6" t="s">
        <v>71</v>
      </c>
      <c r="C619" s="6" t="s">
        <v>394</v>
      </c>
      <c r="D619" s="5">
        <v>44888</v>
      </c>
    </row>
    <row r="620" spans="2:4">
      <c r="B620" s="6" t="s">
        <v>424</v>
      </c>
      <c r="C620" s="6" t="s">
        <v>490</v>
      </c>
      <c r="D620" s="5">
        <v>44888</v>
      </c>
    </row>
    <row r="621" spans="2:4">
      <c r="B621" s="6" t="s">
        <v>451</v>
      </c>
      <c r="C621" s="6" t="s">
        <v>451</v>
      </c>
      <c r="D621" s="5">
        <v>44888</v>
      </c>
    </row>
    <row r="622" spans="2:4">
      <c r="B622" s="6" t="s">
        <v>75</v>
      </c>
      <c r="C622" s="6" t="s">
        <v>165</v>
      </c>
      <c r="D622" s="5">
        <v>44888</v>
      </c>
    </row>
    <row r="623" spans="2:4">
      <c r="B623" s="6" t="s">
        <v>451</v>
      </c>
      <c r="C623" s="6" t="s">
        <v>451</v>
      </c>
      <c r="D623" s="5">
        <v>44888</v>
      </c>
    </row>
    <row r="624" spans="2:4">
      <c r="B624" s="6" t="s">
        <v>41</v>
      </c>
      <c r="C624" s="6" t="s">
        <v>360</v>
      </c>
      <c r="D624" s="5">
        <v>44888</v>
      </c>
    </row>
    <row r="625" spans="2:4">
      <c r="B625" s="6" t="s">
        <v>185</v>
      </c>
      <c r="C625" s="6" t="s">
        <v>398</v>
      </c>
      <c r="D625" s="5">
        <v>44888</v>
      </c>
    </row>
    <row r="626" spans="2:4">
      <c r="B626" s="6" t="s">
        <v>451</v>
      </c>
      <c r="C626" s="6" t="s">
        <v>451</v>
      </c>
      <c r="D626" s="5">
        <v>44889</v>
      </c>
    </row>
    <row r="627" spans="2:4">
      <c r="B627" s="6" t="s">
        <v>130</v>
      </c>
      <c r="C627" s="6" t="s">
        <v>737</v>
      </c>
      <c r="D627" s="5">
        <v>44889</v>
      </c>
    </row>
    <row r="628" spans="2:4">
      <c r="B628" s="6" t="s">
        <v>451</v>
      </c>
      <c r="C628" s="6" t="s">
        <v>451</v>
      </c>
      <c r="D628" s="5">
        <v>44889</v>
      </c>
    </row>
    <row r="629" spans="2:4">
      <c r="B629" s="6" t="s">
        <v>272</v>
      </c>
      <c r="C629" s="6" t="s">
        <v>230</v>
      </c>
      <c r="D629" s="5">
        <v>44889</v>
      </c>
    </row>
    <row r="630" spans="2:4">
      <c r="B630" s="6" t="s">
        <v>161</v>
      </c>
      <c r="C630" s="6" t="s">
        <v>251</v>
      </c>
      <c r="D630" s="5">
        <v>44889</v>
      </c>
    </row>
    <row r="631" spans="2:4">
      <c r="B631" s="6" t="s">
        <v>451</v>
      </c>
      <c r="C631" s="6" t="s">
        <v>451</v>
      </c>
      <c r="D631" s="5">
        <v>44889</v>
      </c>
    </row>
    <row r="632" spans="2:4">
      <c r="B632" s="6" t="s">
        <v>93</v>
      </c>
      <c r="C632" s="6" t="s">
        <v>762</v>
      </c>
      <c r="D632" s="5">
        <v>44889</v>
      </c>
    </row>
    <row r="633" spans="2:4">
      <c r="B633" s="6" t="s">
        <v>97</v>
      </c>
      <c r="C633" s="6" t="s">
        <v>148</v>
      </c>
      <c r="D633" s="5">
        <v>44889</v>
      </c>
    </row>
    <row r="634" spans="2:4">
      <c r="B634" s="6" t="s">
        <v>779</v>
      </c>
      <c r="C634" s="6" t="s">
        <v>44</v>
      </c>
      <c r="D634" s="5">
        <v>44889</v>
      </c>
    </row>
    <row r="635" spans="2:4">
      <c r="B635" s="6" t="s">
        <v>282</v>
      </c>
      <c r="C635" s="6" t="s">
        <v>151</v>
      </c>
      <c r="D635" s="5">
        <v>44889</v>
      </c>
    </row>
    <row r="636" spans="2:4">
      <c r="B636" s="6" t="s">
        <v>134</v>
      </c>
      <c r="C636" s="6" t="s">
        <v>172</v>
      </c>
      <c r="D636" s="5">
        <v>44889</v>
      </c>
    </row>
    <row r="637" spans="2:4">
      <c r="B637" s="6" t="s">
        <v>35</v>
      </c>
      <c r="C637" s="6" t="s">
        <v>747</v>
      </c>
      <c r="D637" s="5">
        <v>44889</v>
      </c>
    </row>
    <row r="638" spans="2:4">
      <c r="B638" s="6" t="s">
        <v>451</v>
      </c>
      <c r="C638" s="6" t="s">
        <v>451</v>
      </c>
      <c r="D638" s="5">
        <v>44889</v>
      </c>
    </row>
    <row r="639" spans="2:4">
      <c r="B639" s="6" t="s">
        <v>67</v>
      </c>
      <c r="C639" s="6" t="s">
        <v>29</v>
      </c>
      <c r="D639" s="5">
        <v>44889</v>
      </c>
    </row>
    <row r="640" spans="2:4">
      <c r="B640" s="6" t="s">
        <v>39</v>
      </c>
      <c r="C640" s="6" t="s">
        <v>79</v>
      </c>
      <c r="D640" s="5">
        <v>44889</v>
      </c>
    </row>
    <row r="641" spans="2:4">
      <c r="B641" s="6" t="s">
        <v>36</v>
      </c>
      <c r="C641" s="6" t="s">
        <v>144</v>
      </c>
      <c r="D641" s="5">
        <v>44889</v>
      </c>
    </row>
    <row r="642" spans="2:4">
      <c r="B642" s="6" t="s">
        <v>69</v>
      </c>
      <c r="C642" s="6" t="s">
        <v>732</v>
      </c>
      <c r="D642" s="5">
        <v>44889</v>
      </c>
    </row>
    <row r="643" spans="2:4">
      <c r="B643" s="6" t="s">
        <v>451</v>
      </c>
      <c r="C643" s="6" t="s">
        <v>451</v>
      </c>
      <c r="D643" s="5">
        <v>44889</v>
      </c>
    </row>
    <row r="644" spans="2:4">
      <c r="B644" s="6" t="s">
        <v>32</v>
      </c>
      <c r="C644" s="6" t="s">
        <v>58</v>
      </c>
      <c r="D644" s="5">
        <v>44889</v>
      </c>
    </row>
    <row r="645" spans="2:4">
      <c r="B645" s="6" t="s">
        <v>761</v>
      </c>
      <c r="C645" s="6" t="s">
        <v>82</v>
      </c>
      <c r="D645" s="5">
        <v>44889</v>
      </c>
    </row>
    <row r="646" spans="2:4">
      <c r="B646" s="6" t="s">
        <v>132</v>
      </c>
      <c r="C646" s="6" t="s">
        <v>402</v>
      </c>
      <c r="D646" s="5">
        <v>44890</v>
      </c>
    </row>
    <row r="647" spans="2:4">
      <c r="B647" s="6" t="s">
        <v>451</v>
      </c>
      <c r="C647" s="6" t="s">
        <v>451</v>
      </c>
      <c r="D647" s="5">
        <v>44890</v>
      </c>
    </row>
    <row r="648" spans="2:4">
      <c r="B648" s="6" t="s">
        <v>150</v>
      </c>
      <c r="C648" s="6" t="s">
        <v>378</v>
      </c>
      <c r="D648" s="5">
        <v>44890</v>
      </c>
    </row>
    <row r="649" spans="2:4">
      <c r="B649" s="6" t="s">
        <v>409</v>
      </c>
      <c r="C649" s="6" t="s">
        <v>497</v>
      </c>
      <c r="D649" s="5">
        <v>44890</v>
      </c>
    </row>
    <row r="650" spans="2:4">
      <c r="B650" s="6" t="s">
        <v>451</v>
      </c>
      <c r="C650" s="6" t="s">
        <v>451</v>
      </c>
      <c r="D650" s="5">
        <v>44890</v>
      </c>
    </row>
    <row r="651" spans="2:4">
      <c r="B651" s="6" t="s">
        <v>580</v>
      </c>
      <c r="C651" s="6" t="s">
        <v>181</v>
      </c>
      <c r="D651" s="5">
        <v>44890</v>
      </c>
    </row>
    <row r="652" spans="2:4">
      <c r="B652" s="6" t="s">
        <v>395</v>
      </c>
      <c r="C652" s="6" t="s">
        <v>237</v>
      </c>
      <c r="D652" s="5">
        <v>44890</v>
      </c>
    </row>
    <row r="653" spans="2:4">
      <c r="B653" s="6" t="s">
        <v>109</v>
      </c>
      <c r="C653" s="6" t="s">
        <v>205</v>
      </c>
      <c r="D653" s="5">
        <v>44890</v>
      </c>
    </row>
    <row r="654" spans="2:4">
      <c r="B654" s="6" t="s">
        <v>62</v>
      </c>
      <c r="C654" s="6" t="s">
        <v>364</v>
      </c>
      <c r="D654" s="5">
        <v>44890</v>
      </c>
    </row>
    <row r="655" spans="2:4">
      <c r="B655" s="6" t="s">
        <v>586</v>
      </c>
      <c r="C655" s="6" t="s">
        <v>156</v>
      </c>
      <c r="D655" s="5">
        <v>44890</v>
      </c>
    </row>
    <row r="656" spans="2:4">
      <c r="B656" s="6" t="s">
        <v>451</v>
      </c>
      <c r="C656" s="6" t="s">
        <v>451</v>
      </c>
      <c r="D656" s="5">
        <v>44890</v>
      </c>
    </row>
    <row r="657" spans="2:4">
      <c r="B657" s="6" t="s">
        <v>155</v>
      </c>
      <c r="C657" s="6" t="s">
        <v>91</v>
      </c>
      <c r="D657" s="5">
        <v>44890</v>
      </c>
    </row>
    <row r="658" spans="2:4">
      <c r="B658" s="6" t="s">
        <v>139</v>
      </c>
      <c r="C658" s="6" t="s">
        <v>385</v>
      </c>
      <c r="D658" s="5">
        <v>44890</v>
      </c>
    </row>
    <row r="659" spans="2:4">
      <c r="B659" s="6" t="s">
        <v>451</v>
      </c>
      <c r="C659" s="6" t="s">
        <v>451</v>
      </c>
      <c r="D659" s="5">
        <v>44890</v>
      </c>
    </row>
    <row r="660" spans="2:4">
      <c r="B660" s="6" t="s">
        <v>290</v>
      </c>
      <c r="C660" s="6" t="s">
        <v>216</v>
      </c>
      <c r="D660" s="5">
        <v>44890</v>
      </c>
    </row>
    <row r="661" spans="2:4">
      <c r="B661" s="6" t="s">
        <v>199</v>
      </c>
      <c r="C661" s="6" t="s">
        <v>404</v>
      </c>
      <c r="D661" s="5">
        <v>44890</v>
      </c>
    </row>
    <row r="662" spans="2:4">
      <c r="B662" s="6" t="s">
        <v>196</v>
      </c>
      <c r="C662" s="6" t="s">
        <v>607</v>
      </c>
      <c r="D662" s="5">
        <v>44890</v>
      </c>
    </row>
    <row r="663" spans="2:4">
      <c r="B663" s="6" t="s">
        <v>231</v>
      </c>
      <c r="C663" s="6" t="s">
        <v>587</v>
      </c>
      <c r="D663" s="5">
        <v>44890</v>
      </c>
    </row>
    <row r="664" spans="2:4">
      <c r="B664" s="6" t="s">
        <v>127</v>
      </c>
      <c r="C664" s="6" t="s">
        <v>329</v>
      </c>
      <c r="D664" s="5">
        <v>44890</v>
      </c>
    </row>
    <row r="665" spans="2:4">
      <c r="B665" s="6" t="s">
        <v>118</v>
      </c>
      <c r="C665" s="6" t="s">
        <v>176</v>
      </c>
      <c r="D665" s="5">
        <v>44890</v>
      </c>
    </row>
    <row r="666" spans="2:4">
      <c r="B666" s="6" t="s">
        <v>108</v>
      </c>
      <c r="C666" s="6" t="s">
        <v>350</v>
      </c>
      <c r="D666" s="5">
        <v>44890</v>
      </c>
    </row>
    <row r="667" spans="2:4">
      <c r="B667" s="6" t="s">
        <v>295</v>
      </c>
      <c r="C667" s="6" t="s">
        <v>351</v>
      </c>
      <c r="D667" s="5">
        <v>44890</v>
      </c>
    </row>
    <row r="668" spans="2:4">
      <c r="B668" s="6" t="s">
        <v>115</v>
      </c>
      <c r="C668" s="6" t="s">
        <v>125</v>
      </c>
      <c r="D668" s="5">
        <v>44890</v>
      </c>
    </row>
    <row r="669" spans="2:4">
      <c r="B669" s="6" t="s">
        <v>111</v>
      </c>
      <c r="C669" s="6" t="s">
        <v>639</v>
      </c>
      <c r="D669" s="5">
        <v>44890</v>
      </c>
    </row>
    <row r="670" spans="2:4">
      <c r="B670" s="6" t="s">
        <v>357</v>
      </c>
      <c r="C670" s="6" t="s">
        <v>333</v>
      </c>
      <c r="D670" s="5">
        <v>44890</v>
      </c>
    </row>
    <row r="671" spans="2:4">
      <c r="B671" s="6" t="s">
        <v>327</v>
      </c>
      <c r="C671" s="6" t="s">
        <v>320</v>
      </c>
      <c r="D671" s="5">
        <v>44890</v>
      </c>
    </row>
    <row r="672" spans="2:4">
      <c r="B672" s="6" t="s">
        <v>102</v>
      </c>
      <c r="C672" s="6" t="s">
        <v>373</v>
      </c>
      <c r="D672" s="5">
        <v>44890</v>
      </c>
    </row>
    <row r="673" spans="2:4">
      <c r="B673" s="6" t="s">
        <v>134</v>
      </c>
      <c r="C673" s="6" t="s">
        <v>151</v>
      </c>
      <c r="D673" s="5">
        <v>44890</v>
      </c>
    </row>
    <row r="674" spans="2:4">
      <c r="B674" s="6" t="s">
        <v>451</v>
      </c>
      <c r="C674" s="6" t="s">
        <v>451</v>
      </c>
      <c r="D674" s="5">
        <v>44890</v>
      </c>
    </row>
    <row r="675" spans="2:4">
      <c r="B675" s="6" t="s">
        <v>451</v>
      </c>
      <c r="C675" s="6" t="s">
        <v>451</v>
      </c>
      <c r="D675" s="5">
        <v>44890</v>
      </c>
    </row>
    <row r="676" spans="2:4">
      <c r="B676" s="6" t="s">
        <v>396</v>
      </c>
      <c r="C676" s="6" t="s">
        <v>248</v>
      </c>
      <c r="D676" s="5">
        <v>44890</v>
      </c>
    </row>
    <row r="677" spans="2:4">
      <c r="B677" s="6" t="s">
        <v>451</v>
      </c>
      <c r="C677" s="6" t="s">
        <v>451</v>
      </c>
      <c r="D677" s="5">
        <v>44890</v>
      </c>
    </row>
    <row r="678" spans="2:4">
      <c r="B678" s="6" t="s">
        <v>123</v>
      </c>
      <c r="C678" s="6" t="s">
        <v>112</v>
      </c>
      <c r="D678" s="5">
        <v>44890</v>
      </c>
    </row>
    <row r="679" spans="2:4">
      <c r="B679" s="6" t="s">
        <v>172</v>
      </c>
      <c r="C679" s="6" t="s">
        <v>282</v>
      </c>
      <c r="D679" s="5">
        <v>44890</v>
      </c>
    </row>
    <row r="680" spans="2:4">
      <c r="B680" s="6" t="s">
        <v>804</v>
      </c>
      <c r="C680" s="6" t="s">
        <v>422</v>
      </c>
      <c r="D680" s="5">
        <v>44890</v>
      </c>
    </row>
    <row r="681" spans="2:4">
      <c r="B681" s="6" t="s">
        <v>376</v>
      </c>
      <c r="C681" s="6" t="s">
        <v>640</v>
      </c>
      <c r="D681" s="5">
        <v>44890</v>
      </c>
    </row>
    <row r="682" spans="2:4">
      <c r="B682" s="6" t="s">
        <v>56</v>
      </c>
      <c r="C682" s="6" t="s">
        <v>116</v>
      </c>
      <c r="D682" s="5">
        <v>44890</v>
      </c>
    </row>
    <row r="683" spans="2:4">
      <c r="B683" s="6" t="s">
        <v>90</v>
      </c>
      <c r="C683" s="6" t="s">
        <v>273</v>
      </c>
      <c r="D683" s="5">
        <v>44890</v>
      </c>
    </row>
    <row r="684" spans="2:4">
      <c r="B684" s="6" t="s">
        <v>46</v>
      </c>
      <c r="C684" s="6" t="s">
        <v>252</v>
      </c>
      <c r="D684" s="5">
        <v>44890</v>
      </c>
    </row>
    <row r="685" spans="2:4">
      <c r="B685" s="6" t="s">
        <v>391</v>
      </c>
      <c r="C685" s="6" t="s">
        <v>267</v>
      </c>
      <c r="D685" s="5">
        <v>44890</v>
      </c>
    </row>
    <row r="686" spans="2:4">
      <c r="B686" s="6" t="s">
        <v>419</v>
      </c>
      <c r="C686" s="6" t="s">
        <v>122</v>
      </c>
      <c r="D686" s="5">
        <v>44890</v>
      </c>
    </row>
    <row r="687" spans="2:4">
      <c r="B687" s="6" t="s">
        <v>393</v>
      </c>
      <c r="C687" s="6" t="s">
        <v>99</v>
      </c>
      <c r="D687" s="5">
        <v>44890</v>
      </c>
    </row>
    <row r="688" spans="2:4">
      <c r="B688" s="6" t="s">
        <v>451</v>
      </c>
      <c r="C688" s="6" t="s">
        <v>451</v>
      </c>
      <c r="D688" s="5">
        <v>44890</v>
      </c>
    </row>
    <row r="689" spans="2:4">
      <c r="B689" s="6" t="s">
        <v>451</v>
      </c>
      <c r="C689" s="6" t="s">
        <v>451</v>
      </c>
      <c r="D689" s="5">
        <v>44890</v>
      </c>
    </row>
    <row r="690" spans="2:4">
      <c r="B690" s="6" t="s">
        <v>433</v>
      </c>
      <c r="C690" s="6" t="s">
        <v>135</v>
      </c>
      <c r="D690" s="5">
        <v>44890</v>
      </c>
    </row>
    <row r="691" spans="2:4">
      <c r="B691" s="6" t="s">
        <v>188</v>
      </c>
      <c r="C691" s="6" t="s">
        <v>335</v>
      </c>
      <c r="D691" s="5">
        <v>44890</v>
      </c>
    </row>
    <row r="692" spans="2:4">
      <c r="B692" s="6" t="s">
        <v>189</v>
      </c>
      <c r="C692" s="6" t="s">
        <v>353</v>
      </c>
      <c r="D692" s="5">
        <v>44890</v>
      </c>
    </row>
    <row r="693" spans="2:4">
      <c r="B693" s="6" t="s">
        <v>213</v>
      </c>
      <c r="C693" s="6" t="s">
        <v>306</v>
      </c>
      <c r="D693" s="5">
        <v>44890</v>
      </c>
    </row>
    <row r="694" spans="2:4">
      <c r="B694" s="6" t="s">
        <v>319</v>
      </c>
      <c r="C694" s="6" t="s">
        <v>167</v>
      </c>
      <c r="D694" s="5">
        <v>44890</v>
      </c>
    </row>
    <row r="695" spans="2:4">
      <c r="B695" s="6" t="s">
        <v>242</v>
      </c>
      <c r="C695" s="6" t="s">
        <v>178</v>
      </c>
      <c r="D695" s="5">
        <v>44890</v>
      </c>
    </row>
    <row r="696" spans="2:4">
      <c r="B696" s="6" t="s">
        <v>781</v>
      </c>
      <c r="C696" s="6" t="s">
        <v>137</v>
      </c>
      <c r="D696" s="5">
        <v>44890</v>
      </c>
    </row>
    <row r="697" spans="2:4">
      <c r="B697" s="6" t="s">
        <v>49</v>
      </c>
      <c r="C697" s="6" t="s">
        <v>413</v>
      </c>
      <c r="D697" s="5">
        <v>44890</v>
      </c>
    </row>
    <row r="698" spans="2:4">
      <c r="B698" s="6" t="s">
        <v>51</v>
      </c>
      <c r="C698" s="6" t="s">
        <v>61</v>
      </c>
      <c r="D698" s="5">
        <v>44890</v>
      </c>
    </row>
    <row r="699" spans="2:4">
      <c r="B699" s="6" t="s">
        <v>451</v>
      </c>
      <c r="C699" s="6" t="s">
        <v>451</v>
      </c>
      <c r="D699" s="5">
        <v>44890</v>
      </c>
    </row>
    <row r="700" spans="2:4">
      <c r="B700" s="6" t="s">
        <v>308</v>
      </c>
      <c r="C700" s="6" t="s">
        <v>315</v>
      </c>
      <c r="D700" s="5">
        <v>44890</v>
      </c>
    </row>
    <row r="701" spans="2:4">
      <c r="B701" s="6" t="s">
        <v>778</v>
      </c>
      <c r="C701" s="6" t="s">
        <v>95</v>
      </c>
      <c r="D701" s="5">
        <v>44890</v>
      </c>
    </row>
    <row r="702" spans="2:4">
      <c r="B702" s="6" t="s">
        <v>367</v>
      </c>
      <c r="C702" s="6" t="s">
        <v>399</v>
      </c>
      <c r="D702" s="5">
        <v>44890</v>
      </c>
    </row>
    <row r="703" spans="2:4">
      <c r="B703" s="6" t="s">
        <v>451</v>
      </c>
      <c r="C703" s="6" t="s">
        <v>451</v>
      </c>
      <c r="D703" s="5">
        <v>44890</v>
      </c>
    </row>
    <row r="704" spans="2:4">
      <c r="B704" s="6" t="s">
        <v>420</v>
      </c>
      <c r="C704" s="6" t="s">
        <v>101</v>
      </c>
      <c r="D704" s="5">
        <v>44890</v>
      </c>
    </row>
    <row r="705" spans="2:4">
      <c r="B705" s="6" t="s">
        <v>52</v>
      </c>
      <c r="C705" s="6" t="s">
        <v>270</v>
      </c>
      <c r="D705" s="5">
        <v>44890</v>
      </c>
    </row>
    <row r="706" spans="2:4">
      <c r="B706" s="6" t="s">
        <v>428</v>
      </c>
      <c r="C706" s="6" t="s">
        <v>389</v>
      </c>
      <c r="D706" s="5">
        <v>44890</v>
      </c>
    </row>
    <row r="707" spans="2:4">
      <c r="B707" s="6" t="s">
        <v>368</v>
      </c>
      <c r="C707" s="6" t="s">
        <v>382</v>
      </c>
      <c r="D707" s="5">
        <v>44890</v>
      </c>
    </row>
    <row r="708" spans="2:4">
      <c r="B708" s="6" t="s">
        <v>60</v>
      </c>
      <c r="C708" s="6" t="s">
        <v>603</v>
      </c>
      <c r="D708" s="5">
        <v>44890</v>
      </c>
    </row>
    <row r="709" spans="2:4">
      <c r="B709" s="6" t="s">
        <v>412</v>
      </c>
      <c r="C709" s="6" t="s">
        <v>171</v>
      </c>
      <c r="D709" s="5">
        <v>44890</v>
      </c>
    </row>
    <row r="710" spans="2:4">
      <c r="B710" s="6" t="s">
        <v>427</v>
      </c>
      <c r="C710" s="6" t="s">
        <v>158</v>
      </c>
      <c r="D710" s="5">
        <v>44890</v>
      </c>
    </row>
    <row r="711" spans="2:4">
      <c r="B711" s="6" t="s">
        <v>451</v>
      </c>
      <c r="C711" s="6" t="s">
        <v>451</v>
      </c>
      <c r="D711" s="5">
        <v>44890</v>
      </c>
    </row>
    <row r="712" spans="2:4">
      <c r="B712" s="6" t="s">
        <v>34</v>
      </c>
      <c r="C712" s="6" t="s">
        <v>164</v>
      </c>
      <c r="D712" s="5">
        <v>44890</v>
      </c>
    </row>
    <row r="713" spans="2:4">
      <c r="B713" s="6" t="s">
        <v>375</v>
      </c>
      <c r="C713" s="6" t="s">
        <v>166</v>
      </c>
      <c r="D713" s="5">
        <v>44890</v>
      </c>
    </row>
    <row r="714" spans="2:4">
      <c r="B714" s="6" t="s">
        <v>426</v>
      </c>
      <c r="C714" s="6" t="s">
        <v>359</v>
      </c>
      <c r="D714" s="5">
        <v>44890</v>
      </c>
    </row>
    <row r="715" spans="2:4">
      <c r="B715" s="6" t="s">
        <v>451</v>
      </c>
      <c r="C715" s="6" t="s">
        <v>451</v>
      </c>
      <c r="D715" s="5">
        <v>44890</v>
      </c>
    </row>
    <row r="716" spans="2:4">
      <c r="B716" s="6" t="s">
        <v>451</v>
      </c>
      <c r="C716" s="6" t="s">
        <v>451</v>
      </c>
      <c r="D716" s="5">
        <v>44890</v>
      </c>
    </row>
    <row r="717" spans="2:4">
      <c r="B717" s="6" t="s">
        <v>451</v>
      </c>
      <c r="C717" s="6" t="s">
        <v>451</v>
      </c>
      <c r="D717" s="5">
        <v>44890</v>
      </c>
    </row>
    <row r="718" spans="2:4">
      <c r="B718" s="6" t="s">
        <v>451</v>
      </c>
      <c r="C718" s="6" t="s">
        <v>451</v>
      </c>
      <c r="D718" s="5">
        <v>44891</v>
      </c>
    </row>
    <row r="719" spans="2:4">
      <c r="B719" s="6" t="s">
        <v>451</v>
      </c>
      <c r="C719" s="6" t="s">
        <v>451</v>
      </c>
      <c r="D719" s="5">
        <v>44891</v>
      </c>
    </row>
    <row r="720" spans="2:4">
      <c r="B720" s="6" t="s">
        <v>212</v>
      </c>
      <c r="C720" s="6" t="s">
        <v>180</v>
      </c>
      <c r="D720" s="5">
        <v>44891</v>
      </c>
    </row>
    <row r="721" spans="2:4">
      <c r="B721" s="6" t="s">
        <v>373</v>
      </c>
      <c r="C721" s="6" t="s">
        <v>315</v>
      </c>
      <c r="D721" s="5">
        <v>44891</v>
      </c>
    </row>
    <row r="722" spans="2:4">
      <c r="B722" s="6" t="s">
        <v>193</v>
      </c>
      <c r="C722" s="6" t="s">
        <v>305</v>
      </c>
      <c r="D722" s="5">
        <v>44891</v>
      </c>
    </row>
    <row r="723" spans="2:4">
      <c r="B723" s="6" t="s">
        <v>451</v>
      </c>
      <c r="C723" s="6" t="s">
        <v>451</v>
      </c>
      <c r="D723" s="5">
        <v>44891</v>
      </c>
    </row>
    <row r="724" spans="2:4">
      <c r="B724" s="6" t="s">
        <v>451</v>
      </c>
      <c r="C724" s="6" t="s">
        <v>451</v>
      </c>
      <c r="D724" s="5">
        <v>44891</v>
      </c>
    </row>
    <row r="725" spans="2:4">
      <c r="B725" s="6" t="s">
        <v>451</v>
      </c>
      <c r="C725" s="6" t="s">
        <v>451</v>
      </c>
      <c r="D725" s="5">
        <v>44891</v>
      </c>
    </row>
    <row r="726" spans="2:4">
      <c r="B726" s="6" t="s">
        <v>451</v>
      </c>
      <c r="C726" s="6" t="s">
        <v>451</v>
      </c>
      <c r="D726" s="5">
        <v>44891</v>
      </c>
    </row>
    <row r="727" spans="2:4">
      <c r="B727" s="6" t="s">
        <v>220</v>
      </c>
      <c r="C727" s="6" t="s">
        <v>233</v>
      </c>
      <c r="D727" s="5">
        <v>44891</v>
      </c>
    </row>
    <row r="728" spans="2:4">
      <c r="B728" s="6" t="s">
        <v>451</v>
      </c>
      <c r="C728" s="6" t="s">
        <v>451</v>
      </c>
      <c r="D728" s="5">
        <v>44891</v>
      </c>
    </row>
    <row r="729" spans="2:4">
      <c r="B729" s="6" t="s">
        <v>385</v>
      </c>
      <c r="C729" s="6" t="s">
        <v>409</v>
      </c>
      <c r="D729" s="5">
        <v>44891</v>
      </c>
    </row>
    <row r="730" spans="2:4">
      <c r="B730" s="6" t="s">
        <v>414</v>
      </c>
      <c r="C730" s="6" t="s">
        <v>397</v>
      </c>
      <c r="D730" s="5">
        <v>44891</v>
      </c>
    </row>
    <row r="731" spans="2:4">
      <c r="B731" s="6" t="s">
        <v>451</v>
      </c>
      <c r="C731" s="6" t="s">
        <v>451</v>
      </c>
      <c r="D731" s="5">
        <v>44891</v>
      </c>
    </row>
    <row r="732" spans="2:4">
      <c r="B732" s="6" t="s">
        <v>41</v>
      </c>
      <c r="C732" s="6" t="s">
        <v>301</v>
      </c>
      <c r="D732" s="5">
        <v>44891</v>
      </c>
    </row>
    <row r="733" spans="2:4">
      <c r="B733" s="6" t="s">
        <v>87</v>
      </c>
      <c r="C733" s="6" t="s">
        <v>584</v>
      </c>
      <c r="D733" s="5">
        <v>44891</v>
      </c>
    </row>
    <row r="734" spans="2:4">
      <c r="B734" s="6" t="s">
        <v>53</v>
      </c>
      <c r="C734" s="6" t="s">
        <v>179</v>
      </c>
      <c r="D734" s="5">
        <v>44891</v>
      </c>
    </row>
    <row r="735" spans="2:4">
      <c r="B735" s="6" t="s">
        <v>215</v>
      </c>
      <c r="C735" s="6" t="s">
        <v>421</v>
      </c>
      <c r="D735" s="5">
        <v>44891</v>
      </c>
    </row>
    <row r="736" spans="2:4">
      <c r="B736" s="6" t="s">
        <v>289</v>
      </c>
      <c r="C736" s="6" t="s">
        <v>641</v>
      </c>
      <c r="D736" s="5">
        <v>44891</v>
      </c>
    </row>
    <row r="737" spans="2:4">
      <c r="B737" s="6" t="s">
        <v>195</v>
      </c>
      <c r="C737" s="6" t="s">
        <v>449</v>
      </c>
      <c r="D737" s="5">
        <v>44891</v>
      </c>
    </row>
    <row r="738" spans="2:4">
      <c r="B738" s="6" t="s">
        <v>209</v>
      </c>
      <c r="C738" s="6" t="s">
        <v>240</v>
      </c>
      <c r="D738" s="5">
        <v>44891</v>
      </c>
    </row>
    <row r="739" spans="2:4">
      <c r="B739" s="6" t="s">
        <v>261</v>
      </c>
      <c r="C739" s="6" t="s">
        <v>407</v>
      </c>
      <c r="D739" s="5">
        <v>44891</v>
      </c>
    </row>
    <row r="740" spans="2:4">
      <c r="B740" s="6" t="s">
        <v>451</v>
      </c>
      <c r="C740" s="6" t="s">
        <v>451</v>
      </c>
      <c r="D740" s="5">
        <v>44891</v>
      </c>
    </row>
    <row r="741" spans="2:4">
      <c r="B741" s="6" t="s">
        <v>318</v>
      </c>
      <c r="C741" s="6" t="s">
        <v>400</v>
      </c>
      <c r="D741" s="5">
        <v>44891</v>
      </c>
    </row>
    <row r="742" spans="2:4">
      <c r="B742" s="6" t="s">
        <v>113</v>
      </c>
      <c r="C742" s="6" t="s">
        <v>361</v>
      </c>
      <c r="D742" s="5">
        <v>44891</v>
      </c>
    </row>
    <row r="743" spans="2:4">
      <c r="B743" s="6" t="s">
        <v>278</v>
      </c>
      <c r="C743" s="6" t="s">
        <v>321</v>
      </c>
      <c r="D743" s="5">
        <v>44891</v>
      </c>
    </row>
    <row r="744" spans="2:4">
      <c r="B744" s="6" t="s">
        <v>267</v>
      </c>
      <c r="C744" s="6" t="s">
        <v>178</v>
      </c>
      <c r="D744" s="5">
        <v>44891</v>
      </c>
    </row>
    <row r="745" spans="2:4">
      <c r="B745" s="6" t="s">
        <v>297</v>
      </c>
      <c r="C745" s="6" t="s">
        <v>287</v>
      </c>
      <c r="D745" s="5">
        <v>44891</v>
      </c>
    </row>
    <row r="746" spans="2:4">
      <c r="B746" s="6" t="s">
        <v>183</v>
      </c>
      <c r="C746" s="6" t="s">
        <v>317</v>
      </c>
      <c r="D746" s="5">
        <v>44891</v>
      </c>
    </row>
    <row r="747" spans="2:4">
      <c r="B747" s="6" t="s">
        <v>294</v>
      </c>
      <c r="C747" s="6" t="s">
        <v>208</v>
      </c>
      <c r="D747" s="5">
        <v>44891</v>
      </c>
    </row>
    <row r="748" spans="2:4">
      <c r="B748" s="6" t="s">
        <v>329</v>
      </c>
      <c r="C748" s="6" t="s">
        <v>314</v>
      </c>
      <c r="D748" s="5">
        <v>44891</v>
      </c>
    </row>
    <row r="749" spans="2:4">
      <c r="B749" s="6" t="s">
        <v>122</v>
      </c>
      <c r="C749" s="6" t="s">
        <v>118</v>
      </c>
      <c r="D749" s="5">
        <v>44891</v>
      </c>
    </row>
    <row r="750" spans="2:4">
      <c r="B750" s="6" t="s">
        <v>210</v>
      </c>
      <c r="C750" s="6" t="s">
        <v>126</v>
      </c>
      <c r="D750" s="5">
        <v>44891</v>
      </c>
    </row>
    <row r="751" spans="2:4">
      <c r="B751" s="6" t="s">
        <v>337</v>
      </c>
      <c r="C751" s="6" t="s">
        <v>253</v>
      </c>
      <c r="D751" s="5">
        <v>44891</v>
      </c>
    </row>
    <row r="752" spans="2:4">
      <c r="B752" s="6" t="s">
        <v>288</v>
      </c>
      <c r="C752" s="6" t="s">
        <v>615</v>
      </c>
      <c r="D752" s="5">
        <v>44891</v>
      </c>
    </row>
    <row r="753" spans="2:4">
      <c r="B753" s="6" t="s">
        <v>281</v>
      </c>
      <c r="C753" s="6" t="s">
        <v>610</v>
      </c>
      <c r="D753" s="5">
        <v>44891</v>
      </c>
    </row>
    <row r="754" spans="2:4">
      <c r="B754" s="6" t="s">
        <v>302</v>
      </c>
      <c r="C754" s="6" t="s">
        <v>204</v>
      </c>
      <c r="D754" s="5">
        <v>44891</v>
      </c>
    </row>
    <row r="755" spans="2:4">
      <c r="B755" s="6" t="s">
        <v>306</v>
      </c>
      <c r="C755" s="6" t="s">
        <v>123</v>
      </c>
      <c r="D755" s="5">
        <v>44891</v>
      </c>
    </row>
    <row r="756" spans="2:4">
      <c r="B756" s="6" t="s">
        <v>451</v>
      </c>
      <c r="C756" s="6" t="s">
        <v>451</v>
      </c>
      <c r="D756" s="5">
        <v>44891</v>
      </c>
    </row>
    <row r="757" spans="2:4">
      <c r="B757" s="6" t="s">
        <v>330</v>
      </c>
      <c r="C757" s="6" t="s">
        <v>418</v>
      </c>
      <c r="D757" s="5">
        <v>44891</v>
      </c>
    </row>
    <row r="758" spans="2:4">
      <c r="B758" s="6" t="s">
        <v>607</v>
      </c>
      <c r="C758" s="6" t="s">
        <v>621</v>
      </c>
      <c r="D758" s="5">
        <v>44891</v>
      </c>
    </row>
    <row r="759" spans="2:4">
      <c r="B759" s="6" t="s">
        <v>64</v>
      </c>
      <c r="C759" s="6" t="s">
        <v>246</v>
      </c>
      <c r="D759" s="5">
        <v>44891</v>
      </c>
    </row>
    <row r="760" spans="2:4">
      <c r="B760" s="6" t="s">
        <v>30</v>
      </c>
      <c r="C760" s="6" t="s">
        <v>344</v>
      </c>
      <c r="D760" s="5">
        <v>44891</v>
      </c>
    </row>
    <row r="761" spans="2:4">
      <c r="B761" s="6" t="s">
        <v>147</v>
      </c>
      <c r="C761" s="6" t="s">
        <v>96</v>
      </c>
      <c r="D761" s="5">
        <v>44891</v>
      </c>
    </row>
    <row r="762" spans="2:4">
      <c r="B762" s="6" t="s">
        <v>277</v>
      </c>
      <c r="C762" s="6" t="s">
        <v>425</v>
      </c>
      <c r="D762" s="5">
        <v>44891</v>
      </c>
    </row>
    <row r="763" spans="2:4">
      <c r="B763" s="6" t="s">
        <v>352</v>
      </c>
      <c r="C763" s="6" t="s">
        <v>388</v>
      </c>
      <c r="D763" s="5">
        <v>44891</v>
      </c>
    </row>
    <row r="764" spans="2:4">
      <c r="B764" s="6" t="s">
        <v>313</v>
      </c>
      <c r="C764" s="6" t="s">
        <v>276</v>
      </c>
      <c r="D764" s="5">
        <v>44891</v>
      </c>
    </row>
    <row r="765" spans="2:4">
      <c r="B765" s="6" t="s">
        <v>162</v>
      </c>
      <c r="C765" s="6" t="s">
        <v>383</v>
      </c>
      <c r="D765" s="5">
        <v>44891</v>
      </c>
    </row>
    <row r="766" spans="2:4">
      <c r="B766" s="6" t="s">
        <v>119</v>
      </c>
      <c r="C766" s="6" t="s">
        <v>175</v>
      </c>
      <c r="D766" s="5">
        <v>44891</v>
      </c>
    </row>
    <row r="767" spans="2:4">
      <c r="B767" s="6" t="s">
        <v>153</v>
      </c>
      <c r="C767" s="6" t="s">
        <v>232</v>
      </c>
      <c r="D767" s="5">
        <v>44891</v>
      </c>
    </row>
    <row r="768" spans="2:4">
      <c r="B768" s="6" t="s">
        <v>121</v>
      </c>
      <c r="C768" s="6" t="s">
        <v>356</v>
      </c>
      <c r="D768" s="5">
        <v>44891</v>
      </c>
    </row>
    <row r="769" spans="2:4">
      <c r="B769" s="6" t="s">
        <v>386</v>
      </c>
      <c r="C769" s="6" t="s">
        <v>303</v>
      </c>
      <c r="D769" s="5">
        <v>44891</v>
      </c>
    </row>
    <row r="770" spans="2:4">
      <c r="B770" s="6" t="s">
        <v>182</v>
      </c>
      <c r="C770" s="6" t="s">
        <v>192</v>
      </c>
      <c r="D770" s="5">
        <v>44891</v>
      </c>
    </row>
    <row r="771" spans="2:4">
      <c r="B771" s="6" t="s">
        <v>451</v>
      </c>
      <c r="C771" s="6" t="s">
        <v>451</v>
      </c>
      <c r="D771" s="5">
        <v>44891</v>
      </c>
    </row>
    <row r="772" spans="2:4">
      <c r="B772" s="6" t="s">
        <v>40</v>
      </c>
      <c r="C772" s="6" t="s">
        <v>138</v>
      </c>
      <c r="D772" s="5">
        <v>44891</v>
      </c>
    </row>
    <row r="773" spans="2:4">
      <c r="B773" s="6" t="s">
        <v>50</v>
      </c>
      <c r="C773" s="6" t="s">
        <v>173</v>
      </c>
      <c r="D773" s="5">
        <v>44891</v>
      </c>
    </row>
    <row r="774" spans="2:4">
      <c r="B774" s="6" t="s">
        <v>242</v>
      </c>
      <c r="C774" s="6" t="s">
        <v>290</v>
      </c>
      <c r="D774" s="5">
        <v>44891</v>
      </c>
    </row>
    <row r="775" spans="2:4">
      <c r="B775" s="6" t="s">
        <v>419</v>
      </c>
      <c r="C775" s="6" t="s">
        <v>176</v>
      </c>
      <c r="D775" s="5">
        <v>44891</v>
      </c>
    </row>
    <row r="776" spans="2:4">
      <c r="B776" s="6" t="s">
        <v>213</v>
      </c>
      <c r="C776" s="6" t="s">
        <v>412</v>
      </c>
      <c r="D776" s="5">
        <v>44891</v>
      </c>
    </row>
    <row r="777" spans="2:4">
      <c r="B777" s="6" t="s">
        <v>358</v>
      </c>
      <c r="C777" s="6" t="s">
        <v>141</v>
      </c>
      <c r="D777" s="5">
        <v>44891</v>
      </c>
    </row>
    <row r="778" spans="2:4">
      <c r="B778" s="6" t="s">
        <v>201</v>
      </c>
      <c r="C778" s="6" t="s">
        <v>264</v>
      </c>
      <c r="D778" s="5">
        <v>44891</v>
      </c>
    </row>
    <row r="779" spans="2:4">
      <c r="B779" s="6" t="s">
        <v>451</v>
      </c>
      <c r="C779" s="6" t="s">
        <v>451</v>
      </c>
      <c r="D779" s="5">
        <v>44891</v>
      </c>
    </row>
    <row r="780" spans="2:4">
      <c r="B780" s="6" t="s">
        <v>363</v>
      </c>
      <c r="C780" s="6" t="s">
        <v>365</v>
      </c>
      <c r="D780" s="5">
        <v>44891</v>
      </c>
    </row>
    <row r="781" spans="2:4">
      <c r="B781" s="6" t="s">
        <v>355</v>
      </c>
      <c r="C781" s="6" t="s">
        <v>343</v>
      </c>
      <c r="D781" s="5">
        <v>44891</v>
      </c>
    </row>
    <row r="782" spans="2:4">
      <c r="B782" s="6" t="s">
        <v>451</v>
      </c>
      <c r="C782" s="6" t="s">
        <v>451</v>
      </c>
      <c r="D782" s="5">
        <v>44891</v>
      </c>
    </row>
    <row r="783" spans="2:4">
      <c r="B783" s="6" t="s">
        <v>216</v>
      </c>
      <c r="C783" s="6" t="s">
        <v>391</v>
      </c>
      <c r="D783" s="5">
        <v>44891</v>
      </c>
    </row>
    <row r="784" spans="2:4">
      <c r="B784" s="6" t="s">
        <v>324</v>
      </c>
      <c r="C784" s="6" t="s">
        <v>280</v>
      </c>
      <c r="D784" s="5">
        <v>44891</v>
      </c>
    </row>
    <row r="785" spans="2:4">
      <c r="B785" s="6" t="s">
        <v>104</v>
      </c>
      <c r="C785" s="6" t="s">
        <v>312</v>
      </c>
      <c r="D785" s="5">
        <v>44891</v>
      </c>
    </row>
    <row r="786" spans="2:4">
      <c r="B786" s="6" t="s">
        <v>268</v>
      </c>
      <c r="C786" s="6" t="s">
        <v>474</v>
      </c>
      <c r="D786" s="5">
        <v>44891</v>
      </c>
    </row>
    <row r="787" spans="2:4">
      <c r="B787" s="6" t="s">
        <v>338</v>
      </c>
      <c r="C787" s="6" t="s">
        <v>360</v>
      </c>
      <c r="D787" s="5">
        <v>44891</v>
      </c>
    </row>
    <row r="788" spans="2:4">
      <c r="B788" s="6" t="s">
        <v>136</v>
      </c>
      <c r="C788" s="6" t="s">
        <v>275</v>
      </c>
      <c r="D788" s="5">
        <v>44891</v>
      </c>
    </row>
    <row r="789" spans="2:4">
      <c r="B789" s="6" t="s">
        <v>189</v>
      </c>
      <c r="C789" s="6" t="s">
        <v>359</v>
      </c>
      <c r="D789" s="5">
        <v>44891</v>
      </c>
    </row>
    <row r="790" spans="2:4">
      <c r="B790" s="6" t="s">
        <v>451</v>
      </c>
      <c r="C790" s="6" t="s">
        <v>451</v>
      </c>
      <c r="D790" s="5">
        <v>44891</v>
      </c>
    </row>
    <row r="791" spans="2:4">
      <c r="B791" s="6" t="s">
        <v>47</v>
      </c>
      <c r="C791" s="6" t="s">
        <v>106</v>
      </c>
      <c r="D791" s="5">
        <v>44891</v>
      </c>
    </row>
    <row r="792" spans="2:4">
      <c r="B792" s="6" t="s">
        <v>171</v>
      </c>
      <c r="C792" s="6" t="s">
        <v>112</v>
      </c>
      <c r="D792" s="5">
        <v>44891</v>
      </c>
    </row>
    <row r="793" spans="2:4">
      <c r="B793" s="6" t="s">
        <v>331</v>
      </c>
      <c r="C793" s="6" t="s">
        <v>370</v>
      </c>
      <c r="D793" s="5">
        <v>44891</v>
      </c>
    </row>
    <row r="794" spans="2:4">
      <c r="B794" s="6" t="s">
        <v>159</v>
      </c>
      <c r="C794" s="6" t="s">
        <v>362</v>
      </c>
      <c r="D794" s="5">
        <v>44891</v>
      </c>
    </row>
    <row r="795" spans="2:4">
      <c r="B795" s="6" t="s">
        <v>381</v>
      </c>
      <c r="C795" s="6" t="s">
        <v>165</v>
      </c>
      <c r="D795" s="5">
        <v>44891</v>
      </c>
    </row>
    <row r="796" spans="2:4">
      <c r="B796" s="6" t="s">
        <v>451</v>
      </c>
      <c r="C796" s="6" t="s">
        <v>451</v>
      </c>
      <c r="D796" s="5">
        <v>44891</v>
      </c>
    </row>
    <row r="797" spans="2:4">
      <c r="B797" s="6" t="s">
        <v>77</v>
      </c>
      <c r="C797" s="6" t="s">
        <v>348</v>
      </c>
      <c r="D797" s="5">
        <v>44891</v>
      </c>
    </row>
    <row r="798" spans="2:4">
      <c r="B798" s="6" t="s">
        <v>37</v>
      </c>
      <c r="C798" s="6" t="s">
        <v>347</v>
      </c>
      <c r="D798" s="5">
        <v>44891</v>
      </c>
    </row>
    <row r="799" spans="2:4">
      <c r="B799" s="6" t="s">
        <v>451</v>
      </c>
      <c r="C799" s="6" t="s">
        <v>451</v>
      </c>
      <c r="D799" s="5">
        <v>44891</v>
      </c>
    </row>
    <row r="800" spans="2:4">
      <c r="B800" s="6" t="s">
        <v>426</v>
      </c>
      <c r="C800" s="6" t="s">
        <v>353</v>
      </c>
      <c r="D800" s="5">
        <v>44891</v>
      </c>
    </row>
    <row r="801" spans="2:4">
      <c r="B801" s="6" t="s">
        <v>163</v>
      </c>
      <c r="C801" s="6" t="s">
        <v>446</v>
      </c>
      <c r="D801" s="5">
        <v>44891</v>
      </c>
    </row>
    <row r="802" spans="2:4">
      <c r="B802" s="6" t="s">
        <v>160</v>
      </c>
      <c r="C802" s="6" t="s">
        <v>285</v>
      </c>
      <c r="D802" s="5">
        <v>44891</v>
      </c>
    </row>
    <row r="803" spans="2:4">
      <c r="B803" s="6" t="s">
        <v>382</v>
      </c>
      <c r="C803" s="6" t="s">
        <v>295</v>
      </c>
      <c r="D803" s="5">
        <v>44892</v>
      </c>
    </row>
    <row r="804" spans="2:4">
      <c r="B804" s="6" t="s">
        <v>451</v>
      </c>
      <c r="C804" s="6" t="s">
        <v>451</v>
      </c>
      <c r="D804" s="5">
        <v>44892</v>
      </c>
    </row>
    <row r="805" spans="2:4">
      <c r="B805" s="6" t="s">
        <v>451</v>
      </c>
      <c r="C805" s="6" t="s">
        <v>451</v>
      </c>
      <c r="D805" s="5">
        <v>44892</v>
      </c>
    </row>
    <row r="806" spans="2:4">
      <c r="B806" s="6" t="s">
        <v>451</v>
      </c>
      <c r="C806" s="6" t="s">
        <v>451</v>
      </c>
      <c r="D806" s="5">
        <v>44892</v>
      </c>
    </row>
    <row r="807" spans="2:4">
      <c r="B807" s="6" t="s">
        <v>451</v>
      </c>
      <c r="C807" s="6" t="s">
        <v>451</v>
      </c>
      <c r="D807" s="5">
        <v>44892</v>
      </c>
    </row>
    <row r="808" spans="2:4">
      <c r="B808" s="6" t="s">
        <v>451</v>
      </c>
      <c r="C808" s="6" t="s">
        <v>451</v>
      </c>
      <c r="D808" s="5">
        <v>44892</v>
      </c>
    </row>
    <row r="809" spans="2:4">
      <c r="B809" s="6" t="s">
        <v>267</v>
      </c>
      <c r="C809" s="6" t="s">
        <v>290</v>
      </c>
      <c r="D809" s="5">
        <v>44892</v>
      </c>
    </row>
    <row r="810" spans="2:4">
      <c r="B810" s="6" t="s">
        <v>451</v>
      </c>
      <c r="C810" s="6" t="s">
        <v>451</v>
      </c>
      <c r="D810" s="5">
        <v>44892</v>
      </c>
    </row>
    <row r="811" spans="2:4">
      <c r="B811" s="6" t="s">
        <v>139</v>
      </c>
      <c r="C811" s="6" t="s">
        <v>409</v>
      </c>
      <c r="D811" s="5">
        <v>44892</v>
      </c>
    </row>
    <row r="812" spans="2:4">
      <c r="B812" s="6" t="s">
        <v>451</v>
      </c>
      <c r="C812" s="6" t="s">
        <v>451</v>
      </c>
      <c r="D812" s="5">
        <v>44892</v>
      </c>
    </row>
    <row r="813" spans="2:4">
      <c r="B813" s="6" t="s">
        <v>54</v>
      </c>
      <c r="C813" s="6" t="s">
        <v>124</v>
      </c>
      <c r="D813" s="5">
        <v>44892</v>
      </c>
    </row>
    <row r="814" spans="2:4">
      <c r="B814" s="6" t="s">
        <v>298</v>
      </c>
      <c r="C814" s="6" t="s">
        <v>142</v>
      </c>
      <c r="D814" s="5">
        <v>44892</v>
      </c>
    </row>
    <row r="815" spans="2:4">
      <c r="B815" s="6" t="s">
        <v>131</v>
      </c>
      <c r="C815" s="6" t="s">
        <v>642</v>
      </c>
      <c r="D815" s="5">
        <v>44892</v>
      </c>
    </row>
    <row r="816" spans="2:4">
      <c r="B816" s="6" t="s">
        <v>269</v>
      </c>
      <c r="C816" s="6" t="s">
        <v>590</v>
      </c>
      <c r="D816" s="5">
        <v>44892</v>
      </c>
    </row>
    <row r="817" spans="2:4">
      <c r="B817" s="6" t="s">
        <v>321</v>
      </c>
      <c r="C817" s="6" t="s">
        <v>141</v>
      </c>
      <c r="D817" s="5">
        <v>44892</v>
      </c>
    </row>
    <row r="818" spans="2:4">
      <c r="B818" s="6" t="s">
        <v>89</v>
      </c>
      <c r="C818" s="6" t="s">
        <v>436</v>
      </c>
      <c r="D818" s="5">
        <v>44892</v>
      </c>
    </row>
    <row r="819" spans="2:4">
      <c r="B819" s="6" t="s">
        <v>242</v>
      </c>
      <c r="C819" s="6" t="s">
        <v>391</v>
      </c>
      <c r="D819" s="5">
        <v>44892</v>
      </c>
    </row>
    <row r="820" spans="2:4">
      <c r="B820" s="6" t="s">
        <v>349</v>
      </c>
      <c r="C820" s="6" t="s">
        <v>108</v>
      </c>
      <c r="D820" s="5">
        <v>44892</v>
      </c>
    </row>
    <row r="821" spans="2:4">
      <c r="B821" s="6" t="s">
        <v>451</v>
      </c>
      <c r="C821" s="6" t="s">
        <v>451</v>
      </c>
      <c r="D821" s="5">
        <v>44892</v>
      </c>
    </row>
    <row r="822" spans="2:4">
      <c r="B822" s="6" t="s">
        <v>325</v>
      </c>
      <c r="C822" s="6" t="s">
        <v>468</v>
      </c>
      <c r="D822" s="5">
        <v>44892</v>
      </c>
    </row>
    <row r="823" spans="2:4">
      <c r="B823" s="6" t="s">
        <v>296</v>
      </c>
      <c r="C823" s="6" t="s">
        <v>643</v>
      </c>
      <c r="D823" s="5">
        <v>44892</v>
      </c>
    </row>
    <row r="824" spans="2:4">
      <c r="B824" s="6" t="s">
        <v>256</v>
      </c>
      <c r="C824" s="6" t="s">
        <v>304</v>
      </c>
      <c r="D824" s="5">
        <v>44892</v>
      </c>
    </row>
    <row r="825" spans="2:4">
      <c r="B825" s="6" t="s">
        <v>129</v>
      </c>
      <c r="C825" s="6" t="s">
        <v>202</v>
      </c>
      <c r="D825" s="5">
        <v>44892</v>
      </c>
    </row>
    <row r="826" spans="2:4">
      <c r="B826" s="6" t="s">
        <v>177</v>
      </c>
      <c r="C826" s="6" t="s">
        <v>98</v>
      </c>
      <c r="D826" s="5">
        <v>44892</v>
      </c>
    </row>
    <row r="827" spans="2:4">
      <c r="B827" s="6" t="s">
        <v>196</v>
      </c>
      <c r="C827" s="6" t="s">
        <v>621</v>
      </c>
      <c r="D827" s="5">
        <v>44892</v>
      </c>
    </row>
    <row r="828" spans="2:4">
      <c r="B828" s="6" t="s">
        <v>259</v>
      </c>
      <c r="C828" s="6" t="s">
        <v>186</v>
      </c>
      <c r="D828" s="5">
        <v>44892</v>
      </c>
    </row>
    <row r="829" spans="2:4">
      <c r="B829" s="6" t="s">
        <v>145</v>
      </c>
      <c r="C829" s="6" t="s">
        <v>146</v>
      </c>
      <c r="D829" s="5">
        <v>44892</v>
      </c>
    </row>
    <row r="830" spans="2:4">
      <c r="B830" s="6" t="s">
        <v>127</v>
      </c>
      <c r="C830" s="6" t="s">
        <v>314</v>
      </c>
      <c r="D830" s="5">
        <v>44892</v>
      </c>
    </row>
    <row r="831" spans="2:4">
      <c r="B831" s="6" t="s">
        <v>343</v>
      </c>
      <c r="C831" s="6" t="s">
        <v>232</v>
      </c>
      <c r="D831" s="5">
        <v>44892</v>
      </c>
    </row>
    <row r="832" spans="2:4">
      <c r="B832" s="6" t="s">
        <v>122</v>
      </c>
      <c r="C832" s="6" t="s">
        <v>176</v>
      </c>
      <c r="D832" s="5">
        <v>44892</v>
      </c>
    </row>
    <row r="833" spans="2:4">
      <c r="B833" s="6" t="s">
        <v>247</v>
      </c>
      <c r="C833" s="6" t="s">
        <v>236</v>
      </c>
      <c r="D833" s="5">
        <v>44892</v>
      </c>
    </row>
    <row r="834" spans="2:4">
      <c r="B834" s="6" t="s">
        <v>244</v>
      </c>
      <c r="C834" s="6" t="s">
        <v>410</v>
      </c>
      <c r="D834" s="5">
        <v>44892</v>
      </c>
    </row>
    <row r="835" spans="2:4">
      <c r="B835" s="6" t="s">
        <v>107</v>
      </c>
      <c r="C835" s="6" t="s">
        <v>174</v>
      </c>
      <c r="D835" s="5">
        <v>44892</v>
      </c>
    </row>
    <row r="836" spans="2:4">
      <c r="B836" s="6" t="s">
        <v>412</v>
      </c>
      <c r="C836" s="6" t="s">
        <v>306</v>
      </c>
      <c r="D836" s="5">
        <v>44892</v>
      </c>
    </row>
    <row r="837" spans="2:4">
      <c r="B837" s="6" t="s">
        <v>203</v>
      </c>
      <c r="C837" s="6" t="s">
        <v>211</v>
      </c>
      <c r="D837" s="5">
        <v>44892</v>
      </c>
    </row>
    <row r="838" spans="2:4">
      <c r="B838" s="6" t="s">
        <v>451</v>
      </c>
      <c r="C838" s="6" t="s">
        <v>451</v>
      </c>
      <c r="D838" s="5">
        <v>44892</v>
      </c>
    </row>
    <row r="839" spans="2:4">
      <c r="B839" s="6" t="s">
        <v>83</v>
      </c>
      <c r="C839" s="6" t="s">
        <v>133</v>
      </c>
      <c r="D839" s="5">
        <v>44892</v>
      </c>
    </row>
    <row r="840" spans="2:4">
      <c r="B840" s="6" t="s">
        <v>102</v>
      </c>
      <c r="C840" s="6" t="s">
        <v>315</v>
      </c>
      <c r="D840" s="5">
        <v>44892</v>
      </c>
    </row>
    <row r="841" spans="2:4">
      <c r="B841" s="6" t="s">
        <v>778</v>
      </c>
      <c r="C841" s="6" t="s">
        <v>399</v>
      </c>
      <c r="D841" s="5">
        <v>44892</v>
      </c>
    </row>
    <row r="842" spans="2:4">
      <c r="B842" s="6" t="s">
        <v>403</v>
      </c>
      <c r="C842" s="6" t="s">
        <v>345</v>
      </c>
      <c r="D842" s="5">
        <v>44892</v>
      </c>
    </row>
    <row r="843" spans="2:4">
      <c r="B843" s="6" t="s">
        <v>367</v>
      </c>
      <c r="C843" s="6" t="s">
        <v>644</v>
      </c>
      <c r="D843" s="5">
        <v>44892</v>
      </c>
    </row>
    <row r="844" spans="2:4">
      <c r="B844" s="6" t="s">
        <v>316</v>
      </c>
      <c r="C844" s="6" t="s">
        <v>481</v>
      </c>
      <c r="D844" s="5">
        <v>44892</v>
      </c>
    </row>
    <row r="845" spans="2:4">
      <c r="B845" s="6" t="s">
        <v>341</v>
      </c>
      <c r="C845" s="6" t="s">
        <v>94</v>
      </c>
      <c r="D845" s="5">
        <v>44892</v>
      </c>
    </row>
    <row r="846" spans="2:4">
      <c r="B846" s="6" t="s">
        <v>198</v>
      </c>
      <c r="C846" s="6" t="s">
        <v>190</v>
      </c>
      <c r="D846" s="5">
        <v>44892</v>
      </c>
    </row>
    <row r="847" spans="2:4">
      <c r="B847" s="6" t="s">
        <v>81</v>
      </c>
      <c r="C847" s="6" t="s">
        <v>103</v>
      </c>
      <c r="D847" s="5">
        <v>44892</v>
      </c>
    </row>
    <row r="848" spans="2:4">
      <c r="B848" s="6" t="s">
        <v>72</v>
      </c>
      <c r="C848" s="6" t="s">
        <v>100</v>
      </c>
      <c r="D848" s="5">
        <v>44892</v>
      </c>
    </row>
    <row r="849" spans="2:4">
      <c r="B849" s="6" t="s">
        <v>451</v>
      </c>
      <c r="C849" s="6" t="s">
        <v>451</v>
      </c>
      <c r="D849" s="5">
        <v>44892</v>
      </c>
    </row>
    <row r="850" spans="2:4">
      <c r="B850" s="6" t="s">
        <v>451</v>
      </c>
      <c r="C850" s="6" t="s">
        <v>451</v>
      </c>
      <c r="D850" s="5">
        <v>44892</v>
      </c>
    </row>
    <row r="851" spans="2:4">
      <c r="B851" s="6" t="s">
        <v>358</v>
      </c>
      <c r="C851" s="6" t="s">
        <v>278</v>
      </c>
      <c r="D851" s="5">
        <v>44892</v>
      </c>
    </row>
    <row r="852" spans="2:4">
      <c r="B852" s="6" t="s">
        <v>216</v>
      </c>
      <c r="C852" s="6" t="s">
        <v>178</v>
      </c>
      <c r="D852" s="5">
        <v>44892</v>
      </c>
    </row>
    <row r="853" spans="2:4">
      <c r="B853" s="6" t="s">
        <v>419</v>
      </c>
      <c r="C853" s="6" t="s">
        <v>118</v>
      </c>
      <c r="D853" s="5">
        <v>44892</v>
      </c>
    </row>
    <row r="854" spans="2:4">
      <c r="B854" s="6" t="s">
        <v>355</v>
      </c>
      <c r="C854" s="6" t="s">
        <v>153</v>
      </c>
      <c r="D854" s="5">
        <v>44892</v>
      </c>
    </row>
    <row r="855" spans="2:4">
      <c r="B855" s="6" t="s">
        <v>123</v>
      </c>
      <c r="C855" s="6" t="s">
        <v>171</v>
      </c>
      <c r="D855" s="5">
        <v>44892</v>
      </c>
    </row>
    <row r="856" spans="2:4">
      <c r="B856" s="6" t="s">
        <v>184</v>
      </c>
      <c r="C856" s="6" t="s">
        <v>489</v>
      </c>
      <c r="D856" s="5">
        <v>44892</v>
      </c>
    </row>
    <row r="857" spans="2:4">
      <c r="B857" s="6" t="s">
        <v>359</v>
      </c>
      <c r="C857" s="6" t="s">
        <v>353</v>
      </c>
      <c r="D857" s="5">
        <v>44892</v>
      </c>
    </row>
    <row r="858" spans="2:4">
      <c r="B858" s="6" t="s">
        <v>451</v>
      </c>
      <c r="C858" s="6" t="s">
        <v>451</v>
      </c>
      <c r="D858" s="5">
        <v>44892</v>
      </c>
    </row>
    <row r="859" spans="2:4">
      <c r="B859" s="6" t="s">
        <v>719</v>
      </c>
      <c r="C859" s="6" t="s">
        <v>156</v>
      </c>
      <c r="D859" s="5">
        <v>44892</v>
      </c>
    </row>
    <row r="860" spans="2:4">
      <c r="B860" s="6" t="s">
        <v>411</v>
      </c>
      <c r="C860" s="6" t="s">
        <v>48</v>
      </c>
      <c r="D860" s="5">
        <v>44892</v>
      </c>
    </row>
    <row r="861" spans="2:4">
      <c r="B861" s="6" t="s">
        <v>451</v>
      </c>
      <c r="C861" s="6" t="s">
        <v>451</v>
      </c>
      <c r="D861" s="5">
        <v>44892</v>
      </c>
    </row>
    <row r="862" spans="2:4">
      <c r="B862" s="6" t="s">
        <v>274</v>
      </c>
      <c r="C862" s="6" t="s">
        <v>393</v>
      </c>
      <c r="D862" s="5">
        <v>44892</v>
      </c>
    </row>
    <row r="863" spans="2:4">
      <c r="B863" s="6" t="s">
        <v>75</v>
      </c>
      <c r="C863" s="6" t="s">
        <v>248</v>
      </c>
      <c r="D863" s="5">
        <v>44892</v>
      </c>
    </row>
    <row r="864" spans="2:4">
      <c r="B864" s="6" t="s">
        <v>114</v>
      </c>
      <c r="C864" s="6" t="s">
        <v>115</v>
      </c>
      <c r="D864" s="5">
        <v>44892</v>
      </c>
    </row>
    <row r="865" spans="2:4">
      <c r="B865" s="6" t="s">
        <v>213</v>
      </c>
      <c r="C865" s="6" t="s">
        <v>112</v>
      </c>
      <c r="D865" s="5">
        <v>44892</v>
      </c>
    </row>
    <row r="866" spans="2:4">
      <c r="B866" s="6" t="s">
        <v>189</v>
      </c>
      <c r="C866" s="6" t="s">
        <v>426</v>
      </c>
      <c r="D866" s="5">
        <v>44892</v>
      </c>
    </row>
    <row r="867" spans="2:4">
      <c r="B867" s="6" t="s">
        <v>451</v>
      </c>
      <c r="C867" s="6" t="s">
        <v>451</v>
      </c>
      <c r="D867" s="5">
        <v>44892</v>
      </c>
    </row>
    <row r="868" spans="2:4">
      <c r="B868" s="6" t="s">
        <v>451</v>
      </c>
      <c r="C868" s="6" t="s">
        <v>451</v>
      </c>
      <c r="D868" s="5">
        <v>44892</v>
      </c>
    </row>
    <row r="869" spans="2:4">
      <c r="B869" s="6" t="s">
        <v>451</v>
      </c>
      <c r="C869" s="6" t="s">
        <v>451</v>
      </c>
      <c r="D869" s="5">
        <v>44892</v>
      </c>
    </row>
    <row r="870" spans="2:4">
      <c r="B870" s="6" t="s">
        <v>368</v>
      </c>
      <c r="C870" s="6" t="s">
        <v>351</v>
      </c>
      <c r="D870" s="5">
        <v>44892</v>
      </c>
    </row>
    <row r="871" spans="2:4">
      <c r="B871" s="6" t="s">
        <v>451</v>
      </c>
      <c r="C871" s="6" t="s">
        <v>451</v>
      </c>
      <c r="D871" s="5">
        <v>44892</v>
      </c>
    </row>
    <row r="872" spans="2:4">
      <c r="B872" s="6" t="s">
        <v>141</v>
      </c>
      <c r="C872" s="6" t="s">
        <v>278</v>
      </c>
      <c r="D872" s="5">
        <v>44893</v>
      </c>
    </row>
    <row r="873" spans="2:4">
      <c r="B873" s="6" t="s">
        <v>382</v>
      </c>
      <c r="C873" s="6" t="s">
        <v>351</v>
      </c>
      <c r="D873" s="5">
        <v>44893</v>
      </c>
    </row>
    <row r="874" spans="2:4">
      <c r="B874" s="6" t="s">
        <v>368</v>
      </c>
      <c r="C874" s="6" t="s">
        <v>295</v>
      </c>
      <c r="D874" s="5">
        <v>44893</v>
      </c>
    </row>
    <row r="875" spans="2:4">
      <c r="B875" s="6" t="s">
        <v>106</v>
      </c>
      <c r="C875" s="6" t="s">
        <v>645</v>
      </c>
      <c r="D875" s="5">
        <v>44893</v>
      </c>
    </row>
    <row r="876" spans="2:4">
      <c r="B876" s="6" t="s">
        <v>588</v>
      </c>
      <c r="C876" s="6" t="s">
        <v>646</v>
      </c>
      <c r="D876" s="5">
        <v>44893</v>
      </c>
    </row>
    <row r="877" spans="2:4">
      <c r="B877" s="6" t="s">
        <v>336</v>
      </c>
      <c r="C877" s="6" t="s">
        <v>435</v>
      </c>
      <c r="D877" s="5">
        <v>44893</v>
      </c>
    </row>
    <row r="878" spans="2:4">
      <c r="B878" s="6" t="s">
        <v>361</v>
      </c>
      <c r="C878" s="6" t="s">
        <v>138</v>
      </c>
      <c r="D878" s="5">
        <v>44893</v>
      </c>
    </row>
    <row r="879" spans="2:4">
      <c r="B879" s="6" t="s">
        <v>221</v>
      </c>
      <c r="C879" s="6" t="s">
        <v>333</v>
      </c>
      <c r="D879" s="5">
        <v>44893</v>
      </c>
    </row>
    <row r="880" spans="2:4">
      <c r="B880" s="6" t="s">
        <v>250</v>
      </c>
      <c r="C880" s="6" t="s">
        <v>342</v>
      </c>
      <c r="D880" s="5">
        <v>44893</v>
      </c>
    </row>
    <row r="881" spans="2:4">
      <c r="B881" s="6" t="s">
        <v>52</v>
      </c>
      <c r="C881" s="6" t="s">
        <v>63</v>
      </c>
      <c r="D881" s="5">
        <v>44893</v>
      </c>
    </row>
    <row r="882" spans="2:4">
      <c r="B882" s="6" t="s">
        <v>181</v>
      </c>
      <c r="C882" s="6" t="s">
        <v>439</v>
      </c>
      <c r="D882" s="5">
        <v>44893</v>
      </c>
    </row>
    <row r="883" spans="2:4">
      <c r="B883" s="6" t="s">
        <v>763</v>
      </c>
      <c r="C883" s="6" t="s">
        <v>357</v>
      </c>
      <c r="D883" s="5">
        <v>44893</v>
      </c>
    </row>
    <row r="884" spans="2:4">
      <c r="B884" s="6" t="s">
        <v>26</v>
      </c>
      <c r="C884" s="6" t="s">
        <v>249</v>
      </c>
      <c r="D884" s="5">
        <v>44893</v>
      </c>
    </row>
    <row r="885" spans="2:4">
      <c r="B885" s="6" t="s">
        <v>84</v>
      </c>
      <c r="C885" s="6" t="s">
        <v>194</v>
      </c>
      <c r="D885" s="5">
        <v>44893</v>
      </c>
    </row>
    <row r="886" spans="2:4">
      <c r="B886" s="6" t="s">
        <v>208</v>
      </c>
      <c r="C886" s="6" t="s">
        <v>555</v>
      </c>
      <c r="D886" s="5">
        <v>44893</v>
      </c>
    </row>
    <row r="887" spans="2:4">
      <c r="B887" s="6" t="s">
        <v>308</v>
      </c>
      <c r="C887" s="6" t="s">
        <v>469</v>
      </c>
      <c r="D887" s="5">
        <v>44893</v>
      </c>
    </row>
    <row r="888" spans="2:4">
      <c r="B888" s="6" t="s">
        <v>358</v>
      </c>
      <c r="C888" s="6" t="s">
        <v>321</v>
      </c>
      <c r="D888" s="5">
        <v>44893</v>
      </c>
    </row>
    <row r="889" spans="2:4">
      <c r="B889" s="6" t="s">
        <v>323</v>
      </c>
      <c r="C889" s="6" t="s">
        <v>543</v>
      </c>
      <c r="D889" s="5">
        <v>44893</v>
      </c>
    </row>
    <row r="890" spans="2:4">
      <c r="B890" s="6" t="s">
        <v>166</v>
      </c>
      <c r="C890" s="6" t="s">
        <v>395</v>
      </c>
      <c r="D890" s="5">
        <v>44893</v>
      </c>
    </row>
    <row r="891" spans="2:4">
      <c r="B891" s="6" t="s">
        <v>68</v>
      </c>
      <c r="C891" s="6" t="s">
        <v>49</v>
      </c>
      <c r="D891" s="5">
        <v>44893</v>
      </c>
    </row>
    <row r="892" spans="2:4">
      <c r="B892" s="6" t="s">
        <v>71</v>
      </c>
      <c r="C892" s="6" t="s">
        <v>424</v>
      </c>
      <c r="D892" s="5">
        <v>44893</v>
      </c>
    </row>
    <row r="893" spans="2:4">
      <c r="B893" s="6" t="s">
        <v>427</v>
      </c>
      <c r="C893" s="6" t="s">
        <v>207</v>
      </c>
      <c r="D893" s="5">
        <v>44893</v>
      </c>
    </row>
    <row r="894" spans="2:4">
      <c r="B894" s="6" t="s">
        <v>169</v>
      </c>
      <c r="C894" s="6" t="s">
        <v>415</v>
      </c>
      <c r="D894" s="5">
        <v>44893</v>
      </c>
    </row>
    <row r="895" spans="2:4">
      <c r="B895" s="6" t="s">
        <v>60</v>
      </c>
      <c r="C895" s="6" t="s">
        <v>47</v>
      </c>
      <c r="D895" s="5">
        <v>44894</v>
      </c>
    </row>
    <row r="896" spans="2:4">
      <c r="B896" s="6" t="s">
        <v>43</v>
      </c>
      <c r="C896" s="6" t="s">
        <v>56</v>
      </c>
      <c r="D896" s="5">
        <v>44894</v>
      </c>
    </row>
    <row r="897" spans="2:4">
      <c r="B897" s="6" t="s">
        <v>238</v>
      </c>
      <c r="C897" s="6" t="s">
        <v>437</v>
      </c>
      <c r="D897" s="5">
        <v>44894</v>
      </c>
    </row>
    <row r="898" spans="2:4">
      <c r="B898" s="6" t="s">
        <v>99</v>
      </c>
      <c r="C898" s="6" t="s">
        <v>647</v>
      </c>
      <c r="D898" s="5">
        <v>44894</v>
      </c>
    </row>
    <row r="899" spans="2:4">
      <c r="B899" s="6" t="s">
        <v>302</v>
      </c>
      <c r="C899" s="6" t="s">
        <v>405</v>
      </c>
      <c r="D899" s="5">
        <v>44894</v>
      </c>
    </row>
    <row r="900" spans="2:4">
      <c r="B900" s="6" t="s">
        <v>286</v>
      </c>
      <c r="C900" s="6" t="s">
        <v>111</v>
      </c>
      <c r="D900" s="5">
        <v>44894</v>
      </c>
    </row>
    <row r="901" spans="2:4">
      <c r="B901" s="6" t="s">
        <v>80</v>
      </c>
      <c r="C901" s="6" t="s">
        <v>248</v>
      </c>
      <c r="D901" s="5">
        <v>44894</v>
      </c>
    </row>
    <row r="902" spans="2:4">
      <c r="B902" s="6" t="s">
        <v>354</v>
      </c>
      <c r="C902" s="6" t="s">
        <v>283</v>
      </c>
      <c r="D902" s="5">
        <v>44894</v>
      </c>
    </row>
    <row r="903" spans="2:4">
      <c r="B903" s="6" t="s">
        <v>319</v>
      </c>
      <c r="C903" s="6" t="s">
        <v>439</v>
      </c>
      <c r="D903" s="5">
        <v>44894</v>
      </c>
    </row>
    <row r="904" spans="2:4">
      <c r="B904" s="6" t="s">
        <v>362</v>
      </c>
      <c r="C904" s="6" t="s">
        <v>498</v>
      </c>
      <c r="D904" s="5">
        <v>44894</v>
      </c>
    </row>
    <row r="905" spans="2:4">
      <c r="B905" s="6" t="s">
        <v>305</v>
      </c>
      <c r="C905" s="6" t="s">
        <v>455</v>
      </c>
      <c r="D905" s="5">
        <v>44894</v>
      </c>
    </row>
    <row r="906" spans="2:4">
      <c r="B906" s="6" t="s">
        <v>191</v>
      </c>
      <c r="C906" s="6" t="s">
        <v>541</v>
      </c>
      <c r="D906" s="5">
        <v>44894</v>
      </c>
    </row>
    <row r="907" spans="2:4">
      <c r="B907" s="6" t="s">
        <v>277</v>
      </c>
      <c r="C907" s="6" t="s">
        <v>297</v>
      </c>
      <c r="D907" s="5">
        <v>44894</v>
      </c>
    </row>
    <row r="908" spans="2:4">
      <c r="B908" s="6" t="s">
        <v>275</v>
      </c>
      <c r="C908" s="6" t="s">
        <v>276</v>
      </c>
      <c r="D908" s="5">
        <v>44894</v>
      </c>
    </row>
    <row r="909" spans="2:4">
      <c r="B909" s="6" t="s">
        <v>360</v>
      </c>
      <c r="C909" s="6" t="s">
        <v>215</v>
      </c>
      <c r="D909" s="5">
        <v>44894</v>
      </c>
    </row>
    <row r="910" spans="2:4">
      <c r="B910" s="6" t="s">
        <v>432</v>
      </c>
      <c r="C910" s="6" t="s">
        <v>136</v>
      </c>
      <c r="D910" s="5">
        <v>44894</v>
      </c>
    </row>
    <row r="911" spans="2:4">
      <c r="B911" s="6" t="s">
        <v>231</v>
      </c>
      <c r="C911" s="6" t="s">
        <v>300</v>
      </c>
      <c r="D911" s="5">
        <v>44894</v>
      </c>
    </row>
    <row r="912" spans="2:4">
      <c r="B912" s="6" t="s">
        <v>284</v>
      </c>
      <c r="C912" s="6" t="s">
        <v>423</v>
      </c>
      <c r="D912" s="5">
        <v>44894</v>
      </c>
    </row>
    <row r="913" spans="2:4">
      <c r="B913" s="6" t="s">
        <v>246</v>
      </c>
      <c r="C913" s="6" t="s">
        <v>107</v>
      </c>
      <c r="D913" s="5">
        <v>44894</v>
      </c>
    </row>
    <row r="914" spans="2:4">
      <c r="B914" s="6" t="s">
        <v>199</v>
      </c>
      <c r="C914" s="6" t="s">
        <v>182</v>
      </c>
      <c r="D914" s="5">
        <v>44894</v>
      </c>
    </row>
    <row r="915" spans="2:4">
      <c r="B915" s="6" t="s">
        <v>209</v>
      </c>
      <c r="C915" s="6" t="s">
        <v>364</v>
      </c>
      <c r="D915" s="5">
        <v>44894</v>
      </c>
    </row>
    <row r="916" spans="2:4">
      <c r="B916" s="6" t="s">
        <v>288</v>
      </c>
      <c r="C916" s="6" t="s">
        <v>610</v>
      </c>
      <c r="D916" s="5">
        <v>44894</v>
      </c>
    </row>
    <row r="917" spans="2:4">
      <c r="B917" s="6" t="s">
        <v>192</v>
      </c>
      <c r="C917" s="6" t="s">
        <v>261</v>
      </c>
      <c r="D917" s="5">
        <v>44894</v>
      </c>
    </row>
    <row r="918" spans="2:4">
      <c r="B918" s="6" t="s">
        <v>770</v>
      </c>
      <c r="C918" s="6" t="s">
        <v>413</v>
      </c>
      <c r="D918" s="5">
        <v>44894</v>
      </c>
    </row>
    <row r="919" spans="2:4">
      <c r="B919" s="6" t="s">
        <v>51</v>
      </c>
      <c r="C919" s="6" t="s">
        <v>781</v>
      </c>
      <c r="D919" s="5">
        <v>44894</v>
      </c>
    </row>
    <row r="920" spans="2:4">
      <c r="B920" s="6" t="s">
        <v>212</v>
      </c>
      <c r="C920" s="6" t="s">
        <v>310</v>
      </c>
      <c r="D920" s="5">
        <v>44894</v>
      </c>
    </row>
    <row r="921" spans="2:4">
      <c r="B921" s="6" t="s">
        <v>370</v>
      </c>
      <c r="C921" s="6" t="s">
        <v>648</v>
      </c>
      <c r="D921" s="5">
        <v>44894</v>
      </c>
    </row>
    <row r="922" spans="2:4">
      <c r="B922" s="6" t="s">
        <v>388</v>
      </c>
      <c r="C922" s="6" t="s">
        <v>206</v>
      </c>
      <c r="D922" s="5">
        <v>44894</v>
      </c>
    </row>
    <row r="923" spans="2:4">
      <c r="B923" s="6" t="s">
        <v>365</v>
      </c>
      <c r="C923" s="6" t="s">
        <v>521</v>
      </c>
      <c r="D923" s="5">
        <v>44894</v>
      </c>
    </row>
    <row r="924" spans="2:4">
      <c r="B924" s="6" t="s">
        <v>184</v>
      </c>
      <c r="C924" s="6" t="s">
        <v>649</v>
      </c>
      <c r="D924" s="5">
        <v>44894</v>
      </c>
    </row>
    <row r="925" spans="2:4">
      <c r="B925" s="6" t="s">
        <v>403</v>
      </c>
      <c r="C925" s="6" t="s">
        <v>442</v>
      </c>
      <c r="D925" s="5">
        <v>44894</v>
      </c>
    </row>
    <row r="926" spans="2:4">
      <c r="B926" s="6" t="s">
        <v>331</v>
      </c>
      <c r="C926" s="6" t="s">
        <v>153</v>
      </c>
      <c r="D926" s="5">
        <v>44894</v>
      </c>
    </row>
    <row r="927" spans="2:4">
      <c r="B927" s="6" t="s">
        <v>348</v>
      </c>
      <c r="C927" s="6" t="s">
        <v>529</v>
      </c>
      <c r="D927" s="5">
        <v>44894</v>
      </c>
    </row>
    <row r="928" spans="2:4">
      <c r="B928" s="6" t="s">
        <v>316</v>
      </c>
      <c r="C928" s="6" t="s">
        <v>190</v>
      </c>
      <c r="D928" s="5">
        <v>44894</v>
      </c>
    </row>
    <row r="929" spans="2:4">
      <c r="B929" s="6" t="s">
        <v>352</v>
      </c>
      <c r="C929" s="6" t="s">
        <v>87</v>
      </c>
      <c r="D929" s="5">
        <v>44894</v>
      </c>
    </row>
    <row r="930" spans="2:4">
      <c r="B930" s="6" t="s">
        <v>37</v>
      </c>
      <c r="C930" s="6" t="s">
        <v>28</v>
      </c>
      <c r="D930" s="5">
        <v>44894</v>
      </c>
    </row>
    <row r="931" spans="2:4">
      <c r="B931" s="6" t="s">
        <v>162</v>
      </c>
      <c r="C931" s="6" t="s">
        <v>599</v>
      </c>
      <c r="D931" s="5">
        <v>44894</v>
      </c>
    </row>
    <row r="932" spans="2:4">
      <c r="B932" s="6" t="s">
        <v>381</v>
      </c>
      <c r="C932" s="6" t="s">
        <v>156</v>
      </c>
      <c r="D932" s="5">
        <v>44894</v>
      </c>
    </row>
    <row r="933" spans="2:4">
      <c r="B933" s="6" t="s">
        <v>157</v>
      </c>
      <c r="C933" s="6" t="s">
        <v>486</v>
      </c>
      <c r="D933" s="5">
        <v>44894</v>
      </c>
    </row>
    <row r="934" spans="2:4">
      <c r="B934" s="6" t="s">
        <v>61</v>
      </c>
      <c r="C934" s="6" t="s">
        <v>50</v>
      </c>
      <c r="D934" s="5">
        <v>44894</v>
      </c>
    </row>
    <row r="935" spans="2:4">
      <c r="B935" s="6" t="s">
        <v>65</v>
      </c>
      <c r="C935" s="6" t="s">
        <v>53</v>
      </c>
      <c r="D935" s="5">
        <v>44894</v>
      </c>
    </row>
    <row r="936" spans="2:4">
      <c r="B936" s="6" t="s">
        <v>59</v>
      </c>
      <c r="C936" s="6" t="s">
        <v>188</v>
      </c>
      <c r="D936" s="5">
        <v>44894</v>
      </c>
    </row>
    <row r="937" spans="2:4">
      <c r="B937" s="6" t="s">
        <v>392</v>
      </c>
      <c r="C937" s="6" t="s">
        <v>167</v>
      </c>
      <c r="D937" s="5">
        <v>44894</v>
      </c>
    </row>
    <row r="938" spans="2:4">
      <c r="B938" s="6" t="s">
        <v>586</v>
      </c>
      <c r="C938" s="6" t="s">
        <v>452</v>
      </c>
      <c r="D938" s="5">
        <v>44894</v>
      </c>
    </row>
    <row r="939" spans="2:4">
      <c r="B939" s="6" t="s">
        <v>128</v>
      </c>
      <c r="C939" s="6" t="s">
        <v>220</v>
      </c>
      <c r="D939" s="5">
        <v>44895</v>
      </c>
    </row>
    <row r="940" spans="2:4">
      <c r="B940" s="6" t="s">
        <v>160</v>
      </c>
      <c r="C940" s="6" t="s">
        <v>152</v>
      </c>
      <c r="D940" s="5">
        <v>44895</v>
      </c>
    </row>
    <row r="941" spans="2:4">
      <c r="B941" s="6" t="s">
        <v>126</v>
      </c>
      <c r="C941" s="6" t="s">
        <v>580</v>
      </c>
      <c r="D941" s="5">
        <v>44895</v>
      </c>
    </row>
    <row r="942" spans="2:4">
      <c r="B942" s="6" t="s">
        <v>148</v>
      </c>
      <c r="C942" s="6" t="s">
        <v>524</v>
      </c>
      <c r="D942" s="5">
        <v>44895</v>
      </c>
    </row>
    <row r="943" spans="2:4">
      <c r="B943" s="6" t="s">
        <v>269</v>
      </c>
      <c r="C943" s="6" t="s">
        <v>175</v>
      </c>
      <c r="D943" s="5">
        <v>44895</v>
      </c>
    </row>
    <row r="944" spans="2:4">
      <c r="B944" s="6" t="s">
        <v>210</v>
      </c>
      <c r="C944" s="6" t="s">
        <v>145</v>
      </c>
      <c r="D944" s="5">
        <v>44895</v>
      </c>
    </row>
    <row r="945" spans="2:4">
      <c r="B945" s="6" t="s">
        <v>42</v>
      </c>
      <c r="C945" s="6" t="s">
        <v>750</v>
      </c>
      <c r="D945" s="5">
        <v>44895</v>
      </c>
    </row>
    <row r="946" spans="2:4">
      <c r="B946" s="6" t="s">
        <v>214</v>
      </c>
      <c r="C946" s="6" t="s">
        <v>414</v>
      </c>
      <c r="D946" s="5">
        <v>44895</v>
      </c>
    </row>
    <row r="947" spans="2:4">
      <c r="B947" s="6" t="s">
        <v>127</v>
      </c>
      <c r="C947" s="6" t="s">
        <v>591</v>
      </c>
      <c r="D947" s="5">
        <v>44895</v>
      </c>
    </row>
    <row r="948" spans="2:4">
      <c r="B948" s="6" t="s">
        <v>274</v>
      </c>
      <c r="C948" s="6" t="s">
        <v>247</v>
      </c>
      <c r="D948" s="5">
        <v>44895</v>
      </c>
    </row>
    <row r="949" spans="2:4">
      <c r="B949" s="6" t="s">
        <v>273</v>
      </c>
      <c r="C949" s="6" t="s">
        <v>492</v>
      </c>
      <c r="D949" s="5">
        <v>44895</v>
      </c>
    </row>
    <row r="950" spans="2:4">
      <c r="B950" s="6" t="s">
        <v>590</v>
      </c>
      <c r="C950" s="6" t="s">
        <v>650</v>
      </c>
      <c r="D950" s="5">
        <v>44895</v>
      </c>
    </row>
    <row r="951" spans="2:4">
      <c r="B951" s="6" t="s">
        <v>97</v>
      </c>
      <c r="C951" s="6" t="s">
        <v>265</v>
      </c>
      <c r="D951" s="5">
        <v>44895</v>
      </c>
    </row>
    <row r="952" spans="2:4">
      <c r="B952" s="6" t="s">
        <v>335</v>
      </c>
      <c r="C952" s="6" t="s">
        <v>114</v>
      </c>
      <c r="D952" s="5">
        <v>44895</v>
      </c>
    </row>
    <row r="953" spans="2:4">
      <c r="B953" s="6" t="s">
        <v>304</v>
      </c>
      <c r="C953" s="6" t="s">
        <v>104</v>
      </c>
      <c r="D953" s="5">
        <v>44895</v>
      </c>
    </row>
    <row r="954" spans="2:4">
      <c r="B954" s="6" t="s">
        <v>113</v>
      </c>
      <c r="C954" s="6" t="s">
        <v>338</v>
      </c>
      <c r="D954" s="5">
        <v>44895</v>
      </c>
    </row>
    <row r="955" spans="2:4">
      <c r="B955" s="6" t="s">
        <v>193</v>
      </c>
      <c r="C955" s="6" t="s">
        <v>105</v>
      </c>
      <c r="D955" s="5">
        <v>44895</v>
      </c>
    </row>
    <row r="956" spans="2:4">
      <c r="B956" s="6" t="s">
        <v>146</v>
      </c>
      <c r="C956" s="6" t="s">
        <v>137</v>
      </c>
      <c r="D956" s="5">
        <v>44895</v>
      </c>
    </row>
    <row r="957" spans="2:4">
      <c r="B957" s="6" t="s">
        <v>110</v>
      </c>
      <c r="C957" s="6" t="s">
        <v>129</v>
      </c>
      <c r="D957" s="5">
        <v>44895</v>
      </c>
    </row>
    <row r="958" spans="2:4">
      <c r="B958" s="6" t="s">
        <v>270</v>
      </c>
      <c r="C958" s="6" t="s">
        <v>282</v>
      </c>
      <c r="D958" s="5">
        <v>44895</v>
      </c>
    </row>
    <row r="959" spans="2:4">
      <c r="B959" s="6" t="s">
        <v>253</v>
      </c>
      <c r="C959" s="6" t="s">
        <v>336</v>
      </c>
      <c r="D959" s="5">
        <v>44895</v>
      </c>
    </row>
    <row r="960" spans="2:4">
      <c r="B960" s="6" t="s">
        <v>325</v>
      </c>
      <c r="C960" s="6" t="s">
        <v>363</v>
      </c>
      <c r="D960" s="5">
        <v>44895</v>
      </c>
    </row>
    <row r="961" spans="2:4">
      <c r="B961" s="6" t="s">
        <v>421</v>
      </c>
      <c r="C961" s="6" t="s">
        <v>306</v>
      </c>
      <c r="D961" s="5">
        <v>44895</v>
      </c>
    </row>
    <row r="962" spans="2:4">
      <c r="B962" s="6" t="s">
        <v>301</v>
      </c>
      <c r="C962" s="6" t="s">
        <v>116</v>
      </c>
      <c r="D962" s="5">
        <v>44895</v>
      </c>
    </row>
    <row r="963" spans="2:4">
      <c r="B963" s="6" t="s">
        <v>287</v>
      </c>
      <c r="C963" s="6" t="s">
        <v>425</v>
      </c>
      <c r="D963" s="5">
        <v>44895</v>
      </c>
    </row>
    <row r="964" spans="2:4">
      <c r="B964" s="6" t="s">
        <v>187</v>
      </c>
      <c r="C964" s="6" t="s">
        <v>177</v>
      </c>
      <c r="D964" s="5">
        <v>44895</v>
      </c>
    </row>
    <row r="965" spans="2:4">
      <c r="B965" s="6" t="s">
        <v>268</v>
      </c>
      <c r="C965" s="6" t="s">
        <v>267</v>
      </c>
      <c r="D965" s="5">
        <v>44895</v>
      </c>
    </row>
    <row r="966" spans="2:4">
      <c r="B966" s="6" t="s">
        <v>252</v>
      </c>
      <c r="C966" s="6" t="s">
        <v>242</v>
      </c>
      <c r="D966" s="5">
        <v>44895</v>
      </c>
    </row>
    <row r="967" spans="2:4">
      <c r="B967" s="6" t="s">
        <v>140</v>
      </c>
      <c r="C967" s="6" t="s">
        <v>200</v>
      </c>
      <c r="D967" s="5">
        <v>44895</v>
      </c>
    </row>
    <row r="968" spans="2:4">
      <c r="B968" s="6" t="s">
        <v>281</v>
      </c>
      <c r="C968" s="6" t="s">
        <v>178</v>
      </c>
      <c r="D968" s="5">
        <v>44895</v>
      </c>
    </row>
    <row r="969" spans="2:4">
      <c r="B969" s="6" t="s">
        <v>122</v>
      </c>
      <c r="C969" s="6" t="s">
        <v>410</v>
      </c>
      <c r="D969" s="5">
        <v>44895</v>
      </c>
    </row>
    <row r="970" spans="2:4">
      <c r="B970" s="6" t="s">
        <v>100</v>
      </c>
      <c r="C970" s="6" t="s">
        <v>96</v>
      </c>
      <c r="D970" s="5">
        <v>44895</v>
      </c>
    </row>
    <row r="971" spans="2:4">
      <c r="B971" s="6" t="s">
        <v>131</v>
      </c>
      <c r="C971" s="6" t="s">
        <v>108</v>
      </c>
      <c r="D971" s="5">
        <v>44895</v>
      </c>
    </row>
    <row r="972" spans="2:4">
      <c r="B972" s="6" t="s">
        <v>351</v>
      </c>
      <c r="C972" s="6" t="s">
        <v>651</v>
      </c>
      <c r="D972" s="5">
        <v>44895</v>
      </c>
    </row>
    <row r="973" spans="2:4">
      <c r="B973" s="6" t="s">
        <v>436</v>
      </c>
      <c r="C973" s="6" t="s">
        <v>652</v>
      </c>
      <c r="D973" s="5">
        <v>44895</v>
      </c>
    </row>
    <row r="974" spans="2:4">
      <c r="B974" s="6" t="s">
        <v>121</v>
      </c>
      <c r="C974" s="6" t="s">
        <v>185</v>
      </c>
      <c r="D974" s="5">
        <v>44895</v>
      </c>
    </row>
    <row r="975" spans="2:4">
      <c r="B975" s="6" t="s">
        <v>89</v>
      </c>
      <c r="C975" s="6" t="s">
        <v>179</v>
      </c>
      <c r="D975" s="5">
        <v>44895</v>
      </c>
    </row>
    <row r="976" spans="2:4">
      <c r="B976" s="6" t="s">
        <v>44</v>
      </c>
      <c r="C976" s="6" t="s">
        <v>777</v>
      </c>
      <c r="D976" s="5">
        <v>44895</v>
      </c>
    </row>
    <row r="977" spans="2:4">
      <c r="B977" s="6" t="s">
        <v>86</v>
      </c>
      <c r="C977" s="6" t="s">
        <v>342</v>
      </c>
      <c r="D977" s="5">
        <v>44895</v>
      </c>
    </row>
    <row r="978" spans="2:4">
      <c r="B978" s="6" t="s">
        <v>48</v>
      </c>
      <c r="C978" s="6" t="s">
        <v>64</v>
      </c>
      <c r="D978" s="5">
        <v>44895</v>
      </c>
    </row>
    <row r="979" spans="2:4">
      <c r="B979" s="6" t="s">
        <v>737</v>
      </c>
      <c r="C979" s="6" t="s">
        <v>58</v>
      </c>
      <c r="D979" s="5">
        <v>44895</v>
      </c>
    </row>
    <row r="980" spans="2:4">
      <c r="B980" s="6" t="s">
        <v>587</v>
      </c>
      <c r="C980" s="6" t="s">
        <v>264</v>
      </c>
      <c r="D980" s="5">
        <v>44895</v>
      </c>
    </row>
    <row r="981" spans="2:4">
      <c r="B981" s="6" t="s">
        <v>295</v>
      </c>
      <c r="C981" s="6" t="s">
        <v>516</v>
      </c>
      <c r="D981" s="5">
        <v>44895</v>
      </c>
    </row>
    <row r="982" spans="2:4">
      <c r="B982" s="6" t="s">
        <v>294</v>
      </c>
      <c r="C982" s="6" t="s">
        <v>327</v>
      </c>
      <c r="D982" s="5">
        <v>44895</v>
      </c>
    </row>
    <row r="983" spans="2:4">
      <c r="B983" s="6" t="s">
        <v>344</v>
      </c>
      <c r="C983" s="6" t="s">
        <v>640</v>
      </c>
      <c r="D983" s="5">
        <v>44895</v>
      </c>
    </row>
    <row r="984" spans="2:4">
      <c r="B984" s="6" t="s">
        <v>349</v>
      </c>
      <c r="C984" s="6" t="s">
        <v>174</v>
      </c>
      <c r="D984" s="5">
        <v>44895</v>
      </c>
    </row>
    <row r="985" spans="2:4">
      <c r="B985" s="6" t="s">
        <v>195</v>
      </c>
      <c r="C985" s="6" t="s">
        <v>120</v>
      </c>
      <c r="D985" s="5">
        <v>44895</v>
      </c>
    </row>
    <row r="986" spans="2:4">
      <c r="B986" s="6" t="s">
        <v>289</v>
      </c>
      <c r="C986" s="6" t="s">
        <v>292</v>
      </c>
      <c r="D986" s="5">
        <v>44895</v>
      </c>
    </row>
    <row r="987" spans="2:4">
      <c r="B987" s="6" t="s">
        <v>34</v>
      </c>
      <c r="C987" s="6" t="s">
        <v>40</v>
      </c>
      <c r="D987" s="5">
        <v>44895</v>
      </c>
    </row>
    <row r="988" spans="2:4">
      <c r="B988" s="6" t="s">
        <v>27</v>
      </c>
      <c r="C988" s="6" t="s">
        <v>41</v>
      </c>
      <c r="D988" s="5">
        <v>44895</v>
      </c>
    </row>
    <row r="989" spans="2:4">
      <c r="B989" s="6" t="s">
        <v>345</v>
      </c>
      <c r="C989" s="6" t="s">
        <v>563</v>
      </c>
      <c r="D989" s="5">
        <v>44895</v>
      </c>
    </row>
    <row r="990" spans="2:4">
      <c r="B990" s="6" t="s">
        <v>603</v>
      </c>
      <c r="C990" s="6" t="s">
        <v>515</v>
      </c>
      <c r="D990" s="5">
        <v>44895</v>
      </c>
    </row>
    <row r="991" spans="2:4">
      <c r="B991" s="6" t="s">
        <v>329</v>
      </c>
      <c r="C991" s="6" t="s">
        <v>400</v>
      </c>
      <c r="D991" s="5">
        <v>44895</v>
      </c>
    </row>
    <row r="992" spans="2:4">
      <c r="B992" s="6" t="s">
        <v>147</v>
      </c>
      <c r="C992" s="6" t="s">
        <v>313</v>
      </c>
      <c r="D992" s="5">
        <v>44895</v>
      </c>
    </row>
    <row r="993" spans="2:4">
      <c r="B993" s="6" t="s">
        <v>280</v>
      </c>
      <c r="C993" s="6" t="s">
        <v>320</v>
      </c>
      <c r="D993" s="5">
        <v>44895</v>
      </c>
    </row>
    <row r="994" spans="2:4">
      <c r="B994" s="6" t="s">
        <v>213</v>
      </c>
      <c r="C994" s="6" t="s">
        <v>241</v>
      </c>
      <c r="D994" s="5">
        <v>44895</v>
      </c>
    </row>
    <row r="995" spans="2:4">
      <c r="B995" s="6" t="s">
        <v>119</v>
      </c>
      <c r="C995" s="6" t="s">
        <v>318</v>
      </c>
      <c r="D995" s="5">
        <v>44895</v>
      </c>
    </row>
    <row r="996" spans="2:4">
      <c r="B996" s="6" t="s">
        <v>144</v>
      </c>
      <c r="C996" s="6" t="s">
        <v>173</v>
      </c>
      <c r="D996" s="5">
        <v>44895</v>
      </c>
    </row>
    <row r="997" spans="2:4">
      <c r="B997" s="6" t="s">
        <v>143</v>
      </c>
      <c r="C997" s="6" t="s">
        <v>399</v>
      </c>
      <c r="D997" s="5">
        <v>44895</v>
      </c>
    </row>
    <row r="998" spans="2:4">
      <c r="B998" s="6" t="s">
        <v>117</v>
      </c>
      <c r="C998" s="6" t="s">
        <v>115</v>
      </c>
      <c r="D998" s="5">
        <v>44895</v>
      </c>
    </row>
    <row r="999" spans="2:4">
      <c r="B999" s="6" t="s">
        <v>747</v>
      </c>
      <c r="C999" s="6" t="s">
        <v>196</v>
      </c>
      <c r="D999" s="5">
        <v>44895</v>
      </c>
    </row>
    <row r="1000" spans="2:4">
      <c r="B1000" s="6" t="s">
        <v>91</v>
      </c>
      <c r="C1000" s="6" t="s">
        <v>341</v>
      </c>
      <c r="D1000" s="5">
        <v>44895</v>
      </c>
    </row>
    <row r="1001" spans="2:4">
      <c r="B1001" s="6" t="s">
        <v>79</v>
      </c>
      <c r="C1001" s="6" t="s">
        <v>170</v>
      </c>
      <c r="D1001" s="5">
        <v>44895</v>
      </c>
    </row>
    <row r="1002" spans="2:4">
      <c r="B1002" s="6" t="s">
        <v>330</v>
      </c>
      <c r="C1002" s="6" t="s">
        <v>615</v>
      </c>
      <c r="D1002" s="5">
        <v>44895</v>
      </c>
    </row>
    <row r="1003" spans="2:4">
      <c r="B1003" s="6" t="s">
        <v>419</v>
      </c>
      <c r="C1003" s="6" t="s">
        <v>334</v>
      </c>
      <c r="D1003" s="5">
        <v>44895</v>
      </c>
    </row>
    <row r="1004" spans="2:4">
      <c r="B1004" s="6" t="s">
        <v>39</v>
      </c>
      <c r="C1004" s="6" t="s">
        <v>183</v>
      </c>
      <c r="D1004" s="5">
        <v>44895</v>
      </c>
    </row>
    <row r="1005" spans="2:4">
      <c r="B1005" s="6" t="s">
        <v>378</v>
      </c>
      <c r="C1005" s="6" t="s">
        <v>391</v>
      </c>
      <c r="D1005" s="5">
        <v>44895</v>
      </c>
    </row>
    <row r="1006" spans="2:4">
      <c r="B1006" s="6" t="s">
        <v>393</v>
      </c>
      <c r="C1006" s="6" t="s">
        <v>550</v>
      </c>
      <c r="D1006" s="5">
        <v>44895</v>
      </c>
    </row>
    <row r="1007" spans="2:4">
      <c r="B1007" s="6" t="s">
        <v>133</v>
      </c>
      <c r="C1007" s="6" t="s">
        <v>309</v>
      </c>
      <c r="D1007" s="5">
        <v>44895</v>
      </c>
    </row>
    <row r="1008" spans="2:4">
      <c r="B1008" s="6" t="s">
        <v>386</v>
      </c>
      <c r="C1008" s="6" t="s">
        <v>396</v>
      </c>
      <c r="D1008" s="5">
        <v>44895</v>
      </c>
    </row>
    <row r="1009" spans="2:4">
      <c r="B1009" s="6" t="s">
        <v>198</v>
      </c>
      <c r="C1009" s="6" t="s">
        <v>332</v>
      </c>
      <c r="D1009" s="5">
        <v>44895</v>
      </c>
    </row>
    <row r="1010" spans="2:4">
      <c r="B1010" s="6" t="s">
        <v>375</v>
      </c>
      <c r="C1010" s="6" t="s">
        <v>376</v>
      </c>
      <c r="D1010" s="5">
        <v>44895</v>
      </c>
    </row>
    <row r="1011" spans="2:4">
      <c r="B1011" s="6" t="s">
        <v>350</v>
      </c>
      <c r="C1011" s="6" t="s">
        <v>355</v>
      </c>
      <c r="D1011" s="5">
        <v>44895</v>
      </c>
    </row>
    <row r="1012" spans="2:4">
      <c r="B1012" s="6" t="s">
        <v>155</v>
      </c>
      <c r="C1012" s="6" t="s">
        <v>102</v>
      </c>
      <c r="D1012" s="5">
        <v>44895</v>
      </c>
    </row>
    <row r="1013" spans="2:4">
      <c r="B1013" s="6" t="s">
        <v>337</v>
      </c>
      <c r="C1013" s="6" t="s">
        <v>90</v>
      </c>
      <c r="D1013" s="5">
        <v>44895</v>
      </c>
    </row>
    <row r="1014" spans="2:4">
      <c r="B1014" s="6" t="s">
        <v>62</v>
      </c>
      <c r="C1014" s="6" t="s">
        <v>251</v>
      </c>
      <c r="D1014" s="5">
        <v>44895</v>
      </c>
    </row>
    <row r="1015" spans="2:4">
      <c r="B1015" s="6" t="s">
        <v>67</v>
      </c>
      <c r="C1015" s="6" t="s">
        <v>54</v>
      </c>
      <c r="D1015" s="5">
        <v>44895</v>
      </c>
    </row>
    <row r="1016" spans="2:4">
      <c r="B1016" s="6" t="s">
        <v>46</v>
      </c>
      <c r="C1016" s="6" t="s">
        <v>761</v>
      </c>
      <c r="D1016" s="5">
        <v>44895</v>
      </c>
    </row>
    <row r="1017" spans="2:4">
      <c r="B1017" s="6" t="s">
        <v>404</v>
      </c>
      <c r="C1017" s="6" t="s">
        <v>240</v>
      </c>
      <c r="D1017" s="5">
        <v>44895</v>
      </c>
    </row>
    <row r="1018" spans="2:4">
      <c r="B1018" s="6" t="s">
        <v>402</v>
      </c>
      <c r="C1018" s="6" t="s">
        <v>653</v>
      </c>
      <c r="D1018" s="5">
        <v>44895</v>
      </c>
    </row>
    <row r="1019" spans="2:4">
      <c r="B1019" s="6" t="s">
        <v>159</v>
      </c>
      <c r="C1019" s="6" t="s">
        <v>154</v>
      </c>
      <c r="D1019" s="5">
        <v>44895</v>
      </c>
    </row>
    <row r="1020" spans="2:4">
      <c r="B1020" s="6" t="s">
        <v>424</v>
      </c>
      <c r="C1020" s="6" t="s">
        <v>621</v>
      </c>
      <c r="D1020" s="5">
        <v>44895</v>
      </c>
    </row>
    <row r="1021" spans="2:4">
      <c r="B1021" s="6" t="s">
        <v>165</v>
      </c>
      <c r="C1021" s="6" t="s">
        <v>207</v>
      </c>
      <c r="D1021" s="5">
        <v>44895</v>
      </c>
    </row>
    <row r="1022" spans="2:4">
      <c r="B1022" s="6" t="s">
        <v>161</v>
      </c>
      <c r="C1022" s="6" t="s">
        <v>533</v>
      </c>
      <c r="D1022" s="5">
        <v>44895</v>
      </c>
    </row>
    <row r="1023" spans="2:4">
      <c r="B1023" s="6" t="s">
        <v>398</v>
      </c>
      <c r="C1023" s="6" t="s">
        <v>189</v>
      </c>
      <c r="D1023" s="5">
        <v>44895</v>
      </c>
    </row>
    <row r="1024" spans="2:4">
      <c r="B1024" s="6" t="s">
        <v>164</v>
      </c>
      <c r="C1024" s="6" t="s">
        <v>74</v>
      </c>
      <c r="D1024" s="5">
        <v>44895</v>
      </c>
    </row>
    <row r="1025" spans="2:4">
      <c r="B1025" s="6" t="s">
        <v>428</v>
      </c>
      <c r="C1025" s="6" t="s">
        <v>588</v>
      </c>
      <c r="D1025" s="5">
        <v>44895</v>
      </c>
    </row>
    <row r="1026" spans="2:4">
      <c r="B1026" s="6" t="s">
        <v>232</v>
      </c>
      <c r="C1026" s="6" t="s">
        <v>347</v>
      </c>
      <c r="D1026" s="5">
        <v>44896</v>
      </c>
    </row>
    <row r="1027" spans="2:4">
      <c r="B1027" s="6" t="s">
        <v>732</v>
      </c>
      <c r="C1027" s="6" t="s">
        <v>778</v>
      </c>
      <c r="D1027" s="5">
        <v>44896</v>
      </c>
    </row>
    <row r="1028" spans="2:4">
      <c r="B1028" s="6" t="s">
        <v>30</v>
      </c>
      <c r="C1028" s="6" t="s">
        <v>38</v>
      </c>
      <c r="D1028" s="5">
        <v>44896</v>
      </c>
    </row>
    <row r="1029" spans="2:4">
      <c r="B1029" s="6" t="s">
        <v>202</v>
      </c>
      <c r="C1029" s="6" t="s">
        <v>277</v>
      </c>
      <c r="D1029" s="5">
        <v>44896</v>
      </c>
    </row>
    <row r="1030" spans="2:4">
      <c r="B1030" s="6" t="s">
        <v>118</v>
      </c>
      <c r="C1030" s="6" t="s">
        <v>125</v>
      </c>
      <c r="D1030" s="5">
        <v>44896</v>
      </c>
    </row>
    <row r="1031" spans="2:4">
      <c r="B1031" s="6" t="s">
        <v>103</v>
      </c>
      <c r="C1031" s="6" t="s">
        <v>192</v>
      </c>
      <c r="D1031" s="5">
        <v>44896</v>
      </c>
    </row>
    <row r="1032" spans="2:4">
      <c r="B1032" s="6" t="s">
        <v>205</v>
      </c>
      <c r="C1032" s="6" t="s">
        <v>573</v>
      </c>
      <c r="D1032" s="5">
        <v>44896</v>
      </c>
    </row>
    <row r="1033" spans="2:4">
      <c r="B1033" s="6" t="s">
        <v>259</v>
      </c>
      <c r="C1033" s="6" t="s">
        <v>557</v>
      </c>
      <c r="D1033" s="5">
        <v>44896</v>
      </c>
    </row>
    <row r="1034" spans="2:4">
      <c r="B1034" s="6" t="s">
        <v>244</v>
      </c>
      <c r="C1034" s="6" t="s">
        <v>233</v>
      </c>
      <c r="D1034" s="5">
        <v>44896</v>
      </c>
    </row>
    <row r="1035" spans="2:4">
      <c r="B1035" s="6" t="s">
        <v>230</v>
      </c>
      <c r="C1035" s="6" t="s">
        <v>112</v>
      </c>
      <c r="D1035" s="5">
        <v>44896</v>
      </c>
    </row>
    <row r="1036" spans="2:4">
      <c r="B1036" s="6" t="s">
        <v>256</v>
      </c>
      <c r="C1036" s="6" t="s">
        <v>418</v>
      </c>
      <c r="D1036" s="5">
        <v>44896</v>
      </c>
    </row>
    <row r="1037" spans="2:4">
      <c r="B1037" s="6" t="s">
        <v>266</v>
      </c>
      <c r="C1037" s="6" t="s">
        <v>412</v>
      </c>
      <c r="D1037" s="5">
        <v>44896</v>
      </c>
    </row>
    <row r="1038" spans="2:4">
      <c r="B1038" s="6" t="s">
        <v>397</v>
      </c>
      <c r="C1038" s="6" t="s">
        <v>101</v>
      </c>
      <c r="D1038" s="5">
        <v>44896</v>
      </c>
    </row>
    <row r="1039" spans="2:4">
      <c r="B1039" s="6" t="s">
        <v>296</v>
      </c>
      <c r="C1039" s="6" t="s">
        <v>422</v>
      </c>
      <c r="D1039" s="5">
        <v>44896</v>
      </c>
    </row>
    <row r="1040" spans="2:4">
      <c r="B1040" s="6" t="s">
        <v>312</v>
      </c>
      <c r="C1040" s="6" t="s">
        <v>326</v>
      </c>
      <c r="D1040" s="5">
        <v>44896</v>
      </c>
    </row>
    <row r="1041" spans="2:4">
      <c r="B1041" s="6" t="s">
        <v>186</v>
      </c>
      <c r="C1041" s="6" t="s">
        <v>139</v>
      </c>
      <c r="D1041" s="5">
        <v>44896</v>
      </c>
    </row>
    <row r="1042" spans="2:4">
      <c r="B1042" s="6" t="s">
        <v>584</v>
      </c>
      <c r="C1042" s="6" t="s">
        <v>151</v>
      </c>
      <c r="D1042" s="5">
        <v>44896</v>
      </c>
    </row>
    <row r="1043" spans="2:4">
      <c r="B1043" s="6" t="s">
        <v>367</v>
      </c>
      <c r="C1043" s="6" t="s">
        <v>303</v>
      </c>
      <c r="D1043" s="5">
        <v>44896</v>
      </c>
    </row>
    <row r="1044" spans="2:4">
      <c r="B1044" s="6" t="s">
        <v>324</v>
      </c>
      <c r="C1044" s="6" t="s">
        <v>358</v>
      </c>
      <c r="D1044" s="5">
        <v>44896</v>
      </c>
    </row>
    <row r="1045" spans="2:4">
      <c r="B1045" s="6" t="s">
        <v>77</v>
      </c>
      <c r="C1045" s="6" t="s">
        <v>70</v>
      </c>
      <c r="D1045" s="5">
        <v>44896</v>
      </c>
    </row>
    <row r="1046" spans="2:4">
      <c r="B1046" s="6" t="s">
        <v>94</v>
      </c>
      <c r="C1046" s="6" t="s">
        <v>150</v>
      </c>
      <c r="D1046" s="5">
        <v>44896</v>
      </c>
    </row>
    <row r="1047" spans="2:4">
      <c r="B1047" s="6" t="s">
        <v>72</v>
      </c>
      <c r="C1047" s="6" t="s">
        <v>719</v>
      </c>
      <c r="D1047" s="5">
        <v>44896</v>
      </c>
    </row>
    <row r="1048" spans="2:4">
      <c r="B1048" s="6" t="s">
        <v>26</v>
      </c>
      <c r="C1048" s="6" t="s">
        <v>36</v>
      </c>
      <c r="D1048" s="5">
        <v>44896</v>
      </c>
    </row>
    <row r="1049" spans="2:4">
      <c r="B1049" s="6" t="s">
        <v>290</v>
      </c>
      <c r="C1049" s="6" t="s">
        <v>343</v>
      </c>
      <c r="D1049" s="5">
        <v>44896</v>
      </c>
    </row>
    <row r="1050" spans="2:4">
      <c r="B1050" s="6" t="s">
        <v>141</v>
      </c>
      <c r="C1050" s="6" t="s">
        <v>427</v>
      </c>
      <c r="D1050" s="5">
        <v>44896</v>
      </c>
    </row>
    <row r="1051" spans="2:4">
      <c r="B1051" s="6" t="s">
        <v>168</v>
      </c>
      <c r="C1051" s="6" t="s">
        <v>607</v>
      </c>
      <c r="D1051" s="5">
        <v>44896</v>
      </c>
    </row>
    <row r="1052" spans="2:4">
      <c r="B1052" s="6" t="s">
        <v>166</v>
      </c>
      <c r="C1052" s="6" t="s">
        <v>236</v>
      </c>
      <c r="D1052" s="5">
        <v>44896</v>
      </c>
    </row>
    <row r="1053" spans="2:4">
      <c r="B1053" s="6" t="s">
        <v>779</v>
      </c>
      <c r="C1053" s="6" t="s">
        <v>71</v>
      </c>
      <c r="D1053" s="5">
        <v>44896</v>
      </c>
    </row>
    <row r="1054" spans="2:4">
      <c r="B1054" s="6" t="s">
        <v>93</v>
      </c>
      <c r="C1054" s="6" t="s">
        <v>75</v>
      </c>
      <c r="D1054" s="5">
        <v>44896</v>
      </c>
    </row>
    <row r="1055" spans="2:4">
      <c r="B1055" s="6" t="s">
        <v>69</v>
      </c>
      <c r="C1055" s="6" t="s">
        <v>804</v>
      </c>
      <c r="D1055" s="5">
        <v>44896</v>
      </c>
    </row>
    <row r="1056" spans="2:4">
      <c r="B1056" s="6" t="s">
        <v>106</v>
      </c>
      <c r="C1056" s="6" t="s">
        <v>107</v>
      </c>
      <c r="D1056" s="5">
        <v>44897</v>
      </c>
    </row>
    <row r="1057" spans="2:4">
      <c r="B1057" s="6" t="s">
        <v>373</v>
      </c>
      <c r="C1057" s="6" t="s">
        <v>181</v>
      </c>
      <c r="D1057" s="5">
        <v>44897</v>
      </c>
    </row>
    <row r="1058" spans="2:4">
      <c r="B1058" s="6" t="s">
        <v>175</v>
      </c>
      <c r="C1058" s="6" t="s">
        <v>278</v>
      </c>
      <c r="D1058" s="5">
        <v>44897</v>
      </c>
    </row>
    <row r="1059" spans="2:4">
      <c r="B1059" s="6" t="s">
        <v>275</v>
      </c>
      <c r="C1059" s="6" t="s">
        <v>298</v>
      </c>
      <c r="D1059" s="5">
        <v>44897</v>
      </c>
    </row>
    <row r="1060" spans="2:4">
      <c r="B1060" s="6" t="s">
        <v>171</v>
      </c>
      <c r="C1060" s="6" t="s">
        <v>356</v>
      </c>
      <c r="D1060" s="5">
        <v>44897</v>
      </c>
    </row>
    <row r="1061" spans="2:4">
      <c r="B1061" s="6" t="s">
        <v>409</v>
      </c>
      <c r="C1061" s="6" t="s">
        <v>255</v>
      </c>
      <c r="D1061" s="5">
        <v>44897</v>
      </c>
    </row>
    <row r="1062" spans="2:4">
      <c r="B1062" s="6" t="s">
        <v>180</v>
      </c>
      <c r="C1062" s="6" t="s">
        <v>385</v>
      </c>
      <c r="D1062" s="5">
        <v>44897</v>
      </c>
    </row>
    <row r="1063" spans="2:4">
      <c r="B1063" s="6" t="s">
        <v>231</v>
      </c>
      <c r="C1063" s="6" t="s">
        <v>270</v>
      </c>
      <c r="D1063" s="5">
        <v>44897</v>
      </c>
    </row>
    <row r="1064" spans="2:4">
      <c r="B1064" s="6" t="s">
        <v>51</v>
      </c>
      <c r="C1064" s="6" t="s">
        <v>53</v>
      </c>
      <c r="D1064" s="5">
        <v>44897</v>
      </c>
    </row>
    <row r="1065" spans="2:4">
      <c r="B1065" s="6" t="s">
        <v>770</v>
      </c>
      <c r="C1065" s="6" t="s">
        <v>49</v>
      </c>
      <c r="D1065" s="5">
        <v>44897</v>
      </c>
    </row>
    <row r="1066" spans="2:4">
      <c r="B1066" s="6" t="s">
        <v>405</v>
      </c>
      <c r="C1066" s="6" t="s">
        <v>123</v>
      </c>
      <c r="D1066" s="5">
        <v>44897</v>
      </c>
    </row>
    <row r="1067" spans="2:4">
      <c r="B1067" s="6" t="s">
        <v>108</v>
      </c>
      <c r="C1067" s="6" t="s">
        <v>300</v>
      </c>
      <c r="D1067" s="5">
        <v>44897</v>
      </c>
    </row>
    <row r="1068" spans="2:4">
      <c r="B1068" s="6" t="s">
        <v>130</v>
      </c>
      <c r="C1068" s="6" t="s">
        <v>211</v>
      </c>
      <c r="D1068" s="5">
        <v>44897</v>
      </c>
    </row>
    <row r="1069" spans="2:4">
      <c r="B1069" s="6" t="s">
        <v>285</v>
      </c>
      <c r="C1069" s="6" t="s">
        <v>204</v>
      </c>
      <c r="D1069" s="5">
        <v>44897</v>
      </c>
    </row>
    <row r="1070" spans="2:4">
      <c r="B1070" s="6" t="s">
        <v>182</v>
      </c>
      <c r="C1070" s="6" t="s">
        <v>286</v>
      </c>
      <c r="D1070" s="5">
        <v>44897</v>
      </c>
    </row>
    <row r="1071" spans="2:4">
      <c r="B1071" s="6" t="s">
        <v>201</v>
      </c>
      <c r="C1071" s="6" t="s">
        <v>335</v>
      </c>
      <c r="D1071" s="5">
        <v>44897</v>
      </c>
    </row>
    <row r="1072" spans="2:4">
      <c r="B1072" s="6" t="s">
        <v>89</v>
      </c>
      <c r="C1072" s="6" t="s">
        <v>170</v>
      </c>
      <c r="D1072" s="5">
        <v>44897</v>
      </c>
    </row>
    <row r="1073" spans="2:4">
      <c r="B1073" s="6" t="s">
        <v>50</v>
      </c>
      <c r="C1073" s="6" t="s">
        <v>272</v>
      </c>
      <c r="D1073" s="5">
        <v>44897</v>
      </c>
    </row>
    <row r="1074" spans="2:4">
      <c r="B1074" s="6" t="s">
        <v>132</v>
      </c>
      <c r="C1074" s="6" t="s">
        <v>28</v>
      </c>
      <c r="D1074" s="5">
        <v>44897</v>
      </c>
    </row>
    <row r="1075" spans="2:4">
      <c r="B1075" s="6" t="s">
        <v>83</v>
      </c>
      <c r="C1075" s="6" t="s">
        <v>176</v>
      </c>
      <c r="D1075" s="5">
        <v>44897</v>
      </c>
    </row>
    <row r="1076" spans="2:4">
      <c r="B1076" s="6" t="s">
        <v>81</v>
      </c>
      <c r="C1076" s="6" t="s">
        <v>323</v>
      </c>
      <c r="D1076" s="5">
        <v>44897</v>
      </c>
    </row>
    <row r="1077" spans="2:4">
      <c r="B1077" s="6" t="s">
        <v>56</v>
      </c>
      <c r="C1077" s="6" t="s">
        <v>60</v>
      </c>
      <c r="D1077" s="5">
        <v>44897</v>
      </c>
    </row>
    <row r="1078" spans="2:4">
      <c r="B1078" s="6" t="s">
        <v>158</v>
      </c>
      <c r="C1078" s="6" t="s">
        <v>400</v>
      </c>
      <c r="D1078" s="5">
        <v>44897</v>
      </c>
    </row>
    <row r="1079" spans="2:4">
      <c r="B1079" s="6" t="s">
        <v>392</v>
      </c>
      <c r="C1079" s="6" t="s">
        <v>626</v>
      </c>
      <c r="D1079" s="5">
        <v>44897</v>
      </c>
    </row>
    <row r="1080" spans="2:4">
      <c r="B1080" s="6" t="s">
        <v>362</v>
      </c>
      <c r="C1080" s="6" t="s">
        <v>654</v>
      </c>
      <c r="D1080" s="5">
        <v>44898</v>
      </c>
    </row>
    <row r="1081" spans="2:4">
      <c r="B1081" s="6" t="s">
        <v>95</v>
      </c>
      <c r="C1081" s="6" t="s">
        <v>184</v>
      </c>
      <c r="D1081" s="5">
        <v>44898</v>
      </c>
    </row>
    <row r="1082" spans="2:4">
      <c r="B1082" s="6" t="s">
        <v>131</v>
      </c>
      <c r="C1082" s="6" t="s">
        <v>246</v>
      </c>
      <c r="D1082" s="5">
        <v>44898</v>
      </c>
    </row>
    <row r="1083" spans="2:4">
      <c r="B1083" s="6" t="s">
        <v>35</v>
      </c>
      <c r="C1083" s="6" t="s">
        <v>29</v>
      </c>
      <c r="D1083" s="5">
        <v>44898</v>
      </c>
    </row>
    <row r="1084" spans="2:4">
      <c r="B1084" s="6" t="s">
        <v>46</v>
      </c>
      <c r="C1084" s="6" t="s">
        <v>47</v>
      </c>
      <c r="D1084" s="5">
        <v>44898</v>
      </c>
    </row>
    <row r="1085" spans="2:4">
      <c r="B1085" s="6" t="s">
        <v>777</v>
      </c>
      <c r="C1085" s="6" t="s">
        <v>338</v>
      </c>
      <c r="D1085" s="5">
        <v>44898</v>
      </c>
    </row>
    <row r="1086" spans="2:4">
      <c r="B1086" s="6" t="s">
        <v>41</v>
      </c>
      <c r="C1086" s="6" t="s">
        <v>90</v>
      </c>
      <c r="D1086" s="5">
        <v>44898</v>
      </c>
    </row>
    <row r="1087" spans="2:4">
      <c r="B1087" s="6" t="s">
        <v>209</v>
      </c>
      <c r="C1087" s="6" t="s">
        <v>325</v>
      </c>
      <c r="D1087" s="5">
        <v>44898</v>
      </c>
    </row>
    <row r="1088" spans="2:4">
      <c r="B1088" s="6" t="s">
        <v>282</v>
      </c>
      <c r="C1088" s="6" t="s">
        <v>432</v>
      </c>
      <c r="D1088" s="5">
        <v>44898</v>
      </c>
    </row>
    <row r="1089" spans="2:4">
      <c r="B1089" s="6" t="s">
        <v>148</v>
      </c>
      <c r="C1089" s="6" t="s">
        <v>98</v>
      </c>
      <c r="D1089" s="5">
        <v>44898</v>
      </c>
    </row>
    <row r="1090" spans="2:4">
      <c r="B1090" s="6" t="s">
        <v>145</v>
      </c>
      <c r="C1090" s="6" t="s">
        <v>121</v>
      </c>
      <c r="D1090" s="5">
        <v>44898</v>
      </c>
    </row>
    <row r="1091" spans="2:4">
      <c r="B1091" s="6" t="s">
        <v>221</v>
      </c>
      <c r="C1091" s="6" t="s">
        <v>349</v>
      </c>
      <c r="D1091" s="5">
        <v>44898</v>
      </c>
    </row>
    <row r="1092" spans="2:4">
      <c r="B1092" s="6" t="s">
        <v>334</v>
      </c>
      <c r="C1092" s="6" t="s">
        <v>410</v>
      </c>
      <c r="D1092" s="5">
        <v>44898</v>
      </c>
    </row>
    <row r="1093" spans="2:4">
      <c r="B1093" s="6" t="s">
        <v>261</v>
      </c>
      <c r="C1093" s="6" t="s">
        <v>220</v>
      </c>
      <c r="D1093" s="5">
        <v>44898</v>
      </c>
    </row>
    <row r="1094" spans="2:4">
      <c r="B1094" s="6" t="s">
        <v>296</v>
      </c>
      <c r="C1094" s="6" t="s">
        <v>101</v>
      </c>
      <c r="D1094" s="5">
        <v>44898</v>
      </c>
    </row>
    <row r="1095" spans="2:4">
      <c r="B1095" s="6" t="s">
        <v>188</v>
      </c>
      <c r="C1095" s="6" t="s">
        <v>737</v>
      </c>
      <c r="D1095" s="5">
        <v>44898</v>
      </c>
    </row>
    <row r="1096" spans="2:4">
      <c r="B1096" s="6" t="s">
        <v>214</v>
      </c>
      <c r="C1096" s="6" t="s">
        <v>183</v>
      </c>
      <c r="D1096" s="5">
        <v>44898</v>
      </c>
    </row>
    <row r="1097" spans="2:4">
      <c r="B1097" s="6" t="s">
        <v>288</v>
      </c>
      <c r="C1097" s="6" t="s">
        <v>238</v>
      </c>
      <c r="D1097" s="5">
        <v>44898</v>
      </c>
    </row>
    <row r="1098" spans="2:4">
      <c r="B1098" s="6" t="s">
        <v>763</v>
      </c>
      <c r="C1098" s="6" t="s">
        <v>303</v>
      </c>
      <c r="D1098" s="5">
        <v>44898</v>
      </c>
    </row>
    <row r="1099" spans="2:4">
      <c r="B1099" s="6" t="s">
        <v>305</v>
      </c>
      <c r="C1099" s="6" t="s">
        <v>173</v>
      </c>
      <c r="D1099" s="5">
        <v>44898</v>
      </c>
    </row>
    <row r="1100" spans="2:4">
      <c r="B1100" s="6" t="s">
        <v>146</v>
      </c>
      <c r="C1100" s="6" t="s">
        <v>97</v>
      </c>
      <c r="D1100" s="5">
        <v>44898</v>
      </c>
    </row>
    <row r="1101" spans="2:4">
      <c r="B1101" s="6" t="s">
        <v>118</v>
      </c>
      <c r="C1101" s="6" t="s">
        <v>199</v>
      </c>
      <c r="D1101" s="5">
        <v>44898</v>
      </c>
    </row>
    <row r="1102" spans="2:4">
      <c r="B1102" s="6" t="s">
        <v>110</v>
      </c>
      <c r="C1102" s="6" t="s">
        <v>354</v>
      </c>
      <c r="D1102" s="5">
        <v>44898</v>
      </c>
    </row>
    <row r="1103" spans="2:4">
      <c r="B1103" s="6" t="s">
        <v>425</v>
      </c>
      <c r="C1103" s="6" t="s">
        <v>104</v>
      </c>
      <c r="D1103" s="5">
        <v>44898</v>
      </c>
    </row>
    <row r="1104" spans="2:4">
      <c r="B1104" s="6" t="s">
        <v>177</v>
      </c>
      <c r="C1104" s="6" t="s">
        <v>113</v>
      </c>
      <c r="D1104" s="5">
        <v>44898</v>
      </c>
    </row>
    <row r="1105" spans="2:4">
      <c r="B1105" s="6" t="s">
        <v>318</v>
      </c>
      <c r="C1105" s="6" t="s">
        <v>213</v>
      </c>
      <c r="D1105" s="5">
        <v>44898</v>
      </c>
    </row>
    <row r="1106" spans="2:4">
      <c r="B1106" s="6" t="s">
        <v>114</v>
      </c>
      <c r="C1106" s="6" t="s">
        <v>301</v>
      </c>
      <c r="D1106" s="5">
        <v>44898</v>
      </c>
    </row>
    <row r="1107" spans="2:4">
      <c r="B1107" s="6" t="s">
        <v>336</v>
      </c>
      <c r="C1107" s="6" t="s">
        <v>269</v>
      </c>
      <c r="D1107" s="5">
        <v>44898</v>
      </c>
    </row>
    <row r="1108" spans="2:4">
      <c r="B1108" s="6" t="s">
        <v>191</v>
      </c>
      <c r="C1108" s="6" t="s">
        <v>294</v>
      </c>
      <c r="D1108" s="5">
        <v>44898</v>
      </c>
    </row>
    <row r="1109" spans="2:4">
      <c r="B1109" s="6" t="s">
        <v>297</v>
      </c>
      <c r="C1109" s="6" t="s">
        <v>250</v>
      </c>
      <c r="D1109" s="5">
        <v>44898</v>
      </c>
    </row>
    <row r="1110" spans="2:4">
      <c r="B1110" s="6" t="s">
        <v>413</v>
      </c>
      <c r="C1110" s="6" t="s">
        <v>200</v>
      </c>
      <c r="D1110" s="5">
        <v>44898</v>
      </c>
    </row>
    <row r="1111" spans="2:4">
      <c r="B1111" s="6" t="s">
        <v>281</v>
      </c>
      <c r="C1111" s="6" t="s">
        <v>140</v>
      </c>
      <c r="D1111" s="5">
        <v>44898</v>
      </c>
    </row>
    <row r="1112" spans="2:4">
      <c r="B1112" s="6" t="s">
        <v>284</v>
      </c>
      <c r="C1112" s="6" t="s">
        <v>109</v>
      </c>
      <c r="D1112" s="5">
        <v>44898</v>
      </c>
    </row>
    <row r="1113" spans="2:4">
      <c r="B1113" s="6" t="s">
        <v>351</v>
      </c>
      <c r="C1113" s="6" t="s">
        <v>586</v>
      </c>
      <c r="D1113" s="5">
        <v>44898</v>
      </c>
    </row>
    <row r="1114" spans="2:4">
      <c r="B1114" s="6" t="s">
        <v>42</v>
      </c>
      <c r="C1114" s="6" t="s">
        <v>304</v>
      </c>
      <c r="D1114" s="5">
        <v>44898</v>
      </c>
    </row>
    <row r="1115" spans="2:4">
      <c r="B1115" s="6" t="s">
        <v>203</v>
      </c>
      <c r="C1115" s="6" t="s">
        <v>252</v>
      </c>
      <c r="D1115" s="5">
        <v>44898</v>
      </c>
    </row>
    <row r="1116" spans="2:4">
      <c r="B1116" s="6" t="s">
        <v>345</v>
      </c>
      <c r="C1116" s="6" t="s">
        <v>646</v>
      </c>
      <c r="D1116" s="5">
        <v>44898</v>
      </c>
    </row>
    <row r="1117" spans="2:4">
      <c r="B1117" s="6" t="s">
        <v>415</v>
      </c>
      <c r="C1117" s="6" t="s">
        <v>516</v>
      </c>
      <c r="D1117" s="5">
        <v>44898</v>
      </c>
    </row>
    <row r="1118" spans="2:4">
      <c r="B1118" s="6" t="s">
        <v>388</v>
      </c>
      <c r="C1118" s="6" t="s">
        <v>346</v>
      </c>
      <c r="D1118" s="5">
        <v>44898</v>
      </c>
    </row>
    <row r="1119" spans="2:4">
      <c r="B1119" s="6" t="s">
        <v>332</v>
      </c>
      <c r="C1119" s="6" t="s">
        <v>448</v>
      </c>
      <c r="D1119" s="5">
        <v>44898</v>
      </c>
    </row>
    <row r="1120" spans="2:4">
      <c r="B1120" s="6" t="s">
        <v>370</v>
      </c>
      <c r="C1120" s="6" t="s">
        <v>194</v>
      </c>
      <c r="D1120" s="5">
        <v>44898</v>
      </c>
    </row>
    <row r="1121" spans="2:4">
      <c r="B1121" s="6" t="s">
        <v>264</v>
      </c>
      <c r="C1121" s="6" t="s">
        <v>395</v>
      </c>
      <c r="D1121" s="5">
        <v>44898</v>
      </c>
    </row>
    <row r="1122" spans="2:4">
      <c r="B1122" s="6" t="s">
        <v>242</v>
      </c>
      <c r="C1122" s="6" t="s">
        <v>655</v>
      </c>
      <c r="D1122" s="5">
        <v>44898</v>
      </c>
    </row>
    <row r="1123" spans="2:4">
      <c r="B1123" s="6" t="s">
        <v>419</v>
      </c>
      <c r="C1123" s="6" t="s">
        <v>210</v>
      </c>
      <c r="D1123" s="5">
        <v>44898</v>
      </c>
    </row>
    <row r="1124" spans="2:4">
      <c r="B1124" s="6" t="s">
        <v>610</v>
      </c>
      <c r="C1124" s="6" t="s">
        <v>656</v>
      </c>
      <c r="D1124" s="5">
        <v>44898</v>
      </c>
    </row>
    <row r="1125" spans="2:4">
      <c r="B1125" s="6" t="s">
        <v>397</v>
      </c>
      <c r="C1125" s="6" t="s">
        <v>422</v>
      </c>
      <c r="D1125" s="5">
        <v>44898</v>
      </c>
    </row>
    <row r="1126" spans="2:4">
      <c r="B1126" s="6" t="s">
        <v>333</v>
      </c>
      <c r="C1126" s="6" t="s">
        <v>439</v>
      </c>
      <c r="D1126" s="5">
        <v>44898</v>
      </c>
    </row>
    <row r="1127" spans="2:4">
      <c r="B1127" s="6" t="s">
        <v>330</v>
      </c>
      <c r="C1127" s="6" t="s">
        <v>344</v>
      </c>
      <c r="D1127" s="5">
        <v>44898</v>
      </c>
    </row>
    <row r="1128" spans="2:4">
      <c r="B1128" s="6" t="s">
        <v>157</v>
      </c>
      <c r="C1128" s="6" t="s">
        <v>208</v>
      </c>
      <c r="D1128" s="5">
        <v>44898</v>
      </c>
    </row>
    <row r="1129" spans="2:4">
      <c r="B1129" s="6" t="s">
        <v>44</v>
      </c>
      <c r="C1129" s="6" t="s">
        <v>54</v>
      </c>
      <c r="D1129" s="5">
        <v>44898</v>
      </c>
    </row>
    <row r="1130" spans="2:4">
      <c r="B1130" s="6" t="s">
        <v>84</v>
      </c>
      <c r="C1130" s="6" t="s">
        <v>433</v>
      </c>
      <c r="D1130" s="5">
        <v>44898</v>
      </c>
    </row>
    <row r="1131" spans="2:4">
      <c r="B1131" s="6" t="s">
        <v>64</v>
      </c>
      <c r="C1131" s="6" t="s">
        <v>62</v>
      </c>
      <c r="D1131" s="5">
        <v>44898</v>
      </c>
    </row>
    <row r="1132" spans="2:4">
      <c r="B1132" s="6" t="s">
        <v>120</v>
      </c>
      <c r="C1132" s="6" t="s">
        <v>283</v>
      </c>
      <c r="D1132" s="5">
        <v>44898</v>
      </c>
    </row>
    <row r="1133" spans="2:4">
      <c r="B1133" s="6" t="s">
        <v>277</v>
      </c>
      <c r="C1133" s="6" t="s">
        <v>454</v>
      </c>
      <c r="D1133" s="5">
        <v>44898</v>
      </c>
    </row>
    <row r="1134" spans="2:4">
      <c r="B1134" s="6" t="s">
        <v>147</v>
      </c>
      <c r="C1134" s="6" t="s">
        <v>309</v>
      </c>
      <c r="D1134" s="5">
        <v>44898</v>
      </c>
    </row>
    <row r="1135" spans="2:4">
      <c r="B1135" s="6" t="s">
        <v>138</v>
      </c>
      <c r="C1135" s="6" t="s">
        <v>253</v>
      </c>
      <c r="D1135" s="5">
        <v>44898</v>
      </c>
    </row>
    <row r="1136" spans="2:4">
      <c r="B1136" s="6" t="s">
        <v>126</v>
      </c>
      <c r="C1136" s="6" t="s">
        <v>590</v>
      </c>
      <c r="D1136" s="5">
        <v>44898</v>
      </c>
    </row>
    <row r="1137" spans="2:4">
      <c r="B1137" s="6" t="s">
        <v>129</v>
      </c>
      <c r="C1137" s="6" t="s">
        <v>267</v>
      </c>
      <c r="D1137" s="5">
        <v>44898</v>
      </c>
    </row>
    <row r="1138" spans="2:4">
      <c r="B1138" s="6" t="s">
        <v>152</v>
      </c>
      <c r="C1138" s="6" t="s">
        <v>381</v>
      </c>
      <c r="D1138" s="5">
        <v>44898</v>
      </c>
    </row>
    <row r="1139" spans="2:4">
      <c r="B1139" s="6" t="s">
        <v>383</v>
      </c>
      <c r="C1139" s="6" t="s">
        <v>420</v>
      </c>
      <c r="D1139" s="5">
        <v>44898</v>
      </c>
    </row>
    <row r="1140" spans="2:4">
      <c r="B1140" s="6" t="s">
        <v>133</v>
      </c>
      <c r="C1140" s="6" t="s">
        <v>241</v>
      </c>
      <c r="D1140" s="5">
        <v>44898</v>
      </c>
    </row>
    <row r="1141" spans="2:4">
      <c r="B1141" s="6" t="s">
        <v>402</v>
      </c>
      <c r="C1141" s="6" t="s">
        <v>198</v>
      </c>
      <c r="D1141" s="5">
        <v>44898</v>
      </c>
    </row>
    <row r="1142" spans="2:4">
      <c r="B1142" s="6" t="s">
        <v>376</v>
      </c>
      <c r="C1142" s="6" t="s">
        <v>471</v>
      </c>
      <c r="D1142" s="5">
        <v>44898</v>
      </c>
    </row>
    <row r="1143" spans="2:4">
      <c r="B1143" s="6" t="s">
        <v>233</v>
      </c>
      <c r="C1143" s="6" t="s">
        <v>117</v>
      </c>
      <c r="D1143" s="5">
        <v>44898</v>
      </c>
    </row>
    <row r="1144" spans="2:4">
      <c r="B1144" s="6" t="s">
        <v>436</v>
      </c>
      <c r="C1144" s="6" t="s">
        <v>353</v>
      </c>
      <c r="D1144" s="5">
        <v>44898</v>
      </c>
    </row>
    <row r="1145" spans="2:4">
      <c r="B1145" s="6" t="s">
        <v>350</v>
      </c>
      <c r="C1145" s="6" t="s">
        <v>155</v>
      </c>
      <c r="D1145" s="5">
        <v>44898</v>
      </c>
    </row>
    <row r="1146" spans="2:4">
      <c r="B1146" s="6" t="s">
        <v>111</v>
      </c>
      <c r="C1146" s="6" t="s">
        <v>276</v>
      </c>
      <c r="D1146" s="5">
        <v>44898</v>
      </c>
    </row>
    <row r="1147" spans="2:4">
      <c r="B1147" s="6" t="s">
        <v>386</v>
      </c>
      <c r="C1147" s="6" t="s">
        <v>426</v>
      </c>
      <c r="D1147" s="5">
        <v>44898</v>
      </c>
    </row>
    <row r="1148" spans="2:4">
      <c r="B1148" s="6" t="s">
        <v>37</v>
      </c>
      <c r="C1148" s="6" t="s">
        <v>65</v>
      </c>
      <c r="D1148" s="5">
        <v>44898</v>
      </c>
    </row>
    <row r="1149" spans="2:4">
      <c r="B1149" s="6" t="s">
        <v>160</v>
      </c>
      <c r="C1149" s="6" t="s">
        <v>389</v>
      </c>
      <c r="D1149" s="5">
        <v>44898</v>
      </c>
    </row>
    <row r="1150" spans="2:4">
      <c r="B1150" s="6" t="s">
        <v>193</v>
      </c>
      <c r="C1150" s="6" t="s">
        <v>127</v>
      </c>
      <c r="D1150" s="5">
        <v>44898</v>
      </c>
    </row>
    <row r="1151" spans="2:4">
      <c r="B1151" s="6" t="s">
        <v>179</v>
      </c>
      <c r="C1151" s="6" t="s">
        <v>96</v>
      </c>
      <c r="D1151" s="5">
        <v>44898</v>
      </c>
    </row>
    <row r="1152" spans="2:4">
      <c r="B1152" s="6" t="s">
        <v>580</v>
      </c>
      <c r="C1152" s="6" t="s">
        <v>116</v>
      </c>
      <c r="D1152" s="5">
        <v>44898</v>
      </c>
    </row>
    <row r="1153" spans="2:4">
      <c r="B1153" s="6" t="s">
        <v>134</v>
      </c>
      <c r="C1153" s="6" t="s">
        <v>365</v>
      </c>
      <c r="D1153" s="5">
        <v>44898</v>
      </c>
    </row>
    <row r="1154" spans="2:4">
      <c r="B1154" s="6" t="s">
        <v>382</v>
      </c>
      <c r="C1154" s="6" t="s">
        <v>295</v>
      </c>
      <c r="D1154" s="5">
        <v>44898</v>
      </c>
    </row>
    <row r="1155" spans="2:4">
      <c r="B1155" s="6" t="s">
        <v>393</v>
      </c>
      <c r="C1155" s="6" t="s">
        <v>359</v>
      </c>
      <c r="D1155" s="5">
        <v>44898</v>
      </c>
    </row>
    <row r="1156" spans="2:4">
      <c r="B1156" s="6" t="s">
        <v>423</v>
      </c>
      <c r="C1156" s="6" t="s">
        <v>427</v>
      </c>
      <c r="D1156" s="5">
        <v>44898</v>
      </c>
    </row>
    <row r="1157" spans="2:4">
      <c r="B1157" s="6" t="s">
        <v>124</v>
      </c>
      <c r="C1157" s="6" t="s">
        <v>40</v>
      </c>
      <c r="D1157" s="5">
        <v>44898</v>
      </c>
    </row>
    <row r="1158" spans="2:4">
      <c r="B1158" s="6" t="s">
        <v>185</v>
      </c>
      <c r="C1158" s="6" t="s">
        <v>103</v>
      </c>
      <c r="D1158" s="5">
        <v>44898</v>
      </c>
    </row>
    <row r="1159" spans="2:4">
      <c r="B1159" s="6" t="s">
        <v>287</v>
      </c>
      <c r="C1159" s="6" t="s">
        <v>273</v>
      </c>
      <c r="D1159" s="5">
        <v>44898</v>
      </c>
    </row>
    <row r="1160" spans="2:4">
      <c r="B1160" s="6" t="s">
        <v>363</v>
      </c>
      <c r="C1160" s="6" t="s">
        <v>280</v>
      </c>
      <c r="D1160" s="5">
        <v>44898</v>
      </c>
    </row>
    <row r="1161" spans="2:4">
      <c r="B1161" s="6" t="s">
        <v>135</v>
      </c>
      <c r="C1161" s="6" t="s">
        <v>357</v>
      </c>
      <c r="D1161" s="5">
        <v>44898</v>
      </c>
    </row>
    <row r="1162" spans="2:4">
      <c r="B1162" s="6" t="s">
        <v>256</v>
      </c>
      <c r="C1162" s="6" t="s">
        <v>412</v>
      </c>
      <c r="D1162" s="5">
        <v>44898</v>
      </c>
    </row>
    <row r="1163" spans="2:4">
      <c r="B1163" s="6" t="s">
        <v>99</v>
      </c>
      <c r="C1163" s="6" t="s">
        <v>100</v>
      </c>
      <c r="D1163" s="5">
        <v>44898</v>
      </c>
    </row>
    <row r="1164" spans="2:4">
      <c r="B1164" s="6" t="s">
        <v>39</v>
      </c>
      <c r="C1164" s="6" t="s">
        <v>32</v>
      </c>
      <c r="D1164" s="5">
        <v>44898</v>
      </c>
    </row>
    <row r="1165" spans="2:4">
      <c r="B1165" s="6" t="s">
        <v>329</v>
      </c>
      <c r="C1165" s="6" t="s">
        <v>657</v>
      </c>
      <c r="D1165" s="5">
        <v>44898</v>
      </c>
    </row>
    <row r="1166" spans="2:4">
      <c r="B1166" s="6" t="s">
        <v>112</v>
      </c>
      <c r="C1166" s="6" t="s">
        <v>244</v>
      </c>
      <c r="D1166" s="5">
        <v>44898</v>
      </c>
    </row>
    <row r="1167" spans="2:4">
      <c r="B1167" s="6" t="s">
        <v>136</v>
      </c>
      <c r="C1167" s="6" t="s">
        <v>310</v>
      </c>
      <c r="D1167" s="5">
        <v>44898</v>
      </c>
    </row>
    <row r="1168" spans="2:4">
      <c r="B1168" s="6" t="s">
        <v>91</v>
      </c>
      <c r="C1168" s="6" t="s">
        <v>162</v>
      </c>
      <c r="D1168" s="5">
        <v>44898</v>
      </c>
    </row>
    <row r="1169" spans="2:4">
      <c r="B1169" s="6" t="s">
        <v>144</v>
      </c>
      <c r="C1169" s="6" t="s">
        <v>762</v>
      </c>
      <c r="D1169" s="5">
        <v>44898</v>
      </c>
    </row>
    <row r="1170" spans="2:4">
      <c r="B1170" s="6" t="s">
        <v>348</v>
      </c>
      <c r="C1170" s="6" t="s">
        <v>508</v>
      </c>
      <c r="D1170" s="5">
        <v>44898</v>
      </c>
    </row>
    <row r="1171" spans="2:4">
      <c r="B1171" s="6" t="s">
        <v>320</v>
      </c>
      <c r="C1171" s="6" t="s">
        <v>119</v>
      </c>
      <c r="D1171" s="5">
        <v>44898</v>
      </c>
    </row>
    <row r="1172" spans="2:4">
      <c r="B1172" s="6" t="s">
        <v>331</v>
      </c>
      <c r="C1172" s="6" t="s">
        <v>603</v>
      </c>
      <c r="D1172" s="5">
        <v>44898</v>
      </c>
    </row>
    <row r="1173" spans="2:4">
      <c r="B1173" s="6" t="s">
        <v>153</v>
      </c>
      <c r="C1173" s="6" t="s">
        <v>378</v>
      </c>
      <c r="D1173" s="5">
        <v>44898</v>
      </c>
    </row>
    <row r="1174" spans="2:4">
      <c r="B1174" s="6" t="s">
        <v>165</v>
      </c>
      <c r="C1174" s="6" t="s">
        <v>403</v>
      </c>
      <c r="D1174" s="5">
        <v>44898</v>
      </c>
    </row>
    <row r="1175" spans="2:4">
      <c r="B1175" s="6" t="s">
        <v>161</v>
      </c>
      <c r="C1175" s="6" t="s">
        <v>196</v>
      </c>
      <c r="D1175" s="5">
        <v>44898</v>
      </c>
    </row>
    <row r="1176" spans="2:4">
      <c r="B1176" s="6" t="s">
        <v>358</v>
      </c>
      <c r="C1176" s="6" t="s">
        <v>172</v>
      </c>
      <c r="D1176" s="5">
        <v>44898</v>
      </c>
    </row>
    <row r="1177" spans="2:4">
      <c r="B1177" s="6" t="s">
        <v>82</v>
      </c>
      <c r="C1177" s="6" t="s">
        <v>385</v>
      </c>
      <c r="D1177" s="5">
        <v>44898</v>
      </c>
    </row>
    <row r="1178" spans="2:4">
      <c r="B1178" s="6" t="s">
        <v>207</v>
      </c>
      <c r="C1178" s="6" t="s">
        <v>159</v>
      </c>
      <c r="D1178" s="5">
        <v>44898</v>
      </c>
    </row>
    <row r="1179" spans="2:4">
      <c r="B1179" s="6" t="s">
        <v>206</v>
      </c>
      <c r="C1179" s="6" t="s">
        <v>607</v>
      </c>
      <c r="D1179" s="5">
        <v>44898</v>
      </c>
    </row>
    <row r="1180" spans="2:4">
      <c r="B1180" s="6" t="s">
        <v>341</v>
      </c>
      <c r="C1180" s="6" t="s">
        <v>364</v>
      </c>
      <c r="D1180" s="5">
        <v>44898</v>
      </c>
    </row>
    <row r="1181" spans="2:4">
      <c r="B1181" s="6" t="s">
        <v>167</v>
      </c>
      <c r="C1181" s="6" t="s">
        <v>394</v>
      </c>
      <c r="D1181" s="5">
        <v>44898</v>
      </c>
    </row>
    <row r="1182" spans="2:4">
      <c r="B1182" s="6" t="s">
        <v>375</v>
      </c>
      <c r="C1182" s="6" t="s">
        <v>189</v>
      </c>
      <c r="D1182" s="5">
        <v>44898</v>
      </c>
    </row>
    <row r="1183" spans="2:4">
      <c r="B1183" s="6" t="s">
        <v>750</v>
      </c>
      <c r="C1183" s="6" t="s">
        <v>352</v>
      </c>
      <c r="D1183" s="5">
        <v>44898</v>
      </c>
    </row>
    <row r="1184" spans="2:4">
      <c r="B1184" s="6" t="s">
        <v>212</v>
      </c>
      <c r="C1184" s="6" t="s">
        <v>398</v>
      </c>
      <c r="D1184" s="5">
        <v>44898</v>
      </c>
    </row>
    <row r="1185" spans="2:4">
      <c r="B1185" s="6" t="s">
        <v>166</v>
      </c>
      <c r="C1185" s="6" t="s">
        <v>163</v>
      </c>
      <c r="D1185" s="5">
        <v>44898</v>
      </c>
    </row>
    <row r="1186" spans="2:4">
      <c r="B1186" s="6" t="s">
        <v>396</v>
      </c>
      <c r="C1186" s="6" t="s">
        <v>169</v>
      </c>
      <c r="D1186" s="5">
        <v>44898</v>
      </c>
    </row>
    <row r="1187" spans="2:4">
      <c r="B1187" s="6" t="s">
        <v>266</v>
      </c>
      <c r="C1187" s="6" t="s">
        <v>418</v>
      </c>
      <c r="D1187" s="5">
        <v>44899</v>
      </c>
    </row>
    <row r="1188" spans="2:4">
      <c r="B1188" s="6" t="s">
        <v>361</v>
      </c>
      <c r="C1188" s="6" t="s">
        <v>174</v>
      </c>
      <c r="D1188" s="5">
        <v>44899</v>
      </c>
    </row>
    <row r="1189" spans="2:4">
      <c r="B1189" s="6" t="s">
        <v>187</v>
      </c>
      <c r="C1189" s="6" t="s">
        <v>106</v>
      </c>
      <c r="D1189" s="5">
        <v>44899</v>
      </c>
    </row>
    <row r="1190" spans="2:4">
      <c r="B1190" s="6" t="s">
        <v>80</v>
      </c>
      <c r="C1190" s="6" t="s">
        <v>59</v>
      </c>
      <c r="D1190" s="5">
        <v>44899</v>
      </c>
    </row>
    <row r="1191" spans="2:4">
      <c r="B1191" s="6" t="s">
        <v>125</v>
      </c>
      <c r="C1191" s="6" t="s">
        <v>137</v>
      </c>
      <c r="D1191" s="5">
        <v>44899</v>
      </c>
    </row>
    <row r="1192" spans="2:4">
      <c r="B1192" s="6" t="s">
        <v>43</v>
      </c>
      <c r="C1192" s="6" t="s">
        <v>48</v>
      </c>
      <c r="D1192" s="5">
        <v>44899</v>
      </c>
    </row>
    <row r="1193" spans="2:4">
      <c r="B1193" s="6" t="s">
        <v>285</v>
      </c>
      <c r="C1193" s="6" t="s">
        <v>211</v>
      </c>
      <c r="D1193" s="5">
        <v>44899</v>
      </c>
    </row>
    <row r="1194" spans="2:4">
      <c r="B1194" s="6" t="s">
        <v>105</v>
      </c>
      <c r="C1194" s="6" t="s">
        <v>658</v>
      </c>
      <c r="D1194" s="5">
        <v>44899</v>
      </c>
    </row>
    <row r="1195" spans="2:4">
      <c r="B1195" s="6" t="s">
        <v>139</v>
      </c>
      <c r="C1195" s="6" t="s">
        <v>312</v>
      </c>
      <c r="D1195" s="5">
        <v>44899</v>
      </c>
    </row>
    <row r="1196" spans="2:4">
      <c r="B1196" s="6" t="s">
        <v>326</v>
      </c>
      <c r="C1196" s="6" t="s">
        <v>186</v>
      </c>
      <c r="D1196" s="5">
        <v>44899</v>
      </c>
    </row>
    <row r="1197" spans="2:4">
      <c r="B1197" s="6" t="s">
        <v>175</v>
      </c>
      <c r="C1197" s="6" t="s">
        <v>205</v>
      </c>
      <c r="D1197" s="5">
        <v>44899</v>
      </c>
    </row>
    <row r="1198" spans="2:4">
      <c r="B1198" s="6" t="s">
        <v>272</v>
      </c>
      <c r="C1198" s="6" t="s">
        <v>259</v>
      </c>
      <c r="D1198" s="5">
        <v>44899</v>
      </c>
    </row>
    <row r="1199" spans="2:4">
      <c r="B1199" s="6" t="s">
        <v>411</v>
      </c>
      <c r="C1199" s="6" t="s">
        <v>102</v>
      </c>
      <c r="D1199" s="5">
        <v>44899</v>
      </c>
    </row>
    <row r="1200" spans="2:4">
      <c r="B1200" s="6" t="s">
        <v>202</v>
      </c>
      <c r="C1200" s="6" t="s">
        <v>337</v>
      </c>
      <c r="D1200" s="5">
        <v>44899</v>
      </c>
    </row>
    <row r="1201" spans="2:4">
      <c r="B1201" s="6" t="s">
        <v>108</v>
      </c>
      <c r="C1201" s="6" t="s">
        <v>659</v>
      </c>
      <c r="D1201" s="5">
        <v>44899</v>
      </c>
    </row>
    <row r="1202" spans="2:4">
      <c r="B1202" s="6" t="s">
        <v>122</v>
      </c>
      <c r="C1202" s="6" t="s">
        <v>107</v>
      </c>
      <c r="D1202" s="5">
        <v>44899</v>
      </c>
    </row>
    <row r="1203" spans="2:4">
      <c r="B1203" s="6" t="s">
        <v>195</v>
      </c>
      <c r="C1203" s="6" t="s">
        <v>306</v>
      </c>
      <c r="D1203" s="5">
        <v>44899</v>
      </c>
    </row>
    <row r="1204" spans="2:4">
      <c r="B1204" s="6" t="s">
        <v>230</v>
      </c>
      <c r="C1204" s="6" t="s">
        <v>115</v>
      </c>
      <c r="D1204" s="5">
        <v>44899</v>
      </c>
    </row>
    <row r="1205" spans="2:4">
      <c r="B1205" s="6" t="s">
        <v>79</v>
      </c>
      <c r="C1205" s="6" t="s">
        <v>142</v>
      </c>
      <c r="D1205" s="5">
        <v>44899</v>
      </c>
    </row>
    <row r="1206" spans="2:4">
      <c r="B1206" s="6" t="s">
        <v>247</v>
      </c>
      <c r="C1206" s="6" t="s">
        <v>421</v>
      </c>
      <c r="D1206" s="5">
        <v>44899</v>
      </c>
    </row>
    <row r="1207" spans="2:4">
      <c r="B1207" s="6" t="s">
        <v>52</v>
      </c>
      <c r="C1207" s="6" t="s">
        <v>251</v>
      </c>
      <c r="D1207" s="5">
        <v>44899</v>
      </c>
    </row>
    <row r="1208" spans="2:4">
      <c r="B1208" s="6" t="s">
        <v>347</v>
      </c>
      <c r="C1208" s="6" t="s">
        <v>615</v>
      </c>
      <c r="D1208" s="5">
        <v>44899</v>
      </c>
    </row>
    <row r="1209" spans="2:4">
      <c r="B1209" s="6" t="s">
        <v>584</v>
      </c>
      <c r="C1209" s="6" t="s">
        <v>500</v>
      </c>
      <c r="D1209" s="5">
        <v>44899</v>
      </c>
    </row>
    <row r="1210" spans="2:4">
      <c r="B1210" s="6" t="s">
        <v>150</v>
      </c>
      <c r="C1210" s="6" t="s">
        <v>143</v>
      </c>
      <c r="D1210" s="5">
        <v>44899</v>
      </c>
    </row>
    <row r="1211" spans="2:4">
      <c r="B1211" s="6" t="s">
        <v>71</v>
      </c>
      <c r="C1211" s="6" t="s">
        <v>72</v>
      </c>
      <c r="D1211" s="5">
        <v>44899</v>
      </c>
    </row>
    <row r="1212" spans="2:4">
      <c r="B1212" s="6" t="s">
        <v>747</v>
      </c>
      <c r="C1212" s="6" t="s">
        <v>302</v>
      </c>
      <c r="D1212" s="5">
        <v>44899</v>
      </c>
    </row>
    <row r="1213" spans="2:4">
      <c r="B1213" s="6" t="s">
        <v>138</v>
      </c>
      <c r="C1213" s="6" t="s">
        <v>660</v>
      </c>
      <c r="D1213" s="5">
        <v>44899</v>
      </c>
    </row>
    <row r="1214" spans="2:4">
      <c r="B1214" s="6" t="s">
        <v>151</v>
      </c>
      <c r="C1214" s="6" t="s">
        <v>588</v>
      </c>
      <c r="D1214" s="5">
        <v>44899</v>
      </c>
    </row>
    <row r="1215" spans="2:4">
      <c r="B1215" s="6" t="s">
        <v>216</v>
      </c>
      <c r="C1215" s="6" t="s">
        <v>204</v>
      </c>
      <c r="D1215" s="5">
        <v>44899</v>
      </c>
    </row>
    <row r="1216" spans="2:4">
      <c r="B1216" s="6" t="s">
        <v>248</v>
      </c>
      <c r="C1216" s="6" t="s">
        <v>522</v>
      </c>
      <c r="D1216" s="5">
        <v>44899</v>
      </c>
    </row>
    <row r="1217" spans="2:4">
      <c r="B1217" s="6" t="s">
        <v>804</v>
      </c>
      <c r="C1217" s="6" t="s">
        <v>77</v>
      </c>
      <c r="D1217" s="5">
        <v>44899</v>
      </c>
    </row>
    <row r="1218" spans="2:4">
      <c r="B1218" s="6" t="s">
        <v>87</v>
      </c>
      <c r="C1218" s="6" t="s">
        <v>321</v>
      </c>
      <c r="D1218" s="5">
        <v>44899</v>
      </c>
    </row>
    <row r="1219" spans="2:4">
      <c r="B1219" s="6" t="s">
        <v>38</v>
      </c>
      <c r="C1219" s="6" t="s">
        <v>67</v>
      </c>
      <c r="D1219" s="5">
        <v>44899</v>
      </c>
    </row>
    <row r="1220" spans="2:4">
      <c r="B1220" s="6" t="s">
        <v>343</v>
      </c>
      <c r="C1220" s="6" t="s">
        <v>316</v>
      </c>
      <c r="D1220" s="5">
        <v>44899</v>
      </c>
    </row>
    <row r="1221" spans="2:4">
      <c r="B1221" s="6" t="s">
        <v>75</v>
      </c>
      <c r="C1221" s="6" t="s">
        <v>69</v>
      </c>
      <c r="D1221" s="5">
        <v>44899</v>
      </c>
    </row>
    <row r="1222" spans="2:4">
      <c r="B1222" s="6" t="s">
        <v>70</v>
      </c>
      <c r="C1222" s="6" t="s">
        <v>164</v>
      </c>
      <c r="D1222" s="5">
        <v>44899</v>
      </c>
    </row>
    <row r="1223" spans="2:4">
      <c r="B1223" s="6" t="s">
        <v>599</v>
      </c>
      <c r="C1223" s="6" t="s">
        <v>493</v>
      </c>
      <c r="D1223" s="5">
        <v>44899</v>
      </c>
    </row>
    <row r="1224" spans="2:4">
      <c r="B1224" s="6" t="s">
        <v>58</v>
      </c>
      <c r="C1224" s="6" t="s">
        <v>63</v>
      </c>
      <c r="D1224" s="5">
        <v>44899</v>
      </c>
    </row>
    <row r="1225" spans="2:4">
      <c r="B1225" s="6" t="s">
        <v>404</v>
      </c>
      <c r="C1225" s="6" t="s">
        <v>168</v>
      </c>
      <c r="D1225" s="5">
        <v>44899</v>
      </c>
    </row>
    <row r="1226" spans="2:4">
      <c r="B1226" s="6" t="s">
        <v>86</v>
      </c>
      <c r="C1226" s="6" t="s">
        <v>156</v>
      </c>
      <c r="D1226" s="5">
        <v>44899</v>
      </c>
    </row>
    <row r="1227" spans="2:4">
      <c r="B1227" s="6" t="s">
        <v>292</v>
      </c>
      <c r="C1227" s="6" t="s">
        <v>274</v>
      </c>
      <c r="D1227" s="5">
        <v>44899</v>
      </c>
    </row>
    <row r="1228" spans="2:4">
      <c r="B1228" s="6" t="s">
        <v>761</v>
      </c>
      <c r="C1228" s="6" t="s">
        <v>68</v>
      </c>
      <c r="D1228" s="5">
        <v>44899</v>
      </c>
    </row>
    <row r="1229" spans="2:4">
      <c r="B1229" s="6" t="s">
        <v>74</v>
      </c>
      <c r="C1229" s="6" t="s">
        <v>779</v>
      </c>
      <c r="D1229" s="5">
        <v>44899</v>
      </c>
    </row>
    <row r="1230" spans="2:4">
      <c r="B1230" s="6" t="s">
        <v>719</v>
      </c>
      <c r="C1230" s="6" t="s">
        <v>93</v>
      </c>
      <c r="D1230" s="5">
        <v>44899</v>
      </c>
    </row>
    <row r="1231" spans="2:4">
      <c r="B1231" s="6" t="s">
        <v>324</v>
      </c>
      <c r="C1231" s="6" t="s">
        <v>172</v>
      </c>
      <c r="D1231" s="5">
        <v>44900</v>
      </c>
    </row>
    <row r="1232" spans="2:4">
      <c r="B1232" s="6" t="s">
        <v>414</v>
      </c>
      <c r="C1232" s="6" t="s">
        <v>661</v>
      </c>
      <c r="D1232" s="5">
        <v>44900</v>
      </c>
    </row>
    <row r="1233" spans="2:4">
      <c r="B1233" s="6" t="s">
        <v>270</v>
      </c>
      <c r="C1233" s="6" t="s">
        <v>356</v>
      </c>
      <c r="D1233" s="5">
        <v>44900</v>
      </c>
    </row>
    <row r="1234" spans="2:4">
      <c r="B1234" s="6" t="s">
        <v>94</v>
      </c>
      <c r="C1234" s="6" t="s">
        <v>503</v>
      </c>
      <c r="D1234" s="5">
        <v>44900</v>
      </c>
    </row>
    <row r="1235" spans="2:4">
      <c r="B1235" s="6" t="s">
        <v>300</v>
      </c>
      <c r="C1235" s="6" t="s">
        <v>215</v>
      </c>
      <c r="D1235" s="5">
        <v>44900</v>
      </c>
    </row>
    <row r="1236" spans="2:4">
      <c r="B1236" s="6" t="s">
        <v>405</v>
      </c>
      <c r="C1236" s="6" t="s">
        <v>269</v>
      </c>
      <c r="D1236" s="5">
        <v>44900</v>
      </c>
    </row>
    <row r="1237" spans="2:4">
      <c r="B1237" s="6" t="s">
        <v>342</v>
      </c>
      <c r="C1237" s="6" t="s">
        <v>483</v>
      </c>
      <c r="D1237" s="5">
        <v>44900</v>
      </c>
    </row>
    <row r="1238" spans="2:4">
      <c r="B1238" s="6" t="s">
        <v>128</v>
      </c>
      <c r="C1238" s="6" t="s">
        <v>662</v>
      </c>
      <c r="D1238" s="5">
        <v>44900</v>
      </c>
    </row>
    <row r="1239" spans="2:4">
      <c r="B1239" s="6" t="s">
        <v>132</v>
      </c>
      <c r="C1239" s="6" t="s">
        <v>180</v>
      </c>
      <c r="D1239" s="5">
        <v>44900</v>
      </c>
    </row>
    <row r="1240" spans="2:4">
      <c r="B1240" s="6" t="s">
        <v>392</v>
      </c>
      <c r="C1240" s="6" t="s">
        <v>194</v>
      </c>
      <c r="D1240" s="5">
        <v>44900</v>
      </c>
    </row>
    <row r="1241" spans="2:4">
      <c r="B1241" s="6" t="s">
        <v>161</v>
      </c>
      <c r="C1241" s="6" t="s">
        <v>359</v>
      </c>
      <c r="D1241" s="5">
        <v>44900</v>
      </c>
    </row>
    <row r="1242" spans="2:4">
      <c r="B1242" s="6" t="s">
        <v>171</v>
      </c>
      <c r="C1242" s="6" t="s">
        <v>557</v>
      </c>
      <c r="D1242" s="5">
        <v>44901</v>
      </c>
    </row>
    <row r="1243" spans="2:4">
      <c r="B1243" s="6" t="s">
        <v>248</v>
      </c>
      <c r="C1243" s="6" t="s">
        <v>663</v>
      </c>
      <c r="D1243" s="5">
        <v>44901</v>
      </c>
    </row>
    <row r="1244" spans="2:4">
      <c r="B1244" s="6" t="s">
        <v>203</v>
      </c>
      <c r="C1244" s="6" t="s">
        <v>664</v>
      </c>
      <c r="D1244" s="5">
        <v>44901</v>
      </c>
    </row>
    <row r="1245" spans="2:4">
      <c r="B1245" s="6" t="s">
        <v>198</v>
      </c>
      <c r="C1245" s="6" t="s">
        <v>208</v>
      </c>
      <c r="D1245" s="5">
        <v>44901</v>
      </c>
    </row>
    <row r="1246" spans="2:4">
      <c r="B1246" s="6" t="s">
        <v>47</v>
      </c>
      <c r="C1246" s="6" t="s">
        <v>101</v>
      </c>
      <c r="D1246" s="5">
        <v>44901</v>
      </c>
    </row>
    <row r="1247" spans="2:4">
      <c r="B1247" s="6" t="s">
        <v>286</v>
      </c>
      <c r="C1247" s="6" t="s">
        <v>262</v>
      </c>
      <c r="D1247" s="5">
        <v>44901</v>
      </c>
    </row>
    <row r="1248" spans="2:4">
      <c r="B1248" s="6" t="s">
        <v>42</v>
      </c>
      <c r="C1248" s="6" t="s">
        <v>100</v>
      </c>
      <c r="D1248" s="5">
        <v>44901</v>
      </c>
    </row>
    <row r="1249" spans="2:4">
      <c r="B1249" s="6" t="s">
        <v>84</v>
      </c>
      <c r="C1249" s="6" t="s">
        <v>267</v>
      </c>
      <c r="D1249" s="5">
        <v>44901</v>
      </c>
    </row>
    <row r="1250" spans="2:4">
      <c r="B1250" s="6" t="s">
        <v>30</v>
      </c>
      <c r="C1250" s="6" t="s">
        <v>60</v>
      </c>
      <c r="D1250" s="5">
        <v>44901</v>
      </c>
    </row>
    <row r="1251" spans="2:4">
      <c r="B1251" s="6" t="s">
        <v>587</v>
      </c>
      <c r="C1251" s="6" t="s">
        <v>122</v>
      </c>
      <c r="D1251" s="5">
        <v>44901</v>
      </c>
    </row>
    <row r="1252" spans="2:4">
      <c r="B1252" s="6" t="s">
        <v>104</v>
      </c>
      <c r="C1252" s="6" t="s">
        <v>358</v>
      </c>
      <c r="D1252" s="5">
        <v>44901</v>
      </c>
    </row>
    <row r="1253" spans="2:4">
      <c r="B1253" s="6" t="s">
        <v>97</v>
      </c>
      <c r="C1253" s="6" t="s">
        <v>137</v>
      </c>
      <c r="D1253" s="5">
        <v>44901</v>
      </c>
    </row>
    <row r="1254" spans="2:4">
      <c r="B1254" s="6" t="s">
        <v>191</v>
      </c>
      <c r="C1254" s="6" t="s">
        <v>276</v>
      </c>
      <c r="D1254" s="5">
        <v>44901</v>
      </c>
    </row>
    <row r="1255" spans="2:4">
      <c r="B1255" s="6" t="s">
        <v>192</v>
      </c>
      <c r="C1255" s="6" t="s">
        <v>432</v>
      </c>
      <c r="D1255" s="5">
        <v>44901</v>
      </c>
    </row>
    <row r="1256" spans="2:4">
      <c r="B1256" s="6" t="s">
        <v>138</v>
      </c>
      <c r="C1256" s="6" t="s">
        <v>301</v>
      </c>
      <c r="D1256" s="5">
        <v>44901</v>
      </c>
    </row>
    <row r="1257" spans="2:4">
      <c r="B1257" s="6" t="s">
        <v>327</v>
      </c>
      <c r="C1257" s="6" t="s">
        <v>275</v>
      </c>
      <c r="D1257" s="5">
        <v>44901</v>
      </c>
    </row>
    <row r="1258" spans="2:4">
      <c r="B1258" s="6" t="s">
        <v>103</v>
      </c>
      <c r="C1258" s="6" t="s">
        <v>294</v>
      </c>
      <c r="D1258" s="5">
        <v>44901</v>
      </c>
    </row>
    <row r="1259" spans="2:4">
      <c r="B1259" s="6" t="s">
        <v>233</v>
      </c>
      <c r="C1259" s="6" t="s">
        <v>360</v>
      </c>
      <c r="D1259" s="5">
        <v>44901</v>
      </c>
    </row>
    <row r="1260" spans="2:4">
      <c r="B1260" s="6" t="s">
        <v>221</v>
      </c>
      <c r="C1260" s="6" t="s">
        <v>106</v>
      </c>
      <c r="D1260" s="5">
        <v>44901</v>
      </c>
    </row>
    <row r="1261" spans="2:4">
      <c r="B1261" s="6" t="s">
        <v>285</v>
      </c>
      <c r="C1261" s="6" t="s">
        <v>133</v>
      </c>
      <c r="D1261" s="5">
        <v>44901</v>
      </c>
    </row>
    <row r="1262" spans="2:4">
      <c r="B1262" s="6" t="s">
        <v>145</v>
      </c>
      <c r="C1262" s="6" t="s">
        <v>334</v>
      </c>
      <c r="D1262" s="5">
        <v>44901</v>
      </c>
    </row>
    <row r="1263" spans="2:4">
      <c r="B1263" s="6" t="s">
        <v>210</v>
      </c>
      <c r="C1263" s="6" t="s">
        <v>113</v>
      </c>
      <c r="D1263" s="5">
        <v>44901</v>
      </c>
    </row>
    <row r="1264" spans="2:4">
      <c r="B1264" s="6" t="s">
        <v>281</v>
      </c>
      <c r="C1264" s="6" t="s">
        <v>335</v>
      </c>
      <c r="D1264" s="5">
        <v>44901</v>
      </c>
    </row>
    <row r="1265" spans="2:4">
      <c r="B1265" s="6" t="s">
        <v>349</v>
      </c>
      <c r="C1265" s="6" t="s">
        <v>98</v>
      </c>
      <c r="D1265" s="5">
        <v>44901</v>
      </c>
    </row>
    <row r="1266" spans="2:4">
      <c r="B1266" s="6" t="s">
        <v>351</v>
      </c>
      <c r="C1266" s="6" t="s">
        <v>205</v>
      </c>
      <c r="D1266" s="5">
        <v>44901</v>
      </c>
    </row>
    <row r="1267" spans="2:4">
      <c r="B1267" s="6" t="s">
        <v>201</v>
      </c>
      <c r="C1267" s="6" t="s">
        <v>502</v>
      </c>
      <c r="D1267" s="5">
        <v>44901</v>
      </c>
    </row>
    <row r="1268" spans="2:4">
      <c r="B1268" s="6" t="s">
        <v>111</v>
      </c>
      <c r="C1268" s="6" t="s">
        <v>110</v>
      </c>
      <c r="D1268" s="5">
        <v>44901</v>
      </c>
    </row>
    <row r="1269" spans="2:4">
      <c r="B1269" s="6" t="s">
        <v>770</v>
      </c>
      <c r="C1269" s="6" t="s">
        <v>116</v>
      </c>
      <c r="D1269" s="5">
        <v>44901</v>
      </c>
    </row>
    <row r="1270" spans="2:4">
      <c r="B1270" s="6" t="s">
        <v>50</v>
      </c>
      <c r="C1270" s="6" t="s">
        <v>89</v>
      </c>
      <c r="D1270" s="5">
        <v>44901</v>
      </c>
    </row>
    <row r="1271" spans="2:4">
      <c r="B1271" s="6" t="s">
        <v>54</v>
      </c>
      <c r="C1271" s="6" t="s">
        <v>253</v>
      </c>
      <c r="D1271" s="5">
        <v>44901</v>
      </c>
    </row>
    <row r="1272" spans="2:4">
      <c r="B1272" s="6" t="s">
        <v>186</v>
      </c>
      <c r="C1272" s="6" t="s">
        <v>662</v>
      </c>
      <c r="D1272" s="5">
        <v>44901</v>
      </c>
    </row>
    <row r="1273" spans="2:4">
      <c r="B1273" s="6" t="s">
        <v>212</v>
      </c>
      <c r="C1273" s="6" t="s">
        <v>354</v>
      </c>
      <c r="D1273" s="5">
        <v>44901</v>
      </c>
    </row>
    <row r="1274" spans="2:4">
      <c r="B1274" s="6" t="s">
        <v>28</v>
      </c>
      <c r="C1274" s="6" t="s">
        <v>388</v>
      </c>
      <c r="D1274" s="5">
        <v>44901</v>
      </c>
    </row>
    <row r="1275" spans="2:4">
      <c r="B1275" s="6" t="s">
        <v>34</v>
      </c>
      <c r="C1275" s="6" t="s">
        <v>364</v>
      </c>
      <c r="D1275" s="5">
        <v>44901</v>
      </c>
    </row>
    <row r="1276" spans="2:4">
      <c r="B1276" s="6" t="s">
        <v>188</v>
      </c>
      <c r="C1276" s="6" t="s">
        <v>409</v>
      </c>
      <c r="D1276" s="5">
        <v>44901</v>
      </c>
    </row>
    <row r="1277" spans="2:4">
      <c r="B1277" s="6" t="s">
        <v>147</v>
      </c>
      <c r="C1277" s="6" t="s">
        <v>455</v>
      </c>
      <c r="D1277" s="5">
        <v>44901</v>
      </c>
    </row>
    <row r="1278" spans="2:4">
      <c r="B1278" s="6" t="s">
        <v>309</v>
      </c>
      <c r="C1278" s="6" t="s">
        <v>504</v>
      </c>
      <c r="D1278" s="5">
        <v>44901</v>
      </c>
    </row>
    <row r="1279" spans="2:4">
      <c r="B1279" s="6" t="s">
        <v>139</v>
      </c>
      <c r="C1279" s="6" t="s">
        <v>468</v>
      </c>
      <c r="D1279" s="5">
        <v>44901</v>
      </c>
    </row>
    <row r="1280" spans="2:4">
      <c r="B1280" s="6" t="s">
        <v>584</v>
      </c>
      <c r="C1280" s="6" t="s">
        <v>477</v>
      </c>
      <c r="D1280" s="5">
        <v>44901</v>
      </c>
    </row>
    <row r="1281" spans="2:4">
      <c r="B1281" s="6" t="s">
        <v>323</v>
      </c>
      <c r="C1281" s="6" t="s">
        <v>135</v>
      </c>
      <c r="D1281" s="5">
        <v>44901</v>
      </c>
    </row>
    <row r="1282" spans="2:4">
      <c r="B1282" s="6" t="s">
        <v>370</v>
      </c>
      <c r="C1282" s="6" t="s">
        <v>119</v>
      </c>
      <c r="D1282" s="5">
        <v>44901</v>
      </c>
    </row>
    <row r="1283" spans="2:4">
      <c r="B1283" s="6" t="s">
        <v>144</v>
      </c>
      <c r="C1283" s="6" t="s">
        <v>240</v>
      </c>
      <c r="D1283" s="5">
        <v>44901</v>
      </c>
    </row>
    <row r="1284" spans="2:4">
      <c r="B1284" s="6" t="s">
        <v>350</v>
      </c>
      <c r="C1284" s="6" t="s">
        <v>324</v>
      </c>
      <c r="D1284" s="5">
        <v>44901</v>
      </c>
    </row>
    <row r="1285" spans="2:4">
      <c r="B1285" s="6" t="s">
        <v>355</v>
      </c>
      <c r="C1285" s="6" t="s">
        <v>367</v>
      </c>
      <c r="D1285" s="5">
        <v>44901</v>
      </c>
    </row>
    <row r="1286" spans="2:4">
      <c r="B1286" s="6" t="s">
        <v>29</v>
      </c>
      <c r="C1286" s="6" t="s">
        <v>331</v>
      </c>
      <c r="D1286" s="5">
        <v>44901</v>
      </c>
    </row>
    <row r="1287" spans="2:4">
      <c r="B1287" s="6" t="s">
        <v>750</v>
      </c>
      <c r="C1287" s="6" t="s">
        <v>345</v>
      </c>
      <c r="D1287" s="5">
        <v>44901</v>
      </c>
    </row>
    <row r="1288" spans="2:4">
      <c r="B1288" s="6" t="s">
        <v>318</v>
      </c>
      <c r="C1288" s="6" t="s">
        <v>140</v>
      </c>
      <c r="D1288" s="5">
        <v>44901</v>
      </c>
    </row>
    <row r="1289" spans="2:4">
      <c r="B1289" s="6" t="s">
        <v>37</v>
      </c>
      <c r="C1289" s="6" t="s">
        <v>277</v>
      </c>
      <c r="D1289" s="5">
        <v>44901</v>
      </c>
    </row>
    <row r="1290" spans="2:4">
      <c r="B1290" s="6" t="s">
        <v>152</v>
      </c>
      <c r="C1290" s="6" t="s">
        <v>588</v>
      </c>
      <c r="D1290" s="5">
        <v>44901</v>
      </c>
    </row>
    <row r="1291" spans="2:4">
      <c r="B1291" s="6" t="s">
        <v>162</v>
      </c>
      <c r="C1291" s="6" t="s">
        <v>380</v>
      </c>
      <c r="D1291" s="5">
        <v>44901</v>
      </c>
    </row>
    <row r="1292" spans="2:4">
      <c r="B1292" s="6" t="s">
        <v>778</v>
      </c>
      <c r="C1292" s="6" t="s">
        <v>415</v>
      </c>
      <c r="D1292" s="5">
        <v>44901</v>
      </c>
    </row>
    <row r="1293" spans="2:4">
      <c r="B1293" s="6" t="s">
        <v>190</v>
      </c>
      <c r="C1293" s="6" t="s">
        <v>385</v>
      </c>
      <c r="D1293" s="5">
        <v>44901</v>
      </c>
    </row>
    <row r="1294" spans="2:4">
      <c r="B1294" s="6" t="s">
        <v>153</v>
      </c>
      <c r="C1294" s="6" t="s">
        <v>665</v>
      </c>
      <c r="D1294" s="5">
        <v>44901</v>
      </c>
    </row>
    <row r="1295" spans="2:4">
      <c r="B1295" s="6" t="s">
        <v>158</v>
      </c>
      <c r="C1295" s="6" t="s">
        <v>196</v>
      </c>
      <c r="D1295" s="5">
        <v>44901</v>
      </c>
    </row>
    <row r="1296" spans="2:4">
      <c r="B1296" s="6" t="s">
        <v>189</v>
      </c>
      <c r="C1296" s="6" t="s">
        <v>666</v>
      </c>
      <c r="D1296" s="5">
        <v>44901</v>
      </c>
    </row>
    <row r="1297" spans="2:4">
      <c r="B1297" s="6" t="s">
        <v>65</v>
      </c>
      <c r="C1297" s="6" t="s">
        <v>56</v>
      </c>
      <c r="D1297" s="5">
        <v>44901</v>
      </c>
    </row>
    <row r="1298" spans="2:4">
      <c r="B1298" s="6" t="s">
        <v>44</v>
      </c>
      <c r="C1298" s="6" t="s">
        <v>61</v>
      </c>
      <c r="D1298" s="5">
        <v>44901</v>
      </c>
    </row>
    <row r="1299" spans="2:4">
      <c r="B1299" s="6" t="s">
        <v>433</v>
      </c>
      <c r="C1299" s="6" t="s">
        <v>586</v>
      </c>
      <c r="D1299" s="5">
        <v>44901</v>
      </c>
    </row>
    <row r="1300" spans="2:4">
      <c r="B1300" s="6" t="s">
        <v>427</v>
      </c>
      <c r="C1300" s="6" t="s">
        <v>403</v>
      </c>
      <c r="D1300" s="5">
        <v>44901</v>
      </c>
    </row>
    <row r="1301" spans="2:4">
      <c r="B1301" s="6" t="s">
        <v>165</v>
      </c>
      <c r="C1301" s="6" t="s">
        <v>169</v>
      </c>
      <c r="D1301" s="5">
        <v>44901</v>
      </c>
    </row>
    <row r="1302" spans="2:4">
      <c r="B1302" s="6" t="s">
        <v>131</v>
      </c>
      <c r="C1302" s="6" t="s">
        <v>216</v>
      </c>
      <c r="D1302" s="5">
        <v>44902</v>
      </c>
    </row>
    <row r="1303" spans="2:4">
      <c r="B1303" s="6" t="s">
        <v>297</v>
      </c>
      <c r="C1303" s="6" t="s">
        <v>487</v>
      </c>
      <c r="D1303" s="5">
        <v>44902</v>
      </c>
    </row>
    <row r="1304" spans="2:4">
      <c r="B1304" s="6" t="s">
        <v>238</v>
      </c>
      <c r="C1304" s="6" t="s">
        <v>814</v>
      </c>
      <c r="D1304" s="5">
        <v>44902</v>
      </c>
    </row>
    <row r="1305" spans="2:4">
      <c r="B1305" s="6" t="s">
        <v>302</v>
      </c>
      <c r="C1305" s="6" t="s">
        <v>155</v>
      </c>
      <c r="D1305" s="5">
        <v>44902</v>
      </c>
    </row>
    <row r="1306" spans="2:4">
      <c r="B1306" s="6" t="s">
        <v>41</v>
      </c>
      <c r="C1306" s="6" t="s">
        <v>130</v>
      </c>
      <c r="D1306" s="5">
        <v>44902</v>
      </c>
    </row>
    <row r="1307" spans="2:4">
      <c r="B1307" s="6" t="s">
        <v>781</v>
      </c>
      <c r="C1307" s="6" t="s">
        <v>761</v>
      </c>
      <c r="D1307" s="5">
        <v>44902</v>
      </c>
    </row>
    <row r="1308" spans="2:4">
      <c r="B1308" s="6" t="s">
        <v>86</v>
      </c>
      <c r="C1308" s="6" t="s">
        <v>255</v>
      </c>
      <c r="D1308" s="5">
        <v>44902</v>
      </c>
    </row>
    <row r="1309" spans="2:4">
      <c r="B1309" s="6" t="s">
        <v>35</v>
      </c>
      <c r="C1309" s="6" t="s">
        <v>419</v>
      </c>
      <c r="D1309" s="5">
        <v>44902</v>
      </c>
    </row>
    <row r="1310" spans="2:4">
      <c r="B1310" s="6" t="s">
        <v>330</v>
      </c>
      <c r="C1310" s="6" t="s">
        <v>465</v>
      </c>
      <c r="D1310" s="5">
        <v>44902</v>
      </c>
    </row>
    <row r="1311" spans="2:4">
      <c r="B1311" s="6" t="s">
        <v>362</v>
      </c>
      <c r="C1311" s="6" t="s">
        <v>412</v>
      </c>
      <c r="D1311" s="5">
        <v>44902</v>
      </c>
    </row>
    <row r="1312" spans="2:4">
      <c r="B1312" s="6" t="s">
        <v>590</v>
      </c>
      <c r="C1312" s="6" t="s">
        <v>117</v>
      </c>
      <c r="D1312" s="5">
        <v>44902</v>
      </c>
    </row>
    <row r="1313" spans="2:4">
      <c r="B1313" s="6" t="s">
        <v>112</v>
      </c>
      <c r="C1313" s="6" t="s">
        <v>336</v>
      </c>
      <c r="D1313" s="5">
        <v>44902</v>
      </c>
    </row>
    <row r="1314" spans="2:4">
      <c r="B1314" s="6" t="s">
        <v>173</v>
      </c>
      <c r="C1314" s="6" t="s">
        <v>314</v>
      </c>
      <c r="D1314" s="5">
        <v>44902</v>
      </c>
    </row>
    <row r="1315" spans="2:4">
      <c r="B1315" s="6" t="s">
        <v>179</v>
      </c>
      <c r="C1315" s="6" t="s">
        <v>580</v>
      </c>
      <c r="D1315" s="5">
        <v>44902</v>
      </c>
    </row>
    <row r="1316" spans="2:4">
      <c r="B1316" s="6" t="s">
        <v>148</v>
      </c>
      <c r="C1316" s="6" t="s">
        <v>177</v>
      </c>
      <c r="D1316" s="5">
        <v>44902</v>
      </c>
    </row>
    <row r="1317" spans="2:4">
      <c r="B1317" s="6" t="s">
        <v>118</v>
      </c>
      <c r="C1317" s="6" t="s">
        <v>264</v>
      </c>
      <c r="D1317" s="5">
        <v>44902</v>
      </c>
    </row>
    <row r="1318" spans="2:4">
      <c r="B1318" s="6" t="s">
        <v>199</v>
      </c>
      <c r="C1318" s="6" t="s">
        <v>287</v>
      </c>
      <c r="D1318" s="5">
        <v>44902</v>
      </c>
    </row>
    <row r="1319" spans="2:4">
      <c r="B1319" s="6" t="s">
        <v>289</v>
      </c>
      <c r="C1319" s="6" t="s">
        <v>450</v>
      </c>
      <c r="D1319" s="5">
        <v>44902</v>
      </c>
    </row>
    <row r="1320" spans="2:4">
      <c r="B1320" s="6" t="s">
        <v>136</v>
      </c>
      <c r="C1320" s="6" t="s">
        <v>413</v>
      </c>
      <c r="D1320" s="5">
        <v>44902</v>
      </c>
    </row>
    <row r="1321" spans="2:4">
      <c r="B1321" s="6" t="s">
        <v>121</v>
      </c>
      <c r="C1321" s="6" t="s">
        <v>120</v>
      </c>
      <c r="D1321" s="5">
        <v>44902</v>
      </c>
    </row>
    <row r="1322" spans="2:4">
      <c r="B1322" s="6" t="s">
        <v>252</v>
      </c>
      <c r="C1322" s="6" t="s">
        <v>397</v>
      </c>
      <c r="D1322" s="5">
        <v>44902</v>
      </c>
    </row>
    <row r="1323" spans="2:4">
      <c r="B1323" s="6" t="s">
        <v>124</v>
      </c>
      <c r="C1323" s="6" t="s">
        <v>107</v>
      </c>
      <c r="D1323" s="5">
        <v>44902</v>
      </c>
    </row>
    <row r="1324" spans="2:4">
      <c r="B1324" s="6" t="s">
        <v>421</v>
      </c>
      <c r="C1324" s="6" t="s">
        <v>292</v>
      </c>
      <c r="D1324" s="5">
        <v>44902</v>
      </c>
    </row>
    <row r="1325" spans="2:4">
      <c r="B1325" s="6" t="s">
        <v>261</v>
      </c>
      <c r="C1325" s="6" t="s">
        <v>262</v>
      </c>
      <c r="D1325" s="5">
        <v>44902</v>
      </c>
    </row>
    <row r="1326" spans="2:4">
      <c r="B1326" s="6" t="s">
        <v>58</v>
      </c>
      <c r="C1326" s="6" t="s">
        <v>178</v>
      </c>
      <c r="D1326" s="5">
        <v>44902</v>
      </c>
    </row>
    <row r="1327" spans="2:4">
      <c r="B1327" s="6" t="s">
        <v>32</v>
      </c>
      <c r="C1327" s="6" t="s">
        <v>220</v>
      </c>
      <c r="D1327" s="5">
        <v>44902</v>
      </c>
    </row>
    <row r="1328" spans="2:4">
      <c r="B1328" s="6" t="s">
        <v>46</v>
      </c>
      <c r="C1328" s="6" t="s">
        <v>278</v>
      </c>
      <c r="D1328" s="5">
        <v>44902</v>
      </c>
    </row>
    <row r="1329" spans="2:4">
      <c r="B1329" s="6" t="s">
        <v>48</v>
      </c>
      <c r="C1329" s="6" t="s">
        <v>125</v>
      </c>
      <c r="D1329" s="5">
        <v>44902</v>
      </c>
    </row>
    <row r="1330" spans="2:4">
      <c r="B1330" s="6" t="s">
        <v>126</v>
      </c>
      <c r="C1330" s="6" t="s">
        <v>176</v>
      </c>
      <c r="D1330" s="5">
        <v>44902</v>
      </c>
    </row>
    <row r="1331" spans="2:4">
      <c r="B1331" s="6" t="s">
        <v>52</v>
      </c>
      <c r="C1331" s="6" t="s">
        <v>214</v>
      </c>
      <c r="D1331" s="5">
        <v>44902</v>
      </c>
    </row>
    <row r="1332" spans="2:4">
      <c r="B1332" s="6" t="s">
        <v>27</v>
      </c>
      <c r="C1332" s="6" t="s">
        <v>319</v>
      </c>
      <c r="D1332" s="5">
        <v>44902</v>
      </c>
    </row>
    <row r="1333" spans="2:4">
      <c r="B1333" s="6" t="s">
        <v>615</v>
      </c>
      <c r="C1333" s="6" t="s">
        <v>667</v>
      </c>
      <c r="D1333" s="5">
        <v>44902</v>
      </c>
    </row>
    <row r="1334" spans="2:4">
      <c r="B1334" s="6" t="s">
        <v>326</v>
      </c>
      <c r="C1334" s="6" t="s">
        <v>247</v>
      </c>
      <c r="D1334" s="5">
        <v>44902</v>
      </c>
    </row>
    <row r="1335" spans="2:4">
      <c r="B1335" s="6" t="s">
        <v>329</v>
      </c>
      <c r="C1335" s="6" t="s">
        <v>109</v>
      </c>
      <c r="D1335" s="5">
        <v>44902</v>
      </c>
    </row>
    <row r="1336" spans="2:4">
      <c r="B1336" s="6" t="s">
        <v>321</v>
      </c>
      <c r="C1336" s="6" t="s">
        <v>296</v>
      </c>
      <c r="D1336" s="5">
        <v>44902</v>
      </c>
    </row>
    <row r="1337" spans="2:4">
      <c r="B1337" s="6" t="s">
        <v>95</v>
      </c>
      <c r="C1337" s="6" t="s">
        <v>422</v>
      </c>
      <c r="D1337" s="5">
        <v>44902</v>
      </c>
    </row>
    <row r="1338" spans="2:4">
      <c r="B1338" s="6" t="s">
        <v>213</v>
      </c>
      <c r="C1338" s="6" t="s">
        <v>298</v>
      </c>
      <c r="D1338" s="5">
        <v>44902</v>
      </c>
    </row>
    <row r="1339" spans="2:4">
      <c r="B1339" s="6" t="s">
        <v>241</v>
      </c>
      <c r="C1339" s="6" t="s">
        <v>325</v>
      </c>
      <c r="D1339" s="5">
        <v>44902</v>
      </c>
    </row>
    <row r="1340" spans="2:4">
      <c r="B1340" s="6" t="s">
        <v>640</v>
      </c>
      <c r="C1340" s="6" t="s">
        <v>340</v>
      </c>
      <c r="D1340" s="5">
        <v>44902</v>
      </c>
    </row>
    <row r="1341" spans="2:4">
      <c r="B1341" s="6" t="s">
        <v>183</v>
      </c>
      <c r="C1341" s="6" t="s">
        <v>559</v>
      </c>
      <c r="D1341" s="5">
        <v>44902</v>
      </c>
    </row>
    <row r="1342" spans="2:4">
      <c r="B1342" s="6" t="s">
        <v>363</v>
      </c>
      <c r="C1342" s="6" t="s">
        <v>357</v>
      </c>
      <c r="D1342" s="5">
        <v>44902</v>
      </c>
    </row>
    <row r="1343" spans="2:4">
      <c r="B1343" s="6" t="s">
        <v>62</v>
      </c>
      <c r="C1343" s="6" t="s">
        <v>67</v>
      </c>
      <c r="D1343" s="5">
        <v>44902</v>
      </c>
    </row>
    <row r="1344" spans="2:4">
      <c r="B1344" s="6" t="s">
        <v>40</v>
      </c>
      <c r="C1344" s="6" t="s">
        <v>230</v>
      </c>
      <c r="D1344" s="5">
        <v>44902</v>
      </c>
    </row>
    <row r="1345" spans="2:4">
      <c r="B1345" s="6" t="s">
        <v>36</v>
      </c>
      <c r="C1345" s="6" t="s">
        <v>668</v>
      </c>
      <c r="D1345" s="5">
        <v>44902</v>
      </c>
    </row>
    <row r="1346" spans="2:4">
      <c r="B1346" s="6" t="s">
        <v>804</v>
      </c>
      <c r="C1346" s="6" t="s">
        <v>256</v>
      </c>
      <c r="D1346" s="5">
        <v>44902</v>
      </c>
    </row>
    <row r="1347" spans="2:4">
      <c r="B1347" s="6" t="s">
        <v>157</v>
      </c>
      <c r="C1347" s="6" t="s">
        <v>383</v>
      </c>
      <c r="D1347" s="5">
        <v>44902</v>
      </c>
    </row>
    <row r="1348" spans="2:4">
      <c r="B1348" s="6" t="s">
        <v>381</v>
      </c>
      <c r="C1348" s="6" t="s">
        <v>396</v>
      </c>
      <c r="D1348" s="5">
        <v>44902</v>
      </c>
    </row>
    <row r="1349" spans="2:4">
      <c r="B1349" s="6" t="s">
        <v>341</v>
      </c>
      <c r="C1349" s="6" t="s">
        <v>719</v>
      </c>
      <c r="D1349" s="5">
        <v>44902</v>
      </c>
    </row>
    <row r="1350" spans="2:4">
      <c r="B1350" s="6" t="s">
        <v>79</v>
      </c>
      <c r="C1350" s="6" t="s">
        <v>732</v>
      </c>
      <c r="D1350" s="5">
        <v>44902</v>
      </c>
    </row>
    <row r="1351" spans="2:4">
      <c r="B1351" s="6" t="s">
        <v>185</v>
      </c>
      <c r="C1351" s="6" t="s">
        <v>49</v>
      </c>
      <c r="D1351" s="5">
        <v>44902</v>
      </c>
    </row>
    <row r="1352" spans="2:4">
      <c r="B1352" s="6" t="s">
        <v>51</v>
      </c>
      <c r="C1352" s="6" t="s">
        <v>123</v>
      </c>
      <c r="D1352" s="5">
        <v>44902</v>
      </c>
    </row>
    <row r="1353" spans="2:4">
      <c r="B1353" s="6" t="s">
        <v>394</v>
      </c>
      <c r="C1353" s="6" t="s">
        <v>599</v>
      </c>
      <c r="D1353" s="5">
        <v>44902</v>
      </c>
    </row>
    <row r="1354" spans="2:4">
      <c r="B1354" s="6" t="s">
        <v>160</v>
      </c>
      <c r="C1354" s="6" t="s">
        <v>375</v>
      </c>
      <c r="D1354" s="5">
        <v>44902</v>
      </c>
    </row>
    <row r="1355" spans="2:4">
      <c r="B1355" s="6" t="s">
        <v>389</v>
      </c>
      <c r="C1355" s="6" t="s">
        <v>151</v>
      </c>
      <c r="D1355" s="5">
        <v>44902</v>
      </c>
    </row>
    <row r="1356" spans="2:4">
      <c r="B1356" s="6" t="s">
        <v>159</v>
      </c>
      <c r="C1356" s="6" t="s">
        <v>206</v>
      </c>
      <c r="D1356" s="5">
        <v>44902</v>
      </c>
    </row>
    <row r="1357" spans="2:4">
      <c r="B1357" s="6" t="s">
        <v>398</v>
      </c>
      <c r="C1357" s="6" t="s">
        <v>320</v>
      </c>
      <c r="D1357" s="5">
        <v>44902</v>
      </c>
    </row>
    <row r="1358" spans="2:4">
      <c r="B1358" s="6" t="s">
        <v>163</v>
      </c>
      <c r="C1358" s="6" t="s">
        <v>428</v>
      </c>
      <c r="D1358" s="5">
        <v>44902</v>
      </c>
    </row>
    <row r="1359" spans="2:4">
      <c r="B1359" s="6" t="s">
        <v>164</v>
      </c>
      <c r="C1359" s="6" t="s">
        <v>393</v>
      </c>
      <c r="D1359" s="5">
        <v>44902</v>
      </c>
    </row>
    <row r="1360" spans="2:4">
      <c r="B1360" s="6" t="s">
        <v>404</v>
      </c>
      <c r="C1360" s="6" t="s">
        <v>175</v>
      </c>
      <c r="D1360" s="5">
        <v>44902</v>
      </c>
    </row>
    <row r="1361" spans="2:4">
      <c r="B1361" s="6" t="s">
        <v>74</v>
      </c>
      <c r="C1361" s="6" t="s">
        <v>621</v>
      </c>
      <c r="D1361" s="5">
        <v>44902</v>
      </c>
    </row>
    <row r="1362" spans="2:4">
      <c r="B1362" s="6" t="s">
        <v>174</v>
      </c>
      <c r="C1362" s="6" t="s">
        <v>669</v>
      </c>
      <c r="D1362" s="5">
        <v>44903</v>
      </c>
    </row>
    <row r="1363" spans="2:4">
      <c r="B1363" s="6" t="s">
        <v>418</v>
      </c>
      <c r="C1363" s="6" t="s">
        <v>538</v>
      </c>
      <c r="D1363" s="5">
        <v>44903</v>
      </c>
    </row>
    <row r="1364" spans="2:4">
      <c r="B1364" s="6" t="s">
        <v>300</v>
      </c>
      <c r="C1364" s="6" t="s">
        <v>269</v>
      </c>
      <c r="D1364" s="5">
        <v>44903</v>
      </c>
    </row>
    <row r="1365" spans="2:4">
      <c r="B1365" s="6" t="s">
        <v>284</v>
      </c>
      <c r="C1365" s="6" t="s">
        <v>193</v>
      </c>
      <c r="D1365" s="5">
        <v>44903</v>
      </c>
    </row>
    <row r="1366" spans="2:4">
      <c r="B1366" s="6" t="s">
        <v>777</v>
      </c>
      <c r="C1366" s="6" t="s">
        <v>64</v>
      </c>
      <c r="D1366" s="5">
        <v>44903</v>
      </c>
    </row>
    <row r="1367" spans="2:4">
      <c r="B1367" s="6" t="s">
        <v>338</v>
      </c>
      <c r="C1367" s="6" t="s">
        <v>670</v>
      </c>
      <c r="D1367" s="5">
        <v>44903</v>
      </c>
    </row>
    <row r="1368" spans="2:4">
      <c r="B1368" s="6" t="s">
        <v>61</v>
      </c>
      <c r="C1368" s="6" t="s">
        <v>747</v>
      </c>
      <c r="D1368" s="5">
        <v>44903</v>
      </c>
    </row>
    <row r="1369" spans="2:4">
      <c r="B1369" s="6" t="s">
        <v>63</v>
      </c>
      <c r="C1369" s="6" t="s">
        <v>59</v>
      </c>
      <c r="D1369" s="5">
        <v>44903</v>
      </c>
    </row>
    <row r="1370" spans="2:4">
      <c r="B1370" s="6" t="s">
        <v>391</v>
      </c>
      <c r="C1370" s="6" t="s">
        <v>348</v>
      </c>
      <c r="D1370" s="5">
        <v>44903</v>
      </c>
    </row>
    <row r="1371" spans="2:4">
      <c r="B1371" s="6" t="s">
        <v>72</v>
      </c>
      <c r="C1371" s="6" t="s">
        <v>386</v>
      </c>
      <c r="D1371" s="5">
        <v>44903</v>
      </c>
    </row>
    <row r="1372" spans="2:4">
      <c r="B1372" s="6" t="s">
        <v>77</v>
      </c>
      <c r="C1372" s="6" t="s">
        <v>353</v>
      </c>
      <c r="D1372" s="5">
        <v>44903</v>
      </c>
    </row>
    <row r="1373" spans="2:4">
      <c r="B1373" s="6" t="s">
        <v>106</v>
      </c>
      <c r="C1373" s="6" t="s">
        <v>99</v>
      </c>
      <c r="D1373" s="5">
        <v>44904</v>
      </c>
    </row>
    <row r="1374" spans="2:4">
      <c r="B1374" s="6" t="s">
        <v>175</v>
      </c>
      <c r="C1374" s="6" t="s">
        <v>539</v>
      </c>
      <c r="D1374" s="5">
        <v>44904</v>
      </c>
    </row>
    <row r="1375" spans="2:4">
      <c r="B1375" s="6" t="s">
        <v>349</v>
      </c>
      <c r="C1375" s="6" t="s">
        <v>126</v>
      </c>
      <c r="D1375" s="5">
        <v>44904</v>
      </c>
    </row>
    <row r="1376" spans="2:4">
      <c r="B1376" s="6" t="s">
        <v>138</v>
      </c>
      <c r="C1376" s="6" t="s">
        <v>410</v>
      </c>
      <c r="D1376" s="5">
        <v>44904</v>
      </c>
    </row>
    <row r="1377" spans="2:4">
      <c r="B1377" s="6" t="s">
        <v>246</v>
      </c>
      <c r="C1377" s="6" t="s">
        <v>351</v>
      </c>
      <c r="D1377" s="5">
        <v>44904</v>
      </c>
    </row>
    <row r="1378" spans="2:4">
      <c r="B1378" s="6" t="s">
        <v>110</v>
      </c>
      <c r="C1378" s="6" t="s">
        <v>610</v>
      </c>
      <c r="D1378" s="5">
        <v>44904</v>
      </c>
    </row>
    <row r="1379" spans="2:4">
      <c r="B1379" s="6" t="s">
        <v>185</v>
      </c>
      <c r="C1379" s="6" t="s">
        <v>382</v>
      </c>
      <c r="D1379" s="5">
        <v>44904</v>
      </c>
    </row>
    <row r="1380" spans="2:4">
      <c r="B1380" s="6" t="s">
        <v>318</v>
      </c>
      <c r="C1380" s="6" t="s">
        <v>342</v>
      </c>
      <c r="D1380" s="5">
        <v>44904</v>
      </c>
    </row>
    <row r="1381" spans="2:4">
      <c r="B1381" s="6" t="s">
        <v>308</v>
      </c>
      <c r="C1381" s="6" t="s">
        <v>128</v>
      </c>
      <c r="D1381" s="5">
        <v>44904</v>
      </c>
    </row>
    <row r="1382" spans="2:4">
      <c r="B1382" s="6" t="s">
        <v>132</v>
      </c>
      <c r="C1382" s="6" t="s">
        <v>71</v>
      </c>
      <c r="D1382" s="5">
        <v>44904</v>
      </c>
    </row>
    <row r="1383" spans="2:4">
      <c r="B1383" s="6" t="s">
        <v>607</v>
      </c>
      <c r="C1383" s="6" t="s">
        <v>671</v>
      </c>
      <c r="D1383" s="5">
        <v>44904</v>
      </c>
    </row>
    <row r="1384" spans="2:4">
      <c r="B1384" s="6" t="s">
        <v>198</v>
      </c>
      <c r="C1384" s="6" t="s">
        <v>367</v>
      </c>
      <c r="D1384" s="5">
        <v>44904</v>
      </c>
    </row>
    <row r="1385" spans="2:4">
      <c r="B1385" s="6" t="s">
        <v>323</v>
      </c>
      <c r="C1385" s="6" t="s">
        <v>150</v>
      </c>
      <c r="D1385" s="5">
        <v>44905</v>
      </c>
    </row>
    <row r="1386" spans="2:4">
      <c r="B1386" s="6" t="s">
        <v>203</v>
      </c>
      <c r="C1386" s="6" t="s">
        <v>221</v>
      </c>
      <c r="D1386" s="5">
        <v>44905</v>
      </c>
    </row>
    <row r="1387" spans="2:4">
      <c r="B1387" s="6" t="s">
        <v>60</v>
      </c>
      <c r="C1387" s="6" t="s">
        <v>781</v>
      </c>
      <c r="D1387" s="5">
        <v>44905</v>
      </c>
    </row>
    <row r="1388" spans="2:4">
      <c r="B1388" s="6" t="s">
        <v>104</v>
      </c>
      <c r="C1388" s="6" t="s">
        <v>525</v>
      </c>
      <c r="D1388" s="5">
        <v>44905</v>
      </c>
    </row>
    <row r="1389" spans="2:4">
      <c r="B1389" s="6" t="s">
        <v>176</v>
      </c>
      <c r="C1389" s="6" t="s">
        <v>205</v>
      </c>
      <c r="D1389" s="5">
        <v>44905</v>
      </c>
    </row>
    <row r="1390" spans="2:4">
      <c r="B1390" s="6" t="s">
        <v>732</v>
      </c>
      <c r="C1390" s="6" t="s">
        <v>405</v>
      </c>
      <c r="D1390" s="5">
        <v>44905</v>
      </c>
    </row>
    <row r="1391" spans="2:4">
      <c r="B1391" s="6" t="s">
        <v>210</v>
      </c>
      <c r="C1391" s="6" t="s">
        <v>146</v>
      </c>
      <c r="D1391" s="5">
        <v>44905</v>
      </c>
    </row>
    <row r="1392" spans="2:4">
      <c r="B1392" s="6" t="s">
        <v>80</v>
      </c>
      <c r="C1392" s="6" t="s">
        <v>100</v>
      </c>
      <c r="D1392" s="5">
        <v>44905</v>
      </c>
    </row>
    <row r="1393" spans="2:4">
      <c r="B1393" s="6" t="s">
        <v>84</v>
      </c>
      <c r="C1393" s="6" t="s">
        <v>29</v>
      </c>
      <c r="D1393" s="5">
        <v>44905</v>
      </c>
    </row>
    <row r="1394" spans="2:4">
      <c r="B1394" s="6" t="s">
        <v>30</v>
      </c>
      <c r="C1394" s="6" t="s">
        <v>332</v>
      </c>
      <c r="D1394" s="5">
        <v>44905</v>
      </c>
    </row>
    <row r="1395" spans="2:4">
      <c r="B1395" s="6" t="s">
        <v>216</v>
      </c>
      <c r="C1395" s="6" t="s">
        <v>137</v>
      </c>
      <c r="D1395" s="5">
        <v>44905</v>
      </c>
    </row>
    <row r="1396" spans="2:4">
      <c r="B1396" s="6" t="s">
        <v>737</v>
      </c>
      <c r="C1396" s="6" t="s">
        <v>43</v>
      </c>
      <c r="D1396" s="5">
        <v>44905</v>
      </c>
    </row>
    <row r="1397" spans="2:4">
      <c r="B1397" s="6" t="s">
        <v>334</v>
      </c>
      <c r="C1397" s="6" t="s">
        <v>244</v>
      </c>
      <c r="D1397" s="5">
        <v>44905</v>
      </c>
    </row>
    <row r="1398" spans="2:4">
      <c r="B1398" s="6" t="s">
        <v>419</v>
      </c>
      <c r="C1398" s="6" t="s">
        <v>145</v>
      </c>
      <c r="D1398" s="5">
        <v>44905</v>
      </c>
    </row>
    <row r="1399" spans="2:4">
      <c r="B1399" s="6" t="s">
        <v>261</v>
      </c>
      <c r="C1399" s="6" t="s">
        <v>202</v>
      </c>
      <c r="D1399" s="5">
        <v>44905</v>
      </c>
    </row>
    <row r="1400" spans="2:4">
      <c r="B1400" s="6" t="s">
        <v>47</v>
      </c>
      <c r="C1400" s="6" t="s">
        <v>41</v>
      </c>
      <c r="D1400" s="5">
        <v>44905</v>
      </c>
    </row>
    <row r="1401" spans="2:4">
      <c r="B1401" s="6" t="s">
        <v>214</v>
      </c>
      <c r="C1401" s="6" t="s">
        <v>297</v>
      </c>
      <c r="D1401" s="5">
        <v>44905</v>
      </c>
    </row>
    <row r="1402" spans="2:4">
      <c r="B1402" s="6" t="s">
        <v>142</v>
      </c>
      <c r="C1402" s="6" t="s">
        <v>480</v>
      </c>
      <c r="D1402" s="5">
        <v>44905</v>
      </c>
    </row>
    <row r="1403" spans="2:4">
      <c r="B1403" s="6" t="s">
        <v>140</v>
      </c>
      <c r="C1403" s="6" t="s">
        <v>211</v>
      </c>
      <c r="D1403" s="5">
        <v>44905</v>
      </c>
    </row>
    <row r="1404" spans="2:4">
      <c r="B1404" s="6" t="s">
        <v>354</v>
      </c>
      <c r="C1404" s="6" t="s">
        <v>232</v>
      </c>
      <c r="D1404" s="5">
        <v>44905</v>
      </c>
    </row>
    <row r="1405" spans="2:4">
      <c r="B1405" s="6" t="s">
        <v>109</v>
      </c>
      <c r="C1405" s="6" t="s">
        <v>213</v>
      </c>
      <c r="D1405" s="5">
        <v>44905</v>
      </c>
    </row>
    <row r="1406" spans="2:4">
      <c r="B1406" s="6" t="s">
        <v>272</v>
      </c>
      <c r="C1406" s="6" t="s">
        <v>131</v>
      </c>
      <c r="D1406" s="5">
        <v>44905</v>
      </c>
    </row>
    <row r="1407" spans="2:4">
      <c r="B1407" s="6" t="s">
        <v>264</v>
      </c>
      <c r="C1407" s="6" t="s">
        <v>672</v>
      </c>
      <c r="D1407" s="5">
        <v>44905</v>
      </c>
    </row>
    <row r="1408" spans="2:4">
      <c r="B1408" s="6" t="s">
        <v>294</v>
      </c>
      <c r="C1408" s="6" t="s">
        <v>407</v>
      </c>
      <c r="D1408" s="5">
        <v>44905</v>
      </c>
    </row>
    <row r="1409" spans="2:4">
      <c r="B1409" s="6" t="s">
        <v>48</v>
      </c>
      <c r="C1409" s="6" t="s">
        <v>770</v>
      </c>
      <c r="D1409" s="5">
        <v>44905</v>
      </c>
    </row>
    <row r="1410" spans="2:4">
      <c r="B1410" s="6" t="s">
        <v>208</v>
      </c>
      <c r="C1410" s="6" t="s">
        <v>167</v>
      </c>
      <c r="D1410" s="5">
        <v>44905</v>
      </c>
    </row>
    <row r="1411" spans="2:4">
      <c r="B1411" s="6" t="s">
        <v>200</v>
      </c>
      <c r="C1411" s="6" t="s">
        <v>363</v>
      </c>
      <c r="D1411" s="5">
        <v>44905</v>
      </c>
    </row>
    <row r="1412" spans="2:4">
      <c r="B1412" s="6" t="s">
        <v>124</v>
      </c>
      <c r="C1412" s="6" t="s">
        <v>148</v>
      </c>
      <c r="D1412" s="5">
        <v>44905</v>
      </c>
    </row>
    <row r="1413" spans="2:4">
      <c r="B1413" s="6" t="s">
        <v>182</v>
      </c>
      <c r="C1413" s="6" t="s">
        <v>422</v>
      </c>
      <c r="D1413" s="5">
        <v>44905</v>
      </c>
    </row>
    <row r="1414" spans="2:4">
      <c r="B1414" s="6" t="s">
        <v>40</v>
      </c>
      <c r="C1414" s="6" t="s">
        <v>215</v>
      </c>
      <c r="D1414" s="5">
        <v>44905</v>
      </c>
    </row>
    <row r="1415" spans="2:4">
      <c r="B1415" s="6" t="s">
        <v>53</v>
      </c>
      <c r="C1415" s="6" t="s">
        <v>81</v>
      </c>
      <c r="D1415" s="5">
        <v>44905</v>
      </c>
    </row>
    <row r="1416" spans="2:4">
      <c r="B1416" s="6" t="s">
        <v>67</v>
      </c>
      <c r="C1416" s="6" t="s">
        <v>58</v>
      </c>
      <c r="D1416" s="5">
        <v>44905</v>
      </c>
    </row>
    <row r="1417" spans="2:4">
      <c r="B1417" s="6" t="s">
        <v>414</v>
      </c>
      <c r="C1417" s="6" t="s">
        <v>280</v>
      </c>
      <c r="D1417" s="5">
        <v>44905</v>
      </c>
    </row>
    <row r="1418" spans="2:4">
      <c r="B1418" s="6" t="s">
        <v>212</v>
      </c>
      <c r="C1418" s="6" t="s">
        <v>82</v>
      </c>
      <c r="D1418" s="5">
        <v>44905</v>
      </c>
    </row>
    <row r="1419" spans="2:4">
      <c r="B1419" s="6" t="s">
        <v>75</v>
      </c>
      <c r="C1419" s="6" t="s">
        <v>151</v>
      </c>
      <c r="D1419" s="5">
        <v>44905</v>
      </c>
    </row>
    <row r="1420" spans="2:4">
      <c r="B1420" s="6" t="s">
        <v>398</v>
      </c>
      <c r="C1420" s="6" t="s">
        <v>392</v>
      </c>
      <c r="D1420" s="5">
        <v>44905</v>
      </c>
    </row>
    <row r="1421" spans="2:4">
      <c r="B1421" s="6" t="s">
        <v>345</v>
      </c>
      <c r="C1421" s="6" t="s">
        <v>588</v>
      </c>
      <c r="D1421" s="5">
        <v>44905</v>
      </c>
    </row>
    <row r="1422" spans="2:4">
      <c r="B1422" s="6" t="s">
        <v>329</v>
      </c>
      <c r="C1422" s="6" t="s">
        <v>330</v>
      </c>
      <c r="D1422" s="5">
        <v>44905</v>
      </c>
    </row>
    <row r="1423" spans="2:4">
      <c r="B1423" s="6" t="s">
        <v>95</v>
      </c>
      <c r="C1423" s="6" t="s">
        <v>362</v>
      </c>
      <c r="D1423" s="5">
        <v>44905</v>
      </c>
    </row>
    <row r="1424" spans="2:4">
      <c r="B1424" s="6" t="s">
        <v>289</v>
      </c>
      <c r="C1424" s="6" t="s">
        <v>103</v>
      </c>
      <c r="D1424" s="5">
        <v>44905</v>
      </c>
    </row>
    <row r="1425" spans="2:4">
      <c r="B1425" s="6" t="s">
        <v>316</v>
      </c>
      <c r="C1425" s="6" t="s">
        <v>94</v>
      </c>
      <c r="D1425" s="5">
        <v>44905</v>
      </c>
    </row>
    <row r="1426" spans="2:4">
      <c r="B1426" s="6" t="s">
        <v>397</v>
      </c>
      <c r="C1426" s="6" t="s">
        <v>180</v>
      </c>
      <c r="D1426" s="5">
        <v>44905</v>
      </c>
    </row>
    <row r="1427" spans="2:4">
      <c r="B1427" s="6" t="s">
        <v>273</v>
      </c>
      <c r="C1427" s="6" t="s">
        <v>276</v>
      </c>
      <c r="D1427" s="5">
        <v>44905</v>
      </c>
    </row>
    <row r="1428" spans="2:4">
      <c r="B1428" s="6" t="s">
        <v>187</v>
      </c>
      <c r="C1428" s="6" t="s">
        <v>39</v>
      </c>
      <c r="D1428" s="5">
        <v>44905</v>
      </c>
    </row>
    <row r="1429" spans="2:4">
      <c r="B1429" s="6" t="s">
        <v>762</v>
      </c>
      <c r="C1429" s="6" t="s">
        <v>139</v>
      </c>
      <c r="D1429" s="5">
        <v>44905</v>
      </c>
    </row>
    <row r="1430" spans="2:4">
      <c r="B1430" s="6" t="s">
        <v>251</v>
      </c>
      <c r="C1430" s="6" t="s">
        <v>50</v>
      </c>
      <c r="D1430" s="5">
        <v>44905</v>
      </c>
    </row>
    <row r="1431" spans="2:4">
      <c r="B1431" s="6" t="s">
        <v>49</v>
      </c>
      <c r="C1431" s="6" t="s">
        <v>336</v>
      </c>
      <c r="D1431" s="5">
        <v>44905</v>
      </c>
    </row>
    <row r="1432" spans="2:4">
      <c r="B1432" s="6" t="s">
        <v>326</v>
      </c>
      <c r="C1432" s="6" t="s">
        <v>370</v>
      </c>
      <c r="D1432" s="5">
        <v>44905</v>
      </c>
    </row>
    <row r="1433" spans="2:4">
      <c r="B1433" s="6" t="s">
        <v>327</v>
      </c>
      <c r="C1433" s="6" t="s">
        <v>120</v>
      </c>
      <c r="D1433" s="5">
        <v>44905</v>
      </c>
    </row>
    <row r="1434" spans="2:4">
      <c r="B1434" s="6" t="s">
        <v>352</v>
      </c>
      <c r="C1434" s="6" t="s">
        <v>395</v>
      </c>
      <c r="D1434" s="5">
        <v>44905</v>
      </c>
    </row>
    <row r="1435" spans="2:4">
      <c r="B1435" s="6" t="s">
        <v>287</v>
      </c>
      <c r="C1435" s="6" t="s">
        <v>429</v>
      </c>
      <c r="D1435" s="5">
        <v>44905</v>
      </c>
    </row>
    <row r="1436" spans="2:4">
      <c r="B1436" s="6" t="s">
        <v>196</v>
      </c>
      <c r="C1436" s="6" t="s">
        <v>424</v>
      </c>
      <c r="D1436" s="5">
        <v>44905</v>
      </c>
    </row>
    <row r="1437" spans="2:4">
      <c r="B1437" s="6" t="s">
        <v>403</v>
      </c>
      <c r="C1437" s="6" t="s">
        <v>383</v>
      </c>
      <c r="D1437" s="5">
        <v>44905</v>
      </c>
    </row>
    <row r="1438" spans="2:4">
      <c r="B1438" s="6" t="s">
        <v>337</v>
      </c>
      <c r="C1438" s="6" t="s">
        <v>360</v>
      </c>
      <c r="D1438" s="5">
        <v>44905</v>
      </c>
    </row>
    <row r="1439" spans="2:4">
      <c r="B1439" s="6" t="s">
        <v>189</v>
      </c>
      <c r="C1439" s="6" t="s">
        <v>368</v>
      </c>
      <c r="D1439" s="5">
        <v>44905</v>
      </c>
    </row>
    <row r="1440" spans="2:4">
      <c r="B1440" s="6" t="s">
        <v>413</v>
      </c>
      <c r="C1440" s="6" t="s">
        <v>310</v>
      </c>
      <c r="D1440" s="5">
        <v>44905</v>
      </c>
    </row>
    <row r="1441" spans="2:4">
      <c r="B1441" s="6" t="s">
        <v>248</v>
      </c>
      <c r="C1441" s="6" t="s">
        <v>312</v>
      </c>
      <c r="D1441" s="5">
        <v>44905</v>
      </c>
    </row>
    <row r="1442" spans="2:4">
      <c r="B1442" s="6" t="s">
        <v>111</v>
      </c>
      <c r="C1442" s="6" t="s">
        <v>191</v>
      </c>
      <c r="D1442" s="5">
        <v>44905</v>
      </c>
    </row>
    <row r="1443" spans="2:4">
      <c r="B1443" s="6" t="s">
        <v>343</v>
      </c>
      <c r="C1443" s="6" t="s">
        <v>333</v>
      </c>
      <c r="D1443" s="5">
        <v>44905</v>
      </c>
    </row>
    <row r="1444" spans="2:4">
      <c r="B1444" s="6" t="s">
        <v>804</v>
      </c>
      <c r="C1444" s="6" t="s">
        <v>163</v>
      </c>
      <c r="D1444" s="5">
        <v>44905</v>
      </c>
    </row>
    <row r="1445" spans="2:4">
      <c r="B1445" s="6" t="s">
        <v>761</v>
      </c>
      <c r="C1445" s="6" t="s">
        <v>107</v>
      </c>
      <c r="D1445" s="5">
        <v>44905</v>
      </c>
    </row>
    <row r="1446" spans="2:4">
      <c r="B1446" s="6" t="s">
        <v>144</v>
      </c>
      <c r="C1446" s="6" t="s">
        <v>83</v>
      </c>
      <c r="D1446" s="5">
        <v>44905</v>
      </c>
    </row>
    <row r="1447" spans="2:4">
      <c r="B1447" s="6" t="s">
        <v>54</v>
      </c>
      <c r="C1447" s="6" t="s">
        <v>35</v>
      </c>
      <c r="D1447" s="5">
        <v>44905</v>
      </c>
    </row>
    <row r="1448" spans="2:4">
      <c r="B1448" s="6" t="s">
        <v>160</v>
      </c>
      <c r="C1448" s="6" t="s">
        <v>433</v>
      </c>
      <c r="D1448" s="5">
        <v>44905</v>
      </c>
    </row>
    <row r="1449" spans="2:4">
      <c r="B1449" s="6" t="s">
        <v>181</v>
      </c>
      <c r="C1449" s="6" t="s">
        <v>291</v>
      </c>
      <c r="D1449" s="5">
        <v>44905</v>
      </c>
    </row>
    <row r="1450" spans="2:4">
      <c r="B1450" s="6" t="s">
        <v>269</v>
      </c>
      <c r="C1450" s="6" t="s">
        <v>587</v>
      </c>
      <c r="D1450" s="5">
        <v>44905</v>
      </c>
    </row>
    <row r="1451" spans="2:4">
      <c r="B1451" s="6" t="s">
        <v>427</v>
      </c>
      <c r="C1451" s="6" t="s">
        <v>394</v>
      </c>
      <c r="D1451" s="5">
        <v>44905</v>
      </c>
    </row>
    <row r="1452" spans="2:4">
      <c r="B1452" s="6" t="s">
        <v>186</v>
      </c>
      <c r="C1452" s="6" t="s">
        <v>242</v>
      </c>
      <c r="D1452" s="5">
        <v>44905</v>
      </c>
    </row>
    <row r="1453" spans="2:4">
      <c r="B1453" s="6" t="s">
        <v>164</v>
      </c>
      <c r="C1453" s="6" t="s">
        <v>42</v>
      </c>
      <c r="D1453" s="5">
        <v>44905</v>
      </c>
    </row>
    <row r="1454" spans="2:4">
      <c r="B1454" s="6" t="s">
        <v>87</v>
      </c>
      <c r="C1454" s="6" t="s">
        <v>26</v>
      </c>
      <c r="D1454" s="5">
        <v>44905</v>
      </c>
    </row>
    <row r="1455" spans="2:4">
      <c r="B1455" s="6" t="s">
        <v>44</v>
      </c>
      <c r="C1455" s="6" t="s">
        <v>335</v>
      </c>
      <c r="D1455" s="5">
        <v>44905</v>
      </c>
    </row>
    <row r="1456" spans="2:4">
      <c r="B1456" s="6" t="s">
        <v>194</v>
      </c>
      <c r="C1456" s="6" t="s">
        <v>304</v>
      </c>
      <c r="D1456" s="5">
        <v>44905</v>
      </c>
    </row>
    <row r="1457" spans="2:4">
      <c r="B1457" s="6" t="s">
        <v>301</v>
      </c>
      <c r="C1457" s="6" t="s">
        <v>238</v>
      </c>
      <c r="D1457" s="5">
        <v>44905</v>
      </c>
    </row>
    <row r="1458" spans="2:4">
      <c r="B1458" s="6" t="s">
        <v>135</v>
      </c>
      <c r="C1458" s="6" t="s">
        <v>381</v>
      </c>
      <c r="D1458" s="5">
        <v>44905</v>
      </c>
    </row>
    <row r="1459" spans="2:4">
      <c r="B1459" s="6" t="s">
        <v>391</v>
      </c>
      <c r="C1459" s="6" t="s">
        <v>357</v>
      </c>
      <c r="D1459" s="5">
        <v>44905</v>
      </c>
    </row>
    <row r="1460" spans="2:4">
      <c r="B1460" s="6" t="s">
        <v>302</v>
      </c>
      <c r="C1460" s="6" t="s">
        <v>253</v>
      </c>
      <c r="D1460" s="5">
        <v>44905</v>
      </c>
    </row>
    <row r="1461" spans="2:4">
      <c r="B1461" s="6" t="s">
        <v>32</v>
      </c>
      <c r="C1461" s="6" t="s">
        <v>195</v>
      </c>
      <c r="D1461" s="5">
        <v>44905</v>
      </c>
    </row>
    <row r="1462" spans="2:4">
      <c r="B1462" s="6" t="s">
        <v>389</v>
      </c>
      <c r="C1462" s="6" t="s">
        <v>420</v>
      </c>
      <c r="D1462" s="5">
        <v>44905</v>
      </c>
    </row>
    <row r="1463" spans="2:4">
      <c r="B1463" s="6" t="s">
        <v>155</v>
      </c>
      <c r="C1463" s="6" t="s">
        <v>376</v>
      </c>
      <c r="D1463" s="5">
        <v>44905</v>
      </c>
    </row>
    <row r="1464" spans="2:4">
      <c r="B1464" s="6" t="s">
        <v>69</v>
      </c>
      <c r="C1464" s="6" t="s">
        <v>169</v>
      </c>
      <c r="D1464" s="5">
        <v>44905</v>
      </c>
    </row>
    <row r="1465" spans="2:4">
      <c r="B1465" s="6" t="s">
        <v>255</v>
      </c>
      <c r="C1465" s="6" t="s">
        <v>504</v>
      </c>
      <c r="D1465" s="5">
        <v>44905</v>
      </c>
    </row>
    <row r="1466" spans="2:4">
      <c r="B1466" s="6" t="s">
        <v>361</v>
      </c>
      <c r="C1466" s="6" t="s">
        <v>278</v>
      </c>
      <c r="D1466" s="5">
        <v>44905</v>
      </c>
    </row>
    <row r="1467" spans="2:4">
      <c r="B1467" s="6" t="s">
        <v>412</v>
      </c>
      <c r="C1467" s="6" t="s">
        <v>193</v>
      </c>
      <c r="D1467" s="5">
        <v>44905</v>
      </c>
    </row>
    <row r="1468" spans="2:4">
      <c r="B1468" s="6" t="s">
        <v>313</v>
      </c>
      <c r="C1468" s="6" t="s">
        <v>266</v>
      </c>
      <c r="D1468" s="5">
        <v>44905</v>
      </c>
    </row>
    <row r="1469" spans="2:4">
      <c r="B1469" s="6" t="s">
        <v>409</v>
      </c>
      <c r="C1469" s="6" t="s">
        <v>562</v>
      </c>
      <c r="D1469" s="5">
        <v>44905</v>
      </c>
    </row>
    <row r="1470" spans="2:4">
      <c r="B1470" s="6" t="s">
        <v>378</v>
      </c>
      <c r="C1470" s="6" t="s">
        <v>621</v>
      </c>
      <c r="D1470" s="5">
        <v>44905</v>
      </c>
    </row>
    <row r="1471" spans="2:4">
      <c r="B1471" s="6" t="s">
        <v>233</v>
      </c>
      <c r="C1471" s="6" t="s">
        <v>580</v>
      </c>
      <c r="D1471" s="5">
        <v>44905</v>
      </c>
    </row>
    <row r="1472" spans="2:4">
      <c r="B1472" s="6" t="s">
        <v>385</v>
      </c>
      <c r="C1472" s="6" t="s">
        <v>393</v>
      </c>
      <c r="D1472" s="5">
        <v>44905</v>
      </c>
    </row>
    <row r="1473" spans="2:4">
      <c r="B1473" s="6" t="s">
        <v>292</v>
      </c>
      <c r="C1473" s="6" t="s">
        <v>171</v>
      </c>
      <c r="D1473" s="5">
        <v>44905</v>
      </c>
    </row>
    <row r="1474" spans="2:4">
      <c r="B1474" s="6" t="s">
        <v>97</v>
      </c>
      <c r="C1474" s="6" t="s">
        <v>115</v>
      </c>
      <c r="D1474" s="5">
        <v>44905</v>
      </c>
    </row>
    <row r="1475" spans="2:4">
      <c r="B1475" s="6" t="s">
        <v>62</v>
      </c>
      <c r="C1475" s="6" t="s">
        <v>70</v>
      </c>
      <c r="D1475" s="5">
        <v>44905</v>
      </c>
    </row>
    <row r="1476" spans="2:4">
      <c r="B1476" s="6" t="s">
        <v>51</v>
      </c>
      <c r="C1476" s="6" t="s">
        <v>350</v>
      </c>
      <c r="D1476" s="5">
        <v>44905</v>
      </c>
    </row>
    <row r="1477" spans="2:4">
      <c r="B1477" s="6" t="s">
        <v>320</v>
      </c>
      <c r="C1477" s="6" t="s">
        <v>296</v>
      </c>
      <c r="D1477" s="5">
        <v>44905</v>
      </c>
    </row>
    <row r="1478" spans="2:4">
      <c r="B1478" s="6" t="s">
        <v>365</v>
      </c>
      <c r="C1478" s="6" t="s">
        <v>102</v>
      </c>
      <c r="D1478" s="5">
        <v>44905</v>
      </c>
    </row>
    <row r="1479" spans="2:4">
      <c r="B1479" s="6" t="s">
        <v>241</v>
      </c>
      <c r="C1479" s="6" t="s">
        <v>156</v>
      </c>
      <c r="D1479" s="5">
        <v>44905</v>
      </c>
    </row>
    <row r="1480" spans="2:4">
      <c r="B1480" s="6" t="s">
        <v>324</v>
      </c>
      <c r="C1480" s="6" t="s">
        <v>331</v>
      </c>
      <c r="D1480" s="5">
        <v>44905</v>
      </c>
    </row>
    <row r="1481" spans="2:4">
      <c r="B1481" s="6" t="s">
        <v>359</v>
      </c>
      <c r="C1481" s="6" t="s">
        <v>190</v>
      </c>
      <c r="D1481" s="5">
        <v>44905</v>
      </c>
    </row>
    <row r="1482" spans="2:4">
      <c r="B1482" s="6" t="s">
        <v>153</v>
      </c>
      <c r="C1482" s="6" t="s">
        <v>348</v>
      </c>
      <c r="D1482" s="5">
        <v>44905</v>
      </c>
    </row>
    <row r="1483" spans="2:4">
      <c r="B1483" s="6" t="s">
        <v>136</v>
      </c>
      <c r="C1483" s="6" t="s">
        <v>425</v>
      </c>
      <c r="D1483" s="5">
        <v>44905</v>
      </c>
    </row>
    <row r="1484" spans="2:4">
      <c r="B1484" s="6" t="s">
        <v>584</v>
      </c>
      <c r="C1484" s="6" t="s">
        <v>344</v>
      </c>
      <c r="D1484" s="5">
        <v>44905</v>
      </c>
    </row>
    <row r="1485" spans="2:4">
      <c r="B1485" s="6" t="s">
        <v>165</v>
      </c>
      <c r="C1485" s="6" t="s">
        <v>423</v>
      </c>
      <c r="D1485" s="5">
        <v>44905</v>
      </c>
    </row>
    <row r="1486" spans="2:4">
      <c r="B1486" s="6" t="s">
        <v>133</v>
      </c>
      <c r="C1486" s="6" t="s">
        <v>162</v>
      </c>
      <c r="D1486" s="5">
        <v>44905</v>
      </c>
    </row>
    <row r="1487" spans="2:4">
      <c r="B1487" s="6" t="s">
        <v>184</v>
      </c>
      <c r="C1487" s="6" t="s">
        <v>355</v>
      </c>
      <c r="D1487" s="5">
        <v>44905</v>
      </c>
    </row>
    <row r="1488" spans="2:4">
      <c r="B1488" s="6" t="s">
        <v>161</v>
      </c>
      <c r="C1488" s="6" t="s">
        <v>134</v>
      </c>
      <c r="D1488" s="5">
        <v>44905</v>
      </c>
    </row>
    <row r="1489" spans="2:4">
      <c r="B1489" s="6" t="s">
        <v>152</v>
      </c>
      <c r="C1489" s="6" t="s">
        <v>373</v>
      </c>
      <c r="D1489" s="5">
        <v>44905</v>
      </c>
    </row>
    <row r="1490" spans="2:4">
      <c r="B1490" s="6" t="s">
        <v>206</v>
      </c>
      <c r="C1490" s="6" t="s">
        <v>673</v>
      </c>
      <c r="D1490" s="5">
        <v>44905</v>
      </c>
    </row>
    <row r="1491" spans="2:4">
      <c r="B1491" s="6" t="s">
        <v>157</v>
      </c>
      <c r="C1491" s="6" t="s">
        <v>38</v>
      </c>
      <c r="D1491" s="5">
        <v>44905</v>
      </c>
    </row>
    <row r="1492" spans="2:4">
      <c r="B1492" s="6" t="s">
        <v>341</v>
      </c>
      <c r="C1492" s="6" t="s">
        <v>34</v>
      </c>
      <c r="D1492" s="5">
        <v>44905</v>
      </c>
    </row>
    <row r="1493" spans="2:4">
      <c r="B1493" s="6" t="s">
        <v>599</v>
      </c>
      <c r="C1493" s="6" t="s">
        <v>426</v>
      </c>
      <c r="D1493" s="5">
        <v>44905</v>
      </c>
    </row>
    <row r="1494" spans="2:4">
      <c r="B1494" s="6" t="s">
        <v>207</v>
      </c>
      <c r="C1494" s="6" t="s">
        <v>402</v>
      </c>
      <c r="D1494" s="5">
        <v>44905</v>
      </c>
    </row>
    <row r="1495" spans="2:4">
      <c r="B1495" s="6" t="s">
        <v>166</v>
      </c>
      <c r="C1495" s="6" t="s">
        <v>159</v>
      </c>
      <c r="D1495" s="5">
        <v>44905</v>
      </c>
    </row>
    <row r="1496" spans="2:4">
      <c r="B1496" s="6" t="s">
        <v>396</v>
      </c>
      <c r="C1496" s="6" t="s">
        <v>168</v>
      </c>
      <c r="D1496" s="5">
        <v>44906</v>
      </c>
    </row>
    <row r="1497" spans="2:4">
      <c r="B1497" s="6" t="s">
        <v>249</v>
      </c>
      <c r="C1497" s="6" t="s">
        <v>563</v>
      </c>
      <c r="D1497" s="5">
        <v>44906</v>
      </c>
    </row>
    <row r="1498" spans="2:4">
      <c r="B1498" s="6" t="s">
        <v>252</v>
      </c>
      <c r="C1498" s="6" t="s">
        <v>285</v>
      </c>
      <c r="D1498" s="5">
        <v>44906</v>
      </c>
    </row>
    <row r="1499" spans="2:4">
      <c r="B1499" s="6" t="s">
        <v>411</v>
      </c>
      <c r="C1499" s="6" t="s">
        <v>388</v>
      </c>
      <c r="D1499" s="5">
        <v>44906</v>
      </c>
    </row>
    <row r="1500" spans="2:4">
      <c r="B1500" s="6" t="s">
        <v>209</v>
      </c>
      <c r="C1500" s="6" t="s">
        <v>674</v>
      </c>
      <c r="D1500" s="5">
        <v>44906</v>
      </c>
    </row>
    <row r="1501" spans="2:4">
      <c r="B1501" s="6" t="s">
        <v>204</v>
      </c>
      <c r="C1501" s="6" t="s">
        <v>247</v>
      </c>
      <c r="D1501" s="5">
        <v>44906</v>
      </c>
    </row>
    <row r="1502" spans="2:4">
      <c r="B1502" s="6" t="s">
        <v>175</v>
      </c>
      <c r="C1502" s="6" t="s">
        <v>174</v>
      </c>
      <c r="D1502" s="5">
        <v>44906</v>
      </c>
    </row>
    <row r="1503" spans="2:4">
      <c r="B1503" s="6" t="s">
        <v>349</v>
      </c>
      <c r="C1503" s="6" t="s">
        <v>246</v>
      </c>
      <c r="D1503" s="5">
        <v>44906</v>
      </c>
    </row>
    <row r="1504" spans="2:4">
      <c r="B1504" s="6" t="s">
        <v>230</v>
      </c>
      <c r="C1504" s="6" t="s">
        <v>106</v>
      </c>
      <c r="D1504" s="5">
        <v>44906</v>
      </c>
    </row>
    <row r="1505" spans="2:4">
      <c r="B1505" s="6" t="s">
        <v>319</v>
      </c>
      <c r="C1505" s="6" t="s">
        <v>505</v>
      </c>
      <c r="D1505" s="5">
        <v>44906</v>
      </c>
    </row>
    <row r="1506" spans="2:4">
      <c r="B1506" s="6" t="s">
        <v>290</v>
      </c>
      <c r="C1506" s="6" t="s">
        <v>447</v>
      </c>
      <c r="D1506" s="5">
        <v>44906</v>
      </c>
    </row>
    <row r="1507" spans="2:4">
      <c r="B1507" s="6" t="s">
        <v>105</v>
      </c>
      <c r="C1507" s="6" t="s">
        <v>364</v>
      </c>
      <c r="D1507" s="5">
        <v>44906</v>
      </c>
    </row>
    <row r="1508" spans="2:4">
      <c r="B1508" s="6" t="s">
        <v>418</v>
      </c>
      <c r="C1508" s="6" t="s">
        <v>127</v>
      </c>
      <c r="D1508" s="5">
        <v>44906</v>
      </c>
    </row>
    <row r="1509" spans="2:4">
      <c r="B1509" s="6" t="s">
        <v>129</v>
      </c>
      <c r="C1509" s="6" t="s">
        <v>271</v>
      </c>
      <c r="D1509" s="5">
        <v>44906</v>
      </c>
    </row>
    <row r="1510" spans="2:4">
      <c r="B1510" s="6" t="s">
        <v>118</v>
      </c>
      <c r="C1510" s="6" t="s">
        <v>130</v>
      </c>
      <c r="D1510" s="5">
        <v>44906</v>
      </c>
    </row>
    <row r="1511" spans="2:4">
      <c r="B1511" s="6" t="s">
        <v>432</v>
      </c>
      <c r="C1511" s="6" t="s">
        <v>263</v>
      </c>
      <c r="D1511" s="5">
        <v>44906</v>
      </c>
    </row>
    <row r="1512" spans="2:4">
      <c r="B1512" s="6" t="s">
        <v>275</v>
      </c>
      <c r="C1512" s="6" t="s">
        <v>116</v>
      </c>
      <c r="D1512" s="5">
        <v>44906</v>
      </c>
    </row>
    <row r="1513" spans="2:4">
      <c r="B1513" s="6" t="s">
        <v>410</v>
      </c>
      <c r="C1513" s="6" t="s">
        <v>177</v>
      </c>
      <c r="D1513" s="5">
        <v>44906</v>
      </c>
    </row>
    <row r="1514" spans="2:4">
      <c r="B1514" s="6" t="s">
        <v>305</v>
      </c>
      <c r="C1514" s="6" t="s">
        <v>436</v>
      </c>
      <c r="D1514" s="5">
        <v>44906</v>
      </c>
    </row>
    <row r="1515" spans="2:4">
      <c r="B1515" s="6" t="s">
        <v>68</v>
      </c>
      <c r="C1515" s="6" t="s">
        <v>399</v>
      </c>
      <c r="D1515" s="5">
        <v>44906</v>
      </c>
    </row>
    <row r="1516" spans="2:4">
      <c r="B1516" s="6" t="s">
        <v>52</v>
      </c>
      <c r="C1516" s="6" t="s">
        <v>778</v>
      </c>
      <c r="D1516" s="5">
        <v>44906</v>
      </c>
    </row>
    <row r="1517" spans="2:4">
      <c r="B1517" s="6" t="s">
        <v>358</v>
      </c>
      <c r="C1517" s="6" t="s">
        <v>510</v>
      </c>
      <c r="D1517" s="5">
        <v>44906</v>
      </c>
    </row>
    <row r="1518" spans="2:4">
      <c r="B1518" s="6" t="s">
        <v>250</v>
      </c>
      <c r="C1518" s="6" t="s">
        <v>347</v>
      </c>
      <c r="D1518" s="5">
        <v>44906</v>
      </c>
    </row>
    <row r="1519" spans="2:4">
      <c r="B1519" s="6" t="s">
        <v>750</v>
      </c>
      <c r="C1519" s="6" t="s">
        <v>295</v>
      </c>
      <c r="D1519" s="5">
        <v>44906</v>
      </c>
    </row>
    <row r="1520" spans="2:4">
      <c r="B1520" s="6" t="s">
        <v>309</v>
      </c>
      <c r="C1520" s="6" t="s">
        <v>128</v>
      </c>
      <c r="D1520" s="5">
        <v>44906</v>
      </c>
    </row>
    <row r="1521" spans="2:4">
      <c r="B1521" s="6" t="s">
        <v>615</v>
      </c>
      <c r="C1521" s="6" t="s">
        <v>325</v>
      </c>
      <c r="D1521" s="5">
        <v>44906</v>
      </c>
    </row>
    <row r="1522" spans="2:4">
      <c r="B1522" s="6" t="s">
        <v>284</v>
      </c>
      <c r="C1522" s="6" t="s">
        <v>375</v>
      </c>
      <c r="D1522" s="5">
        <v>44906</v>
      </c>
    </row>
    <row r="1523" spans="2:4">
      <c r="B1523" s="6" t="s">
        <v>179</v>
      </c>
      <c r="C1523" s="6" t="s">
        <v>288</v>
      </c>
      <c r="D1523" s="5">
        <v>44906</v>
      </c>
    </row>
    <row r="1524" spans="2:4">
      <c r="B1524" s="6" t="s">
        <v>123</v>
      </c>
      <c r="C1524" s="6" t="s">
        <v>220</v>
      </c>
      <c r="D1524" s="5">
        <v>44906</v>
      </c>
    </row>
    <row r="1525" spans="2:4">
      <c r="B1525" s="6" t="s">
        <v>386</v>
      </c>
      <c r="C1525" s="6" t="s">
        <v>453</v>
      </c>
      <c r="D1525" s="5">
        <v>44906</v>
      </c>
    </row>
    <row r="1526" spans="2:4">
      <c r="B1526" s="6" t="s">
        <v>46</v>
      </c>
      <c r="C1526" s="6" t="s">
        <v>37</v>
      </c>
      <c r="D1526" s="5">
        <v>44906</v>
      </c>
    </row>
    <row r="1527" spans="2:4">
      <c r="B1527" s="6" t="s">
        <v>86</v>
      </c>
      <c r="C1527" s="6" t="s">
        <v>56</v>
      </c>
      <c r="D1527" s="5">
        <v>44906</v>
      </c>
    </row>
    <row r="1528" spans="2:4">
      <c r="B1528" s="6" t="s">
        <v>236</v>
      </c>
      <c r="C1528" s="6" t="s">
        <v>379</v>
      </c>
      <c r="D1528" s="5">
        <v>44906</v>
      </c>
    </row>
    <row r="1529" spans="2:4">
      <c r="B1529" s="6" t="s">
        <v>158</v>
      </c>
      <c r="C1529" s="6" t="s">
        <v>154</v>
      </c>
      <c r="D1529" s="5">
        <v>44906</v>
      </c>
    </row>
    <row r="1530" spans="2:4">
      <c r="B1530" s="6" t="s">
        <v>359</v>
      </c>
      <c r="C1530" s="6" t="s">
        <v>509</v>
      </c>
      <c r="D1530" s="5">
        <v>44906</v>
      </c>
    </row>
    <row r="1531" spans="2:4">
      <c r="B1531" s="6" t="s">
        <v>747</v>
      </c>
      <c r="C1531" s="6" t="s">
        <v>342</v>
      </c>
      <c r="D1531" s="5">
        <v>44906</v>
      </c>
    </row>
    <row r="1532" spans="2:4">
      <c r="B1532" s="6" t="s">
        <v>91</v>
      </c>
      <c r="C1532" s="6" t="s">
        <v>779</v>
      </c>
      <c r="D1532" s="5">
        <v>44906</v>
      </c>
    </row>
    <row r="1533" spans="2:4">
      <c r="B1533" s="6" t="s">
        <v>90</v>
      </c>
      <c r="C1533" s="6" t="s">
        <v>192</v>
      </c>
      <c r="D1533" s="5">
        <v>44906</v>
      </c>
    </row>
    <row r="1534" spans="2:4">
      <c r="B1534" s="6" t="s">
        <v>61</v>
      </c>
      <c r="C1534" s="6" t="s">
        <v>65</v>
      </c>
      <c r="D1534" s="5">
        <v>44906</v>
      </c>
    </row>
    <row r="1535" spans="2:4">
      <c r="B1535" s="6" t="s">
        <v>64</v>
      </c>
      <c r="C1535" s="6" t="s">
        <v>36</v>
      </c>
      <c r="D1535" s="5">
        <v>44906</v>
      </c>
    </row>
    <row r="1536" spans="2:4">
      <c r="B1536" s="6" t="s">
        <v>121</v>
      </c>
      <c r="C1536" s="6" t="s">
        <v>96</v>
      </c>
      <c r="D1536" s="5">
        <v>44906</v>
      </c>
    </row>
    <row r="1537" spans="2:4">
      <c r="B1537" s="6" t="s">
        <v>427</v>
      </c>
      <c r="C1537" s="6" t="s">
        <v>675</v>
      </c>
      <c r="D1537" s="5">
        <v>44906</v>
      </c>
    </row>
    <row r="1538" spans="2:4">
      <c r="B1538" s="6" t="s">
        <v>300</v>
      </c>
      <c r="C1538" s="6" t="s">
        <v>178</v>
      </c>
      <c r="D1538" s="5">
        <v>44906</v>
      </c>
    </row>
    <row r="1539" spans="2:4">
      <c r="B1539" s="6" t="s">
        <v>63</v>
      </c>
      <c r="C1539" s="6" t="s">
        <v>763</v>
      </c>
      <c r="D1539" s="5">
        <v>44906</v>
      </c>
    </row>
    <row r="1540" spans="2:4">
      <c r="B1540" s="6" t="s">
        <v>428</v>
      </c>
      <c r="C1540" s="6" t="s">
        <v>338</v>
      </c>
      <c r="D1540" s="5">
        <v>44906</v>
      </c>
    </row>
    <row r="1541" spans="2:4">
      <c r="B1541" s="6" t="s">
        <v>172</v>
      </c>
      <c r="C1541" s="6" t="s">
        <v>488</v>
      </c>
      <c r="D1541" s="5">
        <v>44907</v>
      </c>
    </row>
    <row r="1542" spans="2:4">
      <c r="B1542" s="6" t="s">
        <v>99</v>
      </c>
      <c r="C1542" s="6" t="s">
        <v>336</v>
      </c>
      <c r="D1542" s="5">
        <v>44907</v>
      </c>
    </row>
    <row r="1543" spans="2:4">
      <c r="B1543" s="6" t="s">
        <v>137</v>
      </c>
      <c r="C1543" s="6" t="s">
        <v>138</v>
      </c>
      <c r="D1543" s="5">
        <v>44907</v>
      </c>
    </row>
    <row r="1544" spans="2:4">
      <c r="B1544" s="6" t="s">
        <v>253</v>
      </c>
      <c r="C1544" s="6" t="s">
        <v>254</v>
      </c>
      <c r="D1544" s="5">
        <v>44907</v>
      </c>
    </row>
    <row r="1545" spans="2:4">
      <c r="B1545" s="6" t="s">
        <v>112</v>
      </c>
      <c r="C1545" s="6" t="s">
        <v>100</v>
      </c>
      <c r="D1545" s="5">
        <v>44907</v>
      </c>
    </row>
    <row r="1546" spans="2:4">
      <c r="B1546" s="6" t="s">
        <v>47</v>
      </c>
      <c r="C1546" s="6" t="s">
        <v>115</v>
      </c>
      <c r="D1546" s="5">
        <v>44907</v>
      </c>
    </row>
    <row r="1547" spans="2:4">
      <c r="B1547" s="6" t="s">
        <v>240</v>
      </c>
      <c r="C1547" s="6" t="s">
        <v>520</v>
      </c>
      <c r="D1547" s="5">
        <v>44907</v>
      </c>
    </row>
    <row r="1548" spans="2:4">
      <c r="B1548" s="6" t="s">
        <v>30</v>
      </c>
      <c r="C1548" s="6" t="s">
        <v>143</v>
      </c>
      <c r="D1548" s="5">
        <v>44907</v>
      </c>
    </row>
    <row r="1549" spans="2:4">
      <c r="B1549" s="6" t="s">
        <v>147</v>
      </c>
      <c r="C1549" s="6" t="s">
        <v>518</v>
      </c>
      <c r="D1549" s="5">
        <v>44907</v>
      </c>
    </row>
    <row r="1550" spans="2:4">
      <c r="B1550" s="6" t="s">
        <v>308</v>
      </c>
      <c r="C1550" s="6" t="s">
        <v>306</v>
      </c>
      <c r="D1550" s="5">
        <v>44907</v>
      </c>
    </row>
    <row r="1551" spans="2:4">
      <c r="B1551" s="6" t="s">
        <v>365</v>
      </c>
      <c r="C1551" s="6" t="s">
        <v>676</v>
      </c>
      <c r="D1551" s="5">
        <v>44907</v>
      </c>
    </row>
    <row r="1552" spans="2:4">
      <c r="B1552" s="6" t="s">
        <v>318</v>
      </c>
      <c r="C1552" s="6" t="s">
        <v>231</v>
      </c>
      <c r="D1552" s="5">
        <v>44907</v>
      </c>
    </row>
    <row r="1553" spans="2:4">
      <c r="B1553" s="6" t="s">
        <v>184</v>
      </c>
      <c r="C1553" s="6" t="s">
        <v>201</v>
      </c>
      <c r="D1553" s="5">
        <v>44907</v>
      </c>
    </row>
    <row r="1554" spans="2:4">
      <c r="B1554" s="6" t="s">
        <v>132</v>
      </c>
      <c r="C1554" s="6" t="s">
        <v>400</v>
      </c>
      <c r="D1554" s="5">
        <v>44907</v>
      </c>
    </row>
    <row r="1555" spans="2:4">
      <c r="B1555" s="6" t="s">
        <v>38</v>
      </c>
      <c r="C1555" s="6" t="s">
        <v>719</v>
      </c>
      <c r="D1555" s="5">
        <v>44907</v>
      </c>
    </row>
    <row r="1556" spans="2:4">
      <c r="B1556" s="6" t="s">
        <v>196</v>
      </c>
      <c r="C1556" s="6" t="s">
        <v>529</v>
      </c>
      <c r="D1556" s="5">
        <v>44907</v>
      </c>
    </row>
    <row r="1557" spans="2:4">
      <c r="B1557" s="6" t="s">
        <v>385</v>
      </c>
      <c r="C1557" s="6" t="s">
        <v>555</v>
      </c>
      <c r="D1557" s="5">
        <v>44907</v>
      </c>
    </row>
    <row r="1558" spans="2:4">
      <c r="B1558" s="6" t="s">
        <v>423</v>
      </c>
      <c r="C1558" s="6" t="s">
        <v>472</v>
      </c>
      <c r="D1558" s="5">
        <v>44907</v>
      </c>
    </row>
    <row r="1559" spans="2:4">
      <c r="B1559" s="6" t="s">
        <v>392</v>
      </c>
      <c r="C1559" s="6" t="s">
        <v>356</v>
      </c>
      <c r="D1559" s="5">
        <v>44907</v>
      </c>
    </row>
    <row r="1560" spans="2:4">
      <c r="B1560" s="6" t="s">
        <v>96</v>
      </c>
      <c r="C1560" s="6" t="s">
        <v>274</v>
      </c>
      <c r="D1560" s="5">
        <v>44908</v>
      </c>
    </row>
    <row r="1561" spans="2:4">
      <c r="B1561" s="6" t="s">
        <v>250</v>
      </c>
      <c r="C1561" s="6" t="s">
        <v>644</v>
      </c>
      <c r="D1561" s="5">
        <v>44908</v>
      </c>
    </row>
    <row r="1562" spans="2:4">
      <c r="B1562" s="6" t="s">
        <v>357</v>
      </c>
      <c r="C1562" s="6" t="s">
        <v>677</v>
      </c>
      <c r="D1562" s="5">
        <v>44908</v>
      </c>
    </row>
    <row r="1563" spans="2:4">
      <c r="B1563" s="6" t="s">
        <v>587</v>
      </c>
      <c r="C1563" s="6" t="s">
        <v>395</v>
      </c>
      <c r="D1563" s="5">
        <v>44908</v>
      </c>
    </row>
    <row r="1564" spans="2:4">
      <c r="B1564" s="6" t="s">
        <v>337</v>
      </c>
      <c r="C1564" s="6" t="s">
        <v>116</v>
      </c>
      <c r="D1564" s="5">
        <v>44908</v>
      </c>
    </row>
    <row r="1565" spans="2:4">
      <c r="B1565" s="6" t="s">
        <v>360</v>
      </c>
      <c r="C1565" s="6" t="s">
        <v>261</v>
      </c>
      <c r="D1565" s="5">
        <v>44908</v>
      </c>
    </row>
    <row r="1566" spans="2:4">
      <c r="B1566" s="6" t="s">
        <v>770</v>
      </c>
      <c r="C1566" s="6" t="s">
        <v>111</v>
      </c>
      <c r="D1566" s="5">
        <v>44908</v>
      </c>
    </row>
    <row r="1567" spans="2:4">
      <c r="B1567" s="6" t="s">
        <v>251</v>
      </c>
      <c r="C1567" s="6" t="s">
        <v>282</v>
      </c>
      <c r="D1567" s="5">
        <v>44908</v>
      </c>
    </row>
    <row r="1568" spans="2:4">
      <c r="B1568" s="6" t="s">
        <v>170</v>
      </c>
      <c r="C1568" s="6" t="s">
        <v>507</v>
      </c>
      <c r="D1568" s="5">
        <v>44908</v>
      </c>
    </row>
    <row r="1569" spans="2:4">
      <c r="B1569" s="6" t="s">
        <v>122</v>
      </c>
      <c r="C1569" s="6" t="s">
        <v>244</v>
      </c>
      <c r="D1569" s="5">
        <v>44908</v>
      </c>
    </row>
    <row r="1570" spans="2:4">
      <c r="B1570" s="6" t="s">
        <v>276</v>
      </c>
      <c r="C1570" s="6" t="s">
        <v>297</v>
      </c>
      <c r="D1570" s="5">
        <v>44908</v>
      </c>
    </row>
    <row r="1571" spans="2:4">
      <c r="B1571" s="6" t="s">
        <v>580</v>
      </c>
      <c r="C1571" s="6" t="s">
        <v>301</v>
      </c>
      <c r="D1571" s="5">
        <v>44908</v>
      </c>
    </row>
    <row r="1572" spans="2:4">
      <c r="B1572" s="6" t="s">
        <v>267</v>
      </c>
      <c r="C1572" s="6" t="s">
        <v>193</v>
      </c>
      <c r="D1572" s="5">
        <v>44908</v>
      </c>
    </row>
    <row r="1573" spans="2:4">
      <c r="B1573" s="6" t="s">
        <v>124</v>
      </c>
      <c r="C1573" s="6" t="s">
        <v>269</v>
      </c>
      <c r="D1573" s="5">
        <v>44908</v>
      </c>
    </row>
    <row r="1574" spans="2:4">
      <c r="B1574" s="6" t="s">
        <v>285</v>
      </c>
      <c r="C1574" s="6" t="s">
        <v>97</v>
      </c>
      <c r="D1574" s="5">
        <v>44908</v>
      </c>
    </row>
    <row r="1575" spans="2:4">
      <c r="B1575" s="6" t="s">
        <v>200</v>
      </c>
      <c r="C1575" s="6" t="s">
        <v>410</v>
      </c>
      <c r="D1575" s="5">
        <v>44908</v>
      </c>
    </row>
    <row r="1576" spans="2:4">
      <c r="B1576" s="6" t="s">
        <v>278</v>
      </c>
      <c r="C1576" s="6" t="s">
        <v>351</v>
      </c>
      <c r="D1576" s="5">
        <v>44908</v>
      </c>
    </row>
    <row r="1577" spans="2:4">
      <c r="B1577" s="6" t="s">
        <v>81</v>
      </c>
      <c r="C1577" s="6" t="s">
        <v>277</v>
      </c>
      <c r="D1577" s="5">
        <v>44908</v>
      </c>
    </row>
    <row r="1578" spans="2:4">
      <c r="B1578" s="6" t="s">
        <v>39</v>
      </c>
      <c r="C1578" s="6" t="s">
        <v>181</v>
      </c>
      <c r="D1578" s="5">
        <v>44908</v>
      </c>
    </row>
    <row r="1579" spans="2:4">
      <c r="B1579" s="6" t="s">
        <v>54</v>
      </c>
      <c r="C1579" s="6" t="s">
        <v>590</v>
      </c>
      <c r="D1579" s="5">
        <v>44908</v>
      </c>
    </row>
    <row r="1580" spans="2:4">
      <c r="B1580" s="6" t="s">
        <v>212</v>
      </c>
      <c r="C1580" s="6" t="s">
        <v>268</v>
      </c>
      <c r="D1580" s="5">
        <v>44908</v>
      </c>
    </row>
    <row r="1581" spans="2:4">
      <c r="B1581" s="6" t="s">
        <v>27</v>
      </c>
      <c r="C1581" s="6" t="s">
        <v>393</v>
      </c>
      <c r="D1581" s="5">
        <v>44908</v>
      </c>
    </row>
    <row r="1582" spans="2:4">
      <c r="B1582" s="6" t="s">
        <v>150</v>
      </c>
      <c r="C1582" s="6" t="s">
        <v>445</v>
      </c>
      <c r="D1582" s="5">
        <v>44908</v>
      </c>
    </row>
    <row r="1583" spans="2:4">
      <c r="B1583" s="6" t="s">
        <v>280</v>
      </c>
      <c r="C1583" s="6" t="s">
        <v>399</v>
      </c>
      <c r="D1583" s="5">
        <v>44908</v>
      </c>
    </row>
    <row r="1584" spans="2:4">
      <c r="B1584" s="6" t="s">
        <v>312</v>
      </c>
      <c r="C1584" s="6" t="s">
        <v>347</v>
      </c>
      <c r="D1584" s="5">
        <v>44908</v>
      </c>
    </row>
    <row r="1585" spans="2:4">
      <c r="B1585" s="6" t="s">
        <v>352</v>
      </c>
      <c r="C1585" s="6" t="s">
        <v>303</v>
      </c>
      <c r="D1585" s="5">
        <v>44908</v>
      </c>
    </row>
    <row r="1586" spans="2:4">
      <c r="B1586" s="6" t="s">
        <v>241</v>
      </c>
      <c r="C1586" s="6" t="s">
        <v>678</v>
      </c>
      <c r="D1586" s="5">
        <v>44908</v>
      </c>
    </row>
    <row r="1587" spans="2:4">
      <c r="B1587" s="6" t="s">
        <v>348</v>
      </c>
      <c r="C1587" s="6" t="s">
        <v>324</v>
      </c>
      <c r="D1587" s="5">
        <v>44908</v>
      </c>
    </row>
    <row r="1588" spans="2:4">
      <c r="B1588" s="6" t="s">
        <v>94</v>
      </c>
      <c r="C1588" s="6" t="s">
        <v>316</v>
      </c>
      <c r="D1588" s="5">
        <v>44908</v>
      </c>
    </row>
    <row r="1589" spans="2:4">
      <c r="B1589" s="6" t="s">
        <v>383</v>
      </c>
      <c r="C1589" s="6" t="s">
        <v>534</v>
      </c>
      <c r="D1589" s="5">
        <v>44908</v>
      </c>
    </row>
    <row r="1590" spans="2:4">
      <c r="B1590" s="6" t="s">
        <v>70</v>
      </c>
      <c r="C1590" s="6" t="s">
        <v>640</v>
      </c>
      <c r="D1590" s="5">
        <v>44908</v>
      </c>
    </row>
    <row r="1591" spans="2:4">
      <c r="B1591" s="6" t="s">
        <v>737</v>
      </c>
      <c r="C1591" s="6" t="s">
        <v>273</v>
      </c>
      <c r="D1591" s="5">
        <v>44908</v>
      </c>
    </row>
    <row r="1592" spans="2:4">
      <c r="B1592" s="6" t="s">
        <v>82</v>
      </c>
      <c r="C1592" s="6" t="s">
        <v>144</v>
      </c>
      <c r="D1592" s="5">
        <v>44908</v>
      </c>
    </row>
    <row r="1593" spans="2:4">
      <c r="B1593" s="6" t="s">
        <v>162</v>
      </c>
      <c r="C1593" s="6" t="s">
        <v>134</v>
      </c>
      <c r="D1593" s="5">
        <v>44908</v>
      </c>
    </row>
    <row r="1594" spans="2:4">
      <c r="B1594" s="6" t="s">
        <v>427</v>
      </c>
      <c r="C1594" s="6" t="s">
        <v>473</v>
      </c>
      <c r="D1594" s="5">
        <v>44908</v>
      </c>
    </row>
    <row r="1595" spans="2:4">
      <c r="B1595" s="6" t="s">
        <v>141</v>
      </c>
      <c r="C1595" s="6" t="s">
        <v>679</v>
      </c>
      <c r="D1595" s="5">
        <v>44908</v>
      </c>
    </row>
    <row r="1596" spans="2:4">
      <c r="B1596" s="6" t="s">
        <v>77</v>
      </c>
      <c r="C1596" s="6" t="s">
        <v>368</v>
      </c>
      <c r="D1596" s="5">
        <v>44908</v>
      </c>
    </row>
    <row r="1597" spans="2:4">
      <c r="B1597" s="6" t="s">
        <v>160</v>
      </c>
      <c r="C1597" s="6" t="s">
        <v>402</v>
      </c>
      <c r="D1597" s="5">
        <v>44908</v>
      </c>
    </row>
    <row r="1598" spans="2:4">
      <c r="B1598" s="6" t="s">
        <v>71</v>
      </c>
      <c r="C1598" s="6" t="s">
        <v>207</v>
      </c>
      <c r="D1598" s="5">
        <v>44908</v>
      </c>
    </row>
    <row r="1599" spans="2:4">
      <c r="B1599" s="6" t="s">
        <v>298</v>
      </c>
      <c r="C1599" s="6" t="s">
        <v>299</v>
      </c>
      <c r="D1599" s="5">
        <v>44909</v>
      </c>
    </row>
    <row r="1600" spans="2:4">
      <c r="B1600" s="6" t="s">
        <v>373</v>
      </c>
      <c r="C1600" s="6" t="s">
        <v>290</v>
      </c>
      <c r="D1600" s="5">
        <v>44909</v>
      </c>
    </row>
    <row r="1601" spans="2:4">
      <c r="B1601" s="6" t="s">
        <v>256</v>
      </c>
      <c r="C1601" s="6" t="s">
        <v>255</v>
      </c>
      <c r="D1601" s="5">
        <v>44909</v>
      </c>
    </row>
    <row r="1602" spans="2:4">
      <c r="B1602" s="6" t="s">
        <v>105</v>
      </c>
      <c r="C1602" s="6" t="s">
        <v>266</v>
      </c>
      <c r="D1602" s="5">
        <v>44909</v>
      </c>
    </row>
    <row r="1603" spans="2:4">
      <c r="B1603" s="6" t="s">
        <v>432</v>
      </c>
      <c r="C1603" s="6" t="s">
        <v>142</v>
      </c>
      <c r="D1603" s="5">
        <v>44909</v>
      </c>
    </row>
    <row r="1604" spans="2:4">
      <c r="B1604" s="6" t="s">
        <v>425</v>
      </c>
      <c r="C1604" s="6" t="s">
        <v>527</v>
      </c>
      <c r="D1604" s="5">
        <v>44909</v>
      </c>
    </row>
    <row r="1605" spans="2:4">
      <c r="B1605" s="6" t="s">
        <v>421</v>
      </c>
      <c r="C1605" s="6" t="s">
        <v>680</v>
      </c>
      <c r="D1605" s="5">
        <v>44909</v>
      </c>
    </row>
    <row r="1606" spans="2:4">
      <c r="B1606" s="6" t="s">
        <v>187</v>
      </c>
      <c r="C1606" s="6" t="s">
        <v>209</v>
      </c>
      <c r="D1606" s="5">
        <v>44909</v>
      </c>
    </row>
    <row r="1607" spans="2:4">
      <c r="B1607" s="6" t="s">
        <v>289</v>
      </c>
      <c r="C1607" s="6" t="s">
        <v>305</v>
      </c>
      <c r="D1607" s="5">
        <v>44909</v>
      </c>
    </row>
    <row r="1608" spans="2:4">
      <c r="B1608" s="6" t="s">
        <v>121</v>
      </c>
      <c r="C1608" s="6" t="s">
        <v>202</v>
      </c>
      <c r="D1608" s="5">
        <v>44909</v>
      </c>
    </row>
    <row r="1609" spans="2:4">
      <c r="B1609" s="6" t="s">
        <v>215</v>
      </c>
      <c r="C1609" s="6" t="s">
        <v>405</v>
      </c>
      <c r="D1609" s="5">
        <v>44909</v>
      </c>
    </row>
    <row r="1610" spans="2:4">
      <c r="B1610" s="6" t="s">
        <v>436</v>
      </c>
      <c r="C1610" s="6" t="s">
        <v>610</v>
      </c>
      <c r="D1610" s="5">
        <v>44909</v>
      </c>
    </row>
    <row r="1611" spans="2:4">
      <c r="B1611" s="6" t="s">
        <v>284</v>
      </c>
      <c r="C1611" s="6" t="s">
        <v>155</v>
      </c>
      <c r="D1611" s="5">
        <v>44909</v>
      </c>
    </row>
    <row r="1612" spans="2:4">
      <c r="B1612" s="6" t="s">
        <v>36</v>
      </c>
      <c r="C1612" s="6" t="s">
        <v>146</v>
      </c>
      <c r="D1612" s="5">
        <v>44909</v>
      </c>
    </row>
    <row r="1613" spans="2:4">
      <c r="B1613" s="6" t="s">
        <v>195</v>
      </c>
      <c r="C1613" s="6" t="s">
        <v>90</v>
      </c>
      <c r="D1613" s="5">
        <v>44909</v>
      </c>
    </row>
    <row r="1614" spans="2:4">
      <c r="B1614" s="6" t="s">
        <v>79</v>
      </c>
      <c r="C1614" s="6" t="s">
        <v>127</v>
      </c>
      <c r="D1614" s="5">
        <v>44909</v>
      </c>
    </row>
    <row r="1615" spans="2:4">
      <c r="B1615" s="6" t="s">
        <v>53</v>
      </c>
      <c r="C1615" s="6" t="s">
        <v>286</v>
      </c>
      <c r="D1615" s="5">
        <v>44909</v>
      </c>
    </row>
    <row r="1616" spans="2:4">
      <c r="B1616" s="6" t="s">
        <v>353</v>
      </c>
      <c r="C1616" s="6" t="s">
        <v>681</v>
      </c>
      <c r="D1616" s="5">
        <v>44909</v>
      </c>
    </row>
    <row r="1617" spans="2:4">
      <c r="B1617" s="6" t="s">
        <v>763</v>
      </c>
      <c r="C1617" s="6" t="s">
        <v>364</v>
      </c>
      <c r="D1617" s="5">
        <v>44909</v>
      </c>
    </row>
    <row r="1618" spans="2:4">
      <c r="B1618" s="6" t="s">
        <v>333</v>
      </c>
      <c r="C1618" s="6" t="s">
        <v>415</v>
      </c>
      <c r="D1618" s="5">
        <v>44909</v>
      </c>
    </row>
    <row r="1619" spans="2:4">
      <c r="B1619" s="6" t="s">
        <v>310</v>
      </c>
      <c r="C1619" s="6" t="s">
        <v>288</v>
      </c>
      <c r="D1619" s="5">
        <v>44909</v>
      </c>
    </row>
    <row r="1620" spans="2:4">
      <c r="B1620" s="6" t="s">
        <v>762</v>
      </c>
      <c r="C1620" s="6" t="s">
        <v>411</v>
      </c>
      <c r="D1620" s="5">
        <v>44909</v>
      </c>
    </row>
    <row r="1621" spans="2:4">
      <c r="B1621" s="6" t="s">
        <v>83</v>
      </c>
      <c r="C1621" s="6" t="s">
        <v>259</v>
      </c>
      <c r="D1621" s="5">
        <v>44909</v>
      </c>
    </row>
    <row r="1622" spans="2:4">
      <c r="B1622" s="6" t="s">
        <v>385</v>
      </c>
      <c r="C1622" s="6" t="s">
        <v>682</v>
      </c>
      <c r="D1622" s="5">
        <v>44909</v>
      </c>
    </row>
    <row r="1623" spans="2:4">
      <c r="B1623" s="6" t="s">
        <v>309</v>
      </c>
      <c r="C1623" s="6" t="s">
        <v>270</v>
      </c>
      <c r="D1623" s="5">
        <v>44909</v>
      </c>
    </row>
    <row r="1624" spans="2:4">
      <c r="B1624" s="6" t="s">
        <v>367</v>
      </c>
      <c r="C1624" s="6" t="s">
        <v>321</v>
      </c>
      <c r="D1624" s="5">
        <v>44909</v>
      </c>
    </row>
    <row r="1625" spans="2:4">
      <c r="B1625" s="6" t="s">
        <v>128</v>
      </c>
      <c r="C1625" s="6" t="s">
        <v>304</v>
      </c>
      <c r="D1625" s="5">
        <v>44909</v>
      </c>
    </row>
    <row r="1626" spans="2:4">
      <c r="B1626" s="6" t="s">
        <v>63</v>
      </c>
      <c r="C1626" s="6" t="s">
        <v>332</v>
      </c>
      <c r="D1626" s="5">
        <v>44909</v>
      </c>
    </row>
    <row r="1627" spans="2:4">
      <c r="B1627" s="6" t="s">
        <v>56</v>
      </c>
      <c r="C1627" s="6" t="s">
        <v>75</v>
      </c>
      <c r="D1627" s="5">
        <v>44909</v>
      </c>
    </row>
    <row r="1628" spans="2:4">
      <c r="B1628" s="6" t="s">
        <v>69</v>
      </c>
      <c r="C1628" s="6" t="s">
        <v>154</v>
      </c>
      <c r="D1628" s="5">
        <v>44909</v>
      </c>
    </row>
    <row r="1629" spans="2:4">
      <c r="B1629" s="6" t="s">
        <v>151</v>
      </c>
      <c r="C1629" s="6" t="s">
        <v>633</v>
      </c>
      <c r="D1629" s="5">
        <v>44909</v>
      </c>
    </row>
    <row r="1630" spans="2:4">
      <c r="B1630" s="6" t="s">
        <v>208</v>
      </c>
      <c r="C1630" s="6" t="s">
        <v>294</v>
      </c>
      <c r="D1630" s="5">
        <v>44909</v>
      </c>
    </row>
    <row r="1631" spans="2:4">
      <c r="B1631" s="6" t="s">
        <v>43</v>
      </c>
      <c r="C1631" s="6" t="s">
        <v>313</v>
      </c>
      <c r="D1631" s="5">
        <v>44909</v>
      </c>
    </row>
    <row r="1632" spans="2:4">
      <c r="B1632" s="6" t="s">
        <v>398</v>
      </c>
      <c r="C1632" s="6" t="s">
        <v>375</v>
      </c>
      <c r="D1632" s="5">
        <v>44909</v>
      </c>
    </row>
    <row r="1633" spans="2:4">
      <c r="B1633" s="6" t="s">
        <v>169</v>
      </c>
      <c r="C1633" s="6" t="s">
        <v>236</v>
      </c>
      <c r="D1633" s="5">
        <v>44909</v>
      </c>
    </row>
    <row r="1634" spans="2:4">
      <c r="B1634" s="6" t="s">
        <v>74</v>
      </c>
      <c r="C1634" s="6" t="s">
        <v>420</v>
      </c>
      <c r="D1634" s="5">
        <v>44909</v>
      </c>
    </row>
    <row r="1635" spans="2:4">
      <c r="B1635" s="6" t="s">
        <v>192</v>
      </c>
      <c r="C1635" s="6" t="s">
        <v>129</v>
      </c>
      <c r="D1635" s="5">
        <v>44910</v>
      </c>
    </row>
    <row r="1636" spans="2:4">
      <c r="B1636" s="6" t="s">
        <v>143</v>
      </c>
      <c r="C1636" s="6" t="s">
        <v>563</v>
      </c>
      <c r="D1636" s="5">
        <v>44910</v>
      </c>
    </row>
    <row r="1637" spans="2:4">
      <c r="B1637" s="6" t="s">
        <v>98</v>
      </c>
      <c r="C1637" s="6" t="s">
        <v>99</v>
      </c>
      <c r="D1637" s="5">
        <v>44910</v>
      </c>
    </row>
    <row r="1638" spans="2:4">
      <c r="B1638" s="6" t="s">
        <v>242</v>
      </c>
      <c r="C1638" s="6" t="s">
        <v>104</v>
      </c>
      <c r="D1638" s="5">
        <v>44910</v>
      </c>
    </row>
    <row r="1639" spans="2:4">
      <c r="B1639" s="6" t="s">
        <v>65</v>
      </c>
      <c r="C1639" s="6" t="s">
        <v>114</v>
      </c>
      <c r="D1639" s="5">
        <v>44910</v>
      </c>
    </row>
    <row r="1640" spans="2:4">
      <c r="B1640" s="6" t="s">
        <v>615</v>
      </c>
      <c r="C1640" s="6" t="s">
        <v>629</v>
      </c>
      <c r="D1640" s="5">
        <v>44910</v>
      </c>
    </row>
    <row r="1641" spans="2:4">
      <c r="B1641" s="6" t="s">
        <v>342</v>
      </c>
      <c r="C1641" s="6" t="s">
        <v>365</v>
      </c>
      <c r="D1641" s="5">
        <v>44910</v>
      </c>
    </row>
    <row r="1642" spans="2:4">
      <c r="B1642" s="6" t="s">
        <v>319</v>
      </c>
      <c r="C1642" s="6" t="s">
        <v>183</v>
      </c>
      <c r="D1642" s="5">
        <v>44910</v>
      </c>
    </row>
    <row r="1643" spans="2:4">
      <c r="B1643" s="6" t="s">
        <v>344</v>
      </c>
      <c r="C1643" s="6" t="s">
        <v>440</v>
      </c>
      <c r="D1643" s="5">
        <v>44910</v>
      </c>
    </row>
    <row r="1644" spans="2:4">
      <c r="B1644" s="6" t="s">
        <v>72</v>
      </c>
      <c r="C1644" s="6" t="s">
        <v>173</v>
      </c>
      <c r="D1644" s="5">
        <v>44910</v>
      </c>
    </row>
    <row r="1645" spans="2:4">
      <c r="B1645" s="6" t="s">
        <v>157</v>
      </c>
      <c r="C1645" s="6" t="s">
        <v>683</v>
      </c>
      <c r="D1645" s="5">
        <v>44910</v>
      </c>
    </row>
    <row r="1646" spans="2:4">
      <c r="B1646" s="6" t="s">
        <v>168</v>
      </c>
      <c r="C1646" s="6" t="s">
        <v>486</v>
      </c>
      <c r="D1646" s="5">
        <v>44910</v>
      </c>
    </row>
    <row r="1647" spans="2:4">
      <c r="B1647" s="6" t="s">
        <v>160</v>
      </c>
      <c r="C1647" s="6" t="s">
        <v>167</v>
      </c>
      <c r="D1647" s="5">
        <v>44910</v>
      </c>
    </row>
    <row r="1648" spans="2:4">
      <c r="B1648" s="6" t="s">
        <v>779</v>
      </c>
      <c r="C1648" s="6" t="s">
        <v>424</v>
      </c>
      <c r="D1648" s="5">
        <v>44910</v>
      </c>
    </row>
    <row r="1649" spans="2:4">
      <c r="B1649" s="6" t="s">
        <v>640</v>
      </c>
      <c r="C1649" s="6" t="s">
        <v>501</v>
      </c>
      <c r="D1649" s="5">
        <v>44911</v>
      </c>
    </row>
    <row r="1650" spans="2:4">
      <c r="B1650" s="6" t="s">
        <v>97</v>
      </c>
      <c r="C1650" s="6" t="s">
        <v>118</v>
      </c>
      <c r="D1650" s="5">
        <v>44911</v>
      </c>
    </row>
    <row r="1651" spans="2:4">
      <c r="B1651" s="6" t="s">
        <v>41</v>
      </c>
      <c r="C1651" s="6" t="s">
        <v>39</v>
      </c>
      <c r="D1651" s="5">
        <v>44911</v>
      </c>
    </row>
    <row r="1652" spans="2:4">
      <c r="B1652" s="6" t="s">
        <v>231</v>
      </c>
      <c r="C1652" s="6" t="s">
        <v>351</v>
      </c>
      <c r="D1652" s="5">
        <v>44911</v>
      </c>
    </row>
    <row r="1653" spans="2:4">
      <c r="B1653" s="6" t="s">
        <v>252</v>
      </c>
      <c r="C1653" s="6" t="s">
        <v>292</v>
      </c>
      <c r="D1653" s="5">
        <v>44911</v>
      </c>
    </row>
    <row r="1654" spans="2:4">
      <c r="B1654" s="6" t="s">
        <v>295</v>
      </c>
      <c r="C1654" s="6" t="s">
        <v>232</v>
      </c>
      <c r="D1654" s="5">
        <v>44911</v>
      </c>
    </row>
    <row r="1655" spans="2:4">
      <c r="B1655" s="6" t="s">
        <v>312</v>
      </c>
      <c r="C1655" s="6" t="s">
        <v>147</v>
      </c>
      <c r="D1655" s="5">
        <v>44911</v>
      </c>
    </row>
    <row r="1656" spans="2:4">
      <c r="B1656" s="6" t="s">
        <v>418</v>
      </c>
      <c r="C1656" s="6" t="s">
        <v>181</v>
      </c>
      <c r="D1656" s="5">
        <v>44911</v>
      </c>
    </row>
    <row r="1657" spans="2:4">
      <c r="B1657" s="6" t="s">
        <v>95</v>
      </c>
      <c r="C1657" s="6" t="s">
        <v>303</v>
      </c>
      <c r="D1657" s="5">
        <v>44911</v>
      </c>
    </row>
    <row r="1658" spans="2:4">
      <c r="B1658" s="6" t="s">
        <v>241</v>
      </c>
      <c r="C1658" s="6" t="s">
        <v>347</v>
      </c>
      <c r="D1658" s="5">
        <v>44911</v>
      </c>
    </row>
    <row r="1659" spans="2:4">
      <c r="B1659" s="6" t="s">
        <v>184</v>
      </c>
      <c r="C1659" s="6" t="s">
        <v>320</v>
      </c>
      <c r="D1659" s="5">
        <v>44911</v>
      </c>
    </row>
    <row r="1660" spans="2:4">
      <c r="B1660" s="6" t="s">
        <v>383</v>
      </c>
      <c r="C1660" s="6" t="s">
        <v>441</v>
      </c>
      <c r="D1660" s="5">
        <v>44911</v>
      </c>
    </row>
    <row r="1661" spans="2:4">
      <c r="B1661" s="6" t="s">
        <v>93</v>
      </c>
      <c r="C1661" s="6" t="s">
        <v>324</v>
      </c>
      <c r="D1661" s="5">
        <v>44911</v>
      </c>
    </row>
    <row r="1662" spans="2:4">
      <c r="B1662" s="6" t="s">
        <v>37</v>
      </c>
      <c r="C1662" s="6" t="s">
        <v>38</v>
      </c>
      <c r="D1662" s="5">
        <v>44911</v>
      </c>
    </row>
    <row r="1663" spans="2:4">
      <c r="B1663" s="6" t="s">
        <v>330</v>
      </c>
      <c r="C1663" s="6" t="s">
        <v>684</v>
      </c>
      <c r="D1663" s="5">
        <v>44911</v>
      </c>
    </row>
    <row r="1664" spans="2:4">
      <c r="B1664" s="6" t="s">
        <v>158</v>
      </c>
      <c r="C1664" s="6" t="s">
        <v>685</v>
      </c>
      <c r="D1664" s="5">
        <v>44911</v>
      </c>
    </row>
    <row r="1665" spans="2:4">
      <c r="B1665" s="6" t="s">
        <v>207</v>
      </c>
      <c r="C1665" s="6" t="s">
        <v>206</v>
      </c>
      <c r="D1665" s="5">
        <v>44911</v>
      </c>
    </row>
    <row r="1666" spans="2:4">
      <c r="B1666" s="6" t="s">
        <v>26</v>
      </c>
      <c r="C1666" s="6" t="s">
        <v>62</v>
      </c>
      <c r="D1666" s="5">
        <v>44912</v>
      </c>
    </row>
    <row r="1667" spans="2:4">
      <c r="B1667" s="6" t="s">
        <v>172</v>
      </c>
      <c r="C1667" s="6" t="s">
        <v>329</v>
      </c>
      <c r="D1667" s="5">
        <v>44912</v>
      </c>
    </row>
    <row r="1668" spans="2:4">
      <c r="B1668" s="6" t="s">
        <v>411</v>
      </c>
      <c r="C1668" s="6" t="s">
        <v>87</v>
      </c>
      <c r="D1668" s="5">
        <v>44912</v>
      </c>
    </row>
    <row r="1669" spans="2:4">
      <c r="B1669" s="6" t="s">
        <v>64</v>
      </c>
      <c r="C1669" s="6" t="s">
        <v>53</v>
      </c>
      <c r="D1669" s="5">
        <v>44912</v>
      </c>
    </row>
    <row r="1670" spans="2:4">
      <c r="B1670" s="6" t="s">
        <v>48</v>
      </c>
      <c r="C1670" s="6" t="s">
        <v>338</v>
      </c>
      <c r="D1670" s="5">
        <v>44912</v>
      </c>
    </row>
    <row r="1671" spans="2:4">
      <c r="B1671" s="6" t="s">
        <v>201</v>
      </c>
      <c r="C1671" s="6" t="s">
        <v>106</v>
      </c>
      <c r="D1671" s="5">
        <v>44912</v>
      </c>
    </row>
    <row r="1672" spans="2:4">
      <c r="B1672" s="6" t="s">
        <v>36</v>
      </c>
      <c r="C1672" s="6" t="s">
        <v>40</v>
      </c>
      <c r="D1672" s="5">
        <v>44912</v>
      </c>
    </row>
    <row r="1673" spans="2:4">
      <c r="B1673" s="6" t="s">
        <v>399</v>
      </c>
      <c r="C1673" s="6" t="s">
        <v>190</v>
      </c>
      <c r="D1673" s="5">
        <v>44912</v>
      </c>
    </row>
    <row r="1674" spans="2:4">
      <c r="B1674" s="6" t="s">
        <v>132</v>
      </c>
      <c r="C1674" s="6" t="s">
        <v>82</v>
      </c>
      <c r="D1674" s="5">
        <v>44912</v>
      </c>
    </row>
    <row r="1675" spans="2:4">
      <c r="B1675" s="6" t="s">
        <v>282</v>
      </c>
      <c r="C1675" s="6" t="s">
        <v>395</v>
      </c>
      <c r="D1675" s="5">
        <v>44912</v>
      </c>
    </row>
    <row r="1676" spans="2:4">
      <c r="B1676" s="6" t="s">
        <v>123</v>
      </c>
      <c r="C1676" s="6" t="s">
        <v>318</v>
      </c>
      <c r="D1676" s="5">
        <v>44912</v>
      </c>
    </row>
    <row r="1677" spans="2:4">
      <c r="B1677" s="6" t="s">
        <v>29</v>
      </c>
      <c r="C1677" s="6" t="s">
        <v>355</v>
      </c>
      <c r="D1677" s="5">
        <v>44912</v>
      </c>
    </row>
    <row r="1678" spans="2:4">
      <c r="B1678" s="6" t="s">
        <v>49</v>
      </c>
      <c r="C1678" s="6" t="s">
        <v>354</v>
      </c>
      <c r="D1678" s="5">
        <v>44912</v>
      </c>
    </row>
    <row r="1679" spans="2:4">
      <c r="B1679" s="6" t="s">
        <v>188</v>
      </c>
      <c r="C1679" s="6" t="s">
        <v>212</v>
      </c>
      <c r="D1679" s="5">
        <v>44912</v>
      </c>
    </row>
    <row r="1680" spans="2:4">
      <c r="B1680" s="6" t="s">
        <v>356</v>
      </c>
      <c r="C1680" s="6" t="s">
        <v>686</v>
      </c>
      <c r="D1680" s="5">
        <v>44912</v>
      </c>
    </row>
    <row r="1681" spans="2:4">
      <c r="B1681" s="6" t="s">
        <v>126</v>
      </c>
      <c r="C1681" s="6" t="s">
        <v>519</v>
      </c>
      <c r="D1681" s="5">
        <v>44912</v>
      </c>
    </row>
    <row r="1682" spans="2:4">
      <c r="B1682" s="6" t="s">
        <v>353</v>
      </c>
      <c r="C1682" s="6" t="s">
        <v>240</v>
      </c>
      <c r="D1682" s="5">
        <v>44912</v>
      </c>
    </row>
    <row r="1683" spans="2:4">
      <c r="B1683" s="6" t="s">
        <v>332</v>
      </c>
      <c r="C1683" s="6" t="s">
        <v>483</v>
      </c>
      <c r="D1683" s="5">
        <v>44912</v>
      </c>
    </row>
    <row r="1684" spans="2:4">
      <c r="B1684" s="6" t="s">
        <v>603</v>
      </c>
      <c r="C1684" s="6" t="s">
        <v>461</v>
      </c>
      <c r="D1684" s="5">
        <v>44912</v>
      </c>
    </row>
    <row r="1685" spans="2:4">
      <c r="B1685" s="6" t="s">
        <v>127</v>
      </c>
      <c r="C1685" s="6" t="s">
        <v>142</v>
      </c>
      <c r="D1685" s="5">
        <v>44912</v>
      </c>
    </row>
    <row r="1686" spans="2:4">
      <c r="B1686" s="6" t="s">
        <v>255</v>
      </c>
      <c r="C1686" s="6" t="s">
        <v>202</v>
      </c>
      <c r="D1686" s="5">
        <v>44912</v>
      </c>
    </row>
    <row r="1687" spans="2:4">
      <c r="B1687" s="6" t="s">
        <v>425</v>
      </c>
      <c r="C1687" s="6" t="s">
        <v>277</v>
      </c>
      <c r="D1687" s="5">
        <v>44912</v>
      </c>
    </row>
    <row r="1688" spans="2:4">
      <c r="B1688" s="6" t="s">
        <v>146</v>
      </c>
      <c r="C1688" s="6" t="s">
        <v>264</v>
      </c>
      <c r="D1688" s="5">
        <v>44912</v>
      </c>
    </row>
    <row r="1689" spans="2:4">
      <c r="B1689" s="6" t="s">
        <v>421</v>
      </c>
      <c r="C1689" s="6" t="s">
        <v>274</v>
      </c>
      <c r="D1689" s="5">
        <v>44912</v>
      </c>
    </row>
    <row r="1690" spans="2:4">
      <c r="B1690" s="6" t="s">
        <v>103</v>
      </c>
      <c r="C1690" s="6" t="s">
        <v>687</v>
      </c>
      <c r="D1690" s="5">
        <v>44912</v>
      </c>
    </row>
    <row r="1691" spans="2:4">
      <c r="B1691" s="6" t="s">
        <v>171</v>
      </c>
      <c r="C1691" s="6" t="s">
        <v>305</v>
      </c>
      <c r="D1691" s="5">
        <v>44912</v>
      </c>
    </row>
    <row r="1692" spans="2:4">
      <c r="B1692" s="6" t="s">
        <v>183</v>
      </c>
      <c r="C1692" s="6" t="s">
        <v>194</v>
      </c>
      <c r="D1692" s="5">
        <v>44912</v>
      </c>
    </row>
    <row r="1693" spans="2:4">
      <c r="B1693" s="6" t="s">
        <v>43</v>
      </c>
      <c r="C1693" s="6" t="s">
        <v>170</v>
      </c>
      <c r="D1693" s="5">
        <v>44912</v>
      </c>
    </row>
    <row r="1694" spans="2:4">
      <c r="B1694" s="6" t="s">
        <v>288</v>
      </c>
      <c r="C1694" s="6" t="s">
        <v>250</v>
      </c>
      <c r="D1694" s="5">
        <v>44912</v>
      </c>
    </row>
    <row r="1695" spans="2:4">
      <c r="B1695" s="6" t="s">
        <v>187</v>
      </c>
      <c r="C1695" s="6" t="s">
        <v>210</v>
      </c>
      <c r="D1695" s="5">
        <v>44912</v>
      </c>
    </row>
    <row r="1696" spans="2:4">
      <c r="B1696" s="6" t="s">
        <v>284</v>
      </c>
      <c r="C1696" s="6" t="s">
        <v>325</v>
      </c>
      <c r="D1696" s="5">
        <v>44912</v>
      </c>
    </row>
    <row r="1697" spans="2:4">
      <c r="B1697" s="6" t="s">
        <v>115</v>
      </c>
      <c r="C1697" s="6" t="s">
        <v>182</v>
      </c>
      <c r="D1697" s="5">
        <v>44912</v>
      </c>
    </row>
    <row r="1698" spans="2:4">
      <c r="B1698" s="6" t="s">
        <v>68</v>
      </c>
      <c r="C1698" s="6" t="s">
        <v>155</v>
      </c>
      <c r="D1698" s="5">
        <v>44912</v>
      </c>
    </row>
    <row r="1699" spans="2:4">
      <c r="B1699" s="6" t="s">
        <v>90</v>
      </c>
      <c r="C1699" s="6" t="s">
        <v>275</v>
      </c>
      <c r="D1699" s="5">
        <v>44912</v>
      </c>
    </row>
    <row r="1700" spans="2:4">
      <c r="B1700" s="6" t="s">
        <v>50</v>
      </c>
      <c r="C1700" s="6" t="s">
        <v>314</v>
      </c>
      <c r="D1700" s="5">
        <v>44912</v>
      </c>
    </row>
    <row r="1701" spans="2:4">
      <c r="B1701" s="6" t="s">
        <v>737</v>
      </c>
      <c r="C1701" s="6" t="s">
        <v>302</v>
      </c>
      <c r="D1701" s="5">
        <v>44912</v>
      </c>
    </row>
    <row r="1702" spans="2:4">
      <c r="B1702" s="6" t="s">
        <v>777</v>
      </c>
      <c r="C1702" s="6" t="s">
        <v>251</v>
      </c>
      <c r="D1702" s="5">
        <v>44912</v>
      </c>
    </row>
    <row r="1703" spans="2:4">
      <c r="B1703" s="6" t="s">
        <v>150</v>
      </c>
      <c r="C1703" s="6" t="s">
        <v>415</v>
      </c>
      <c r="D1703" s="5">
        <v>44912</v>
      </c>
    </row>
    <row r="1704" spans="2:4">
      <c r="B1704" s="6" t="s">
        <v>763</v>
      </c>
      <c r="C1704" s="6" t="s">
        <v>319</v>
      </c>
      <c r="D1704" s="5">
        <v>44912</v>
      </c>
    </row>
    <row r="1705" spans="2:4">
      <c r="B1705" s="6" t="s">
        <v>276</v>
      </c>
      <c r="C1705" s="6" t="s">
        <v>102</v>
      </c>
      <c r="D1705" s="5">
        <v>44912</v>
      </c>
    </row>
    <row r="1706" spans="2:4">
      <c r="B1706" s="6" t="s">
        <v>309</v>
      </c>
      <c r="C1706" s="6" t="s">
        <v>494</v>
      </c>
      <c r="D1706" s="5">
        <v>44912</v>
      </c>
    </row>
    <row r="1707" spans="2:4">
      <c r="B1707" s="6" t="s">
        <v>266</v>
      </c>
      <c r="C1707" s="6" t="s">
        <v>499</v>
      </c>
      <c r="D1707" s="5">
        <v>44912</v>
      </c>
    </row>
    <row r="1708" spans="2:4">
      <c r="B1708" s="6" t="s">
        <v>289</v>
      </c>
      <c r="C1708" s="6" t="s">
        <v>298</v>
      </c>
      <c r="D1708" s="5">
        <v>44912</v>
      </c>
    </row>
    <row r="1709" spans="2:4">
      <c r="B1709" s="6" t="s">
        <v>333</v>
      </c>
      <c r="C1709" s="6" t="s">
        <v>94</v>
      </c>
      <c r="D1709" s="5">
        <v>44912</v>
      </c>
    </row>
    <row r="1710" spans="2:4">
      <c r="B1710" s="6" t="s">
        <v>378</v>
      </c>
      <c r="C1710" s="6" t="s">
        <v>403</v>
      </c>
      <c r="D1710" s="5">
        <v>44912</v>
      </c>
    </row>
    <row r="1711" spans="2:4">
      <c r="B1711" s="6" t="s">
        <v>143</v>
      </c>
      <c r="C1711" s="6" t="s">
        <v>343</v>
      </c>
      <c r="D1711" s="5">
        <v>44912</v>
      </c>
    </row>
    <row r="1712" spans="2:4">
      <c r="B1712" s="6" t="s">
        <v>135</v>
      </c>
      <c r="C1712" s="6" t="s">
        <v>300</v>
      </c>
      <c r="D1712" s="5">
        <v>44912</v>
      </c>
    </row>
    <row r="1713" spans="2:4">
      <c r="B1713" s="6" t="s">
        <v>47</v>
      </c>
      <c r="C1713" s="6" t="s">
        <v>125</v>
      </c>
      <c r="D1713" s="5">
        <v>44912</v>
      </c>
    </row>
    <row r="1714" spans="2:4">
      <c r="B1714" s="6" t="s">
        <v>193</v>
      </c>
      <c r="C1714" s="6" t="s">
        <v>140</v>
      </c>
      <c r="D1714" s="5">
        <v>44912</v>
      </c>
    </row>
    <row r="1715" spans="2:4">
      <c r="B1715" s="6" t="s">
        <v>281</v>
      </c>
      <c r="C1715" s="6" t="s">
        <v>221</v>
      </c>
      <c r="D1715" s="5">
        <v>44912</v>
      </c>
    </row>
    <row r="1716" spans="2:4">
      <c r="B1716" s="6" t="s">
        <v>326</v>
      </c>
      <c r="C1716" s="6" t="s">
        <v>109</v>
      </c>
      <c r="D1716" s="5">
        <v>44912</v>
      </c>
    </row>
    <row r="1717" spans="2:4">
      <c r="B1717" s="6" t="s">
        <v>84</v>
      </c>
      <c r="C1717" s="6" t="s">
        <v>119</v>
      </c>
      <c r="D1717" s="5">
        <v>44912</v>
      </c>
    </row>
    <row r="1718" spans="2:4">
      <c r="B1718" s="6" t="s">
        <v>334</v>
      </c>
      <c r="C1718" s="6" t="s">
        <v>35</v>
      </c>
      <c r="D1718" s="5">
        <v>44912</v>
      </c>
    </row>
    <row r="1719" spans="2:4">
      <c r="B1719" s="6" t="s">
        <v>59</v>
      </c>
      <c r="C1719" s="6" t="s">
        <v>128</v>
      </c>
      <c r="D1719" s="5">
        <v>44912</v>
      </c>
    </row>
    <row r="1720" spans="2:4">
      <c r="B1720" s="6" t="s">
        <v>60</v>
      </c>
      <c r="C1720" s="6" t="s">
        <v>308</v>
      </c>
      <c r="D1720" s="5">
        <v>44912</v>
      </c>
    </row>
    <row r="1721" spans="2:4">
      <c r="B1721" s="6" t="s">
        <v>27</v>
      </c>
      <c r="C1721" s="6" t="s">
        <v>364</v>
      </c>
      <c r="D1721" s="5">
        <v>44912</v>
      </c>
    </row>
    <row r="1722" spans="2:4">
      <c r="B1722" s="6" t="s">
        <v>122</v>
      </c>
      <c r="C1722" s="6" t="s">
        <v>587</v>
      </c>
      <c r="D1722" s="5">
        <v>44912</v>
      </c>
    </row>
    <row r="1723" spans="2:4">
      <c r="B1723" s="6" t="s">
        <v>335</v>
      </c>
      <c r="C1723" s="6" t="s">
        <v>502</v>
      </c>
      <c r="D1723" s="5">
        <v>44912</v>
      </c>
    </row>
    <row r="1724" spans="2:4">
      <c r="B1724" s="6" t="s">
        <v>120</v>
      </c>
      <c r="C1724" s="6" t="s">
        <v>270</v>
      </c>
      <c r="D1724" s="5">
        <v>44912</v>
      </c>
    </row>
    <row r="1725" spans="2:4">
      <c r="B1725" s="6" t="s">
        <v>304</v>
      </c>
      <c r="C1725" s="6" t="s">
        <v>287</v>
      </c>
      <c r="D1725" s="5">
        <v>44912</v>
      </c>
    </row>
    <row r="1726" spans="2:4">
      <c r="B1726" s="6" t="s">
        <v>286</v>
      </c>
      <c r="C1726" s="6" t="s">
        <v>407</v>
      </c>
      <c r="D1726" s="5">
        <v>44912</v>
      </c>
    </row>
    <row r="1727" spans="2:4">
      <c r="B1727" s="6" t="s">
        <v>393</v>
      </c>
      <c r="C1727" s="6" t="s">
        <v>141</v>
      </c>
      <c r="D1727" s="5">
        <v>44912</v>
      </c>
    </row>
    <row r="1728" spans="2:4">
      <c r="B1728" s="6" t="s">
        <v>121</v>
      </c>
      <c r="C1728" s="6" t="s">
        <v>400</v>
      </c>
      <c r="D1728" s="5">
        <v>44912</v>
      </c>
    </row>
    <row r="1729" spans="2:4">
      <c r="B1729" s="6" t="s">
        <v>436</v>
      </c>
      <c r="C1729" s="6" t="s">
        <v>297</v>
      </c>
      <c r="D1729" s="5">
        <v>44912</v>
      </c>
    </row>
    <row r="1730" spans="2:4">
      <c r="B1730" s="6" t="s">
        <v>310</v>
      </c>
      <c r="C1730" s="6" t="s">
        <v>179</v>
      </c>
      <c r="D1730" s="5">
        <v>44912</v>
      </c>
    </row>
    <row r="1731" spans="2:4">
      <c r="B1731" s="6" t="s">
        <v>248</v>
      </c>
      <c r="C1731" s="6" t="s">
        <v>209</v>
      </c>
      <c r="D1731" s="5">
        <v>44912</v>
      </c>
    </row>
    <row r="1732" spans="2:4">
      <c r="B1732" s="6" t="s">
        <v>52</v>
      </c>
      <c r="C1732" s="6" t="s">
        <v>382</v>
      </c>
      <c r="D1732" s="5">
        <v>44912</v>
      </c>
    </row>
    <row r="1733" spans="2:4">
      <c r="B1733" s="6" t="s">
        <v>111</v>
      </c>
      <c r="C1733" s="6" t="s">
        <v>290</v>
      </c>
      <c r="D1733" s="5">
        <v>44912</v>
      </c>
    </row>
    <row r="1734" spans="2:4">
      <c r="B1734" s="6" t="s">
        <v>236</v>
      </c>
      <c r="C1734" s="6" t="s">
        <v>626</v>
      </c>
      <c r="D1734" s="5">
        <v>44912</v>
      </c>
    </row>
    <row r="1735" spans="2:4">
      <c r="B1735" s="6" t="s">
        <v>165</v>
      </c>
      <c r="C1735" s="6" t="s">
        <v>688</v>
      </c>
      <c r="D1735" s="5">
        <v>44912</v>
      </c>
    </row>
    <row r="1736" spans="2:4">
      <c r="B1736" s="6" t="s">
        <v>163</v>
      </c>
      <c r="C1736" s="6" t="s">
        <v>404</v>
      </c>
      <c r="D1736" s="5">
        <v>44912</v>
      </c>
    </row>
    <row r="1737" spans="2:4">
      <c r="B1737" s="6" t="s">
        <v>762</v>
      </c>
      <c r="C1737" s="6" t="s">
        <v>145</v>
      </c>
      <c r="D1737" s="5">
        <v>44912</v>
      </c>
    </row>
    <row r="1738" spans="2:4">
      <c r="B1738" s="6" t="s">
        <v>80</v>
      </c>
      <c r="C1738" s="6" t="s">
        <v>75</v>
      </c>
      <c r="D1738" s="5">
        <v>44912</v>
      </c>
    </row>
    <row r="1739" spans="2:4">
      <c r="B1739" s="6" t="s">
        <v>391</v>
      </c>
      <c r="C1739" s="6" t="s">
        <v>685</v>
      </c>
      <c r="D1739" s="5">
        <v>44912</v>
      </c>
    </row>
    <row r="1740" spans="2:4">
      <c r="B1740" s="6" t="s">
        <v>157</v>
      </c>
      <c r="C1740" s="6" t="s">
        <v>77</v>
      </c>
      <c r="D1740" s="5">
        <v>44912</v>
      </c>
    </row>
    <row r="1741" spans="2:4">
      <c r="B1741" s="6" t="s">
        <v>58</v>
      </c>
      <c r="C1741" s="6" t="s">
        <v>199</v>
      </c>
      <c r="D1741" s="5">
        <v>44912</v>
      </c>
    </row>
    <row r="1742" spans="2:4">
      <c r="B1742" s="6" t="s">
        <v>249</v>
      </c>
      <c r="C1742" s="6" t="s">
        <v>268</v>
      </c>
      <c r="D1742" s="5">
        <v>44912</v>
      </c>
    </row>
    <row r="1743" spans="2:4">
      <c r="B1743" s="6" t="s">
        <v>114</v>
      </c>
      <c r="C1743" s="6" t="s">
        <v>506</v>
      </c>
      <c r="D1743" s="5">
        <v>44912</v>
      </c>
    </row>
    <row r="1744" spans="2:4">
      <c r="B1744" s="6" t="s">
        <v>394</v>
      </c>
      <c r="C1744" s="6" t="s">
        <v>389</v>
      </c>
      <c r="D1744" s="5">
        <v>44912</v>
      </c>
    </row>
    <row r="1745" spans="2:4">
      <c r="B1745" s="6" t="s">
        <v>427</v>
      </c>
      <c r="C1745" s="6" t="s">
        <v>433</v>
      </c>
      <c r="D1745" s="5">
        <v>44912</v>
      </c>
    </row>
    <row r="1746" spans="2:4">
      <c r="B1746" s="6" t="s">
        <v>81</v>
      </c>
      <c r="C1746" s="6" t="s">
        <v>191</v>
      </c>
      <c r="D1746" s="5">
        <v>44912</v>
      </c>
    </row>
    <row r="1747" spans="2:4">
      <c r="B1747" s="6" t="s">
        <v>42</v>
      </c>
      <c r="C1747" s="6" t="s">
        <v>732</v>
      </c>
      <c r="D1747" s="5">
        <v>44912</v>
      </c>
    </row>
    <row r="1748" spans="2:4">
      <c r="B1748" s="6" t="s">
        <v>750</v>
      </c>
      <c r="C1748" s="6" t="s">
        <v>67</v>
      </c>
      <c r="D1748" s="5">
        <v>44912</v>
      </c>
    </row>
    <row r="1749" spans="2:4">
      <c r="B1749" s="6" t="s">
        <v>144</v>
      </c>
      <c r="C1749" s="6" t="s">
        <v>91</v>
      </c>
      <c r="D1749" s="5">
        <v>44912</v>
      </c>
    </row>
    <row r="1750" spans="2:4">
      <c r="B1750" s="6" t="s">
        <v>51</v>
      </c>
      <c r="C1750" s="6" t="s">
        <v>200</v>
      </c>
      <c r="D1750" s="5">
        <v>44912</v>
      </c>
    </row>
    <row r="1751" spans="2:4">
      <c r="B1751" s="6" t="s">
        <v>69</v>
      </c>
      <c r="C1751" s="6" t="s">
        <v>161</v>
      </c>
      <c r="D1751" s="5">
        <v>44912</v>
      </c>
    </row>
    <row r="1752" spans="2:4">
      <c r="B1752" s="6" t="s">
        <v>152</v>
      </c>
      <c r="C1752" s="6" t="s">
        <v>214</v>
      </c>
      <c r="D1752" s="5">
        <v>44912</v>
      </c>
    </row>
    <row r="1753" spans="2:4">
      <c r="B1753" s="6" t="s">
        <v>381</v>
      </c>
      <c r="C1753" s="6" t="s">
        <v>561</v>
      </c>
      <c r="D1753" s="5">
        <v>44912</v>
      </c>
    </row>
    <row r="1754" spans="2:4">
      <c r="B1754" s="6" t="s">
        <v>133</v>
      </c>
      <c r="C1754" s="6" t="s">
        <v>363</v>
      </c>
      <c r="D1754" s="5">
        <v>44912</v>
      </c>
    </row>
    <row r="1755" spans="2:4">
      <c r="B1755" s="6" t="s">
        <v>376</v>
      </c>
      <c r="C1755" s="6" t="s">
        <v>373</v>
      </c>
      <c r="D1755" s="5">
        <v>44912</v>
      </c>
    </row>
    <row r="1756" spans="2:4">
      <c r="B1756" s="6" t="s">
        <v>61</v>
      </c>
      <c r="C1756" s="6" t="s">
        <v>321</v>
      </c>
      <c r="D1756" s="5">
        <v>44912</v>
      </c>
    </row>
    <row r="1757" spans="2:4">
      <c r="B1757" s="6" t="s">
        <v>352</v>
      </c>
      <c r="C1757" s="6" t="s">
        <v>778</v>
      </c>
      <c r="D1757" s="5">
        <v>44912</v>
      </c>
    </row>
    <row r="1758" spans="2:4">
      <c r="B1758" s="6" t="s">
        <v>607</v>
      </c>
      <c r="C1758" s="6" t="s">
        <v>689</v>
      </c>
      <c r="D1758" s="5">
        <v>44912</v>
      </c>
    </row>
    <row r="1759" spans="2:4">
      <c r="B1759" s="6" t="s">
        <v>586</v>
      </c>
      <c r="C1759" s="6" t="s">
        <v>345</v>
      </c>
      <c r="D1759" s="5">
        <v>44912</v>
      </c>
    </row>
    <row r="1760" spans="2:4">
      <c r="B1760" s="6" t="s">
        <v>71</v>
      </c>
      <c r="C1760" s="6" t="s">
        <v>153</v>
      </c>
      <c r="D1760" s="5">
        <v>44912</v>
      </c>
    </row>
    <row r="1761" spans="2:4">
      <c r="B1761" s="6" t="s">
        <v>402</v>
      </c>
      <c r="C1761" s="6" t="s">
        <v>423</v>
      </c>
      <c r="D1761" s="5">
        <v>44912</v>
      </c>
    </row>
    <row r="1762" spans="2:4">
      <c r="B1762" s="6" t="s">
        <v>70</v>
      </c>
      <c r="C1762" s="6" t="s">
        <v>86</v>
      </c>
      <c r="D1762" s="5">
        <v>44912</v>
      </c>
    </row>
    <row r="1763" spans="2:4">
      <c r="B1763" s="6" t="s">
        <v>770</v>
      </c>
      <c r="C1763" s="6" t="s">
        <v>185</v>
      </c>
      <c r="D1763" s="5">
        <v>44912</v>
      </c>
    </row>
    <row r="1764" spans="2:4">
      <c r="B1764" s="6" t="s">
        <v>220</v>
      </c>
      <c r="C1764" s="6" t="s">
        <v>431</v>
      </c>
      <c r="D1764" s="5">
        <v>44913</v>
      </c>
    </row>
    <row r="1765" spans="2:4">
      <c r="B1765" s="6" t="s">
        <v>108</v>
      </c>
      <c r="C1765" s="6" t="s">
        <v>96</v>
      </c>
      <c r="D1765" s="5">
        <v>44913</v>
      </c>
    </row>
    <row r="1766" spans="2:4">
      <c r="B1766" s="6" t="s">
        <v>781</v>
      </c>
      <c r="C1766" s="6" t="s">
        <v>211</v>
      </c>
      <c r="D1766" s="5">
        <v>44913</v>
      </c>
    </row>
    <row r="1767" spans="2:4">
      <c r="B1767" s="6" t="s">
        <v>30</v>
      </c>
      <c r="C1767" s="6" t="s">
        <v>93</v>
      </c>
      <c r="D1767" s="5">
        <v>44913</v>
      </c>
    </row>
    <row r="1768" spans="2:4">
      <c r="B1768" s="6" t="s">
        <v>99</v>
      </c>
      <c r="C1768" s="6" t="s">
        <v>148</v>
      </c>
      <c r="D1768" s="5">
        <v>44913</v>
      </c>
    </row>
    <row r="1769" spans="2:4">
      <c r="B1769" s="6" t="s">
        <v>301</v>
      </c>
      <c r="C1769" s="6" t="s">
        <v>413</v>
      </c>
      <c r="D1769" s="5">
        <v>44913</v>
      </c>
    </row>
    <row r="1770" spans="2:4">
      <c r="B1770" s="6" t="s">
        <v>747</v>
      </c>
      <c r="C1770" s="6" t="s">
        <v>414</v>
      </c>
      <c r="D1770" s="5">
        <v>44913</v>
      </c>
    </row>
    <row r="1771" spans="2:4">
      <c r="B1771" s="6" t="s">
        <v>256</v>
      </c>
      <c r="C1771" s="6" t="s">
        <v>585</v>
      </c>
      <c r="D1771" s="5">
        <v>44913</v>
      </c>
    </row>
    <row r="1772" spans="2:4">
      <c r="B1772" s="6" t="s">
        <v>112</v>
      </c>
      <c r="C1772" s="6" t="s">
        <v>690</v>
      </c>
      <c r="D1772" s="5">
        <v>44913</v>
      </c>
    </row>
    <row r="1773" spans="2:4">
      <c r="B1773" s="6" t="s">
        <v>113</v>
      </c>
      <c r="C1773" s="6" t="s">
        <v>175</v>
      </c>
      <c r="D1773" s="5">
        <v>44913</v>
      </c>
    </row>
    <row r="1774" spans="2:4">
      <c r="B1774" s="6" t="s">
        <v>280</v>
      </c>
      <c r="C1774" s="6" t="s">
        <v>272</v>
      </c>
      <c r="D1774" s="5">
        <v>44913</v>
      </c>
    </row>
    <row r="1775" spans="2:4">
      <c r="B1775" s="6" t="s">
        <v>139</v>
      </c>
      <c r="C1775" s="6" t="s">
        <v>129</v>
      </c>
      <c r="D1775" s="5">
        <v>44913</v>
      </c>
    </row>
    <row r="1776" spans="2:4">
      <c r="B1776" s="6" t="s">
        <v>327</v>
      </c>
      <c r="C1776" s="6" t="s">
        <v>110</v>
      </c>
      <c r="D1776" s="5">
        <v>44913</v>
      </c>
    </row>
    <row r="1777" spans="2:4">
      <c r="B1777" s="6" t="s">
        <v>177</v>
      </c>
      <c r="C1777" s="6" t="s">
        <v>204</v>
      </c>
      <c r="D1777" s="5">
        <v>44913</v>
      </c>
    </row>
    <row r="1778" spans="2:4">
      <c r="B1778" s="6" t="s">
        <v>104</v>
      </c>
      <c r="C1778" s="6" t="s">
        <v>186</v>
      </c>
      <c r="D1778" s="5">
        <v>44913</v>
      </c>
    </row>
    <row r="1779" spans="2:4">
      <c r="B1779" s="6" t="s">
        <v>233</v>
      </c>
      <c r="C1779" s="6" t="s">
        <v>412</v>
      </c>
      <c r="D1779" s="5">
        <v>44913</v>
      </c>
    </row>
    <row r="1780" spans="2:4">
      <c r="B1780" s="6" t="s">
        <v>259</v>
      </c>
      <c r="C1780" s="6" t="s">
        <v>124</v>
      </c>
      <c r="D1780" s="5">
        <v>44913</v>
      </c>
    </row>
    <row r="1781" spans="2:4">
      <c r="B1781" s="6" t="s">
        <v>350</v>
      </c>
      <c r="C1781" s="6" t="s">
        <v>215</v>
      </c>
      <c r="D1781" s="5">
        <v>44913</v>
      </c>
    </row>
    <row r="1782" spans="2:4">
      <c r="B1782" s="6" t="s">
        <v>244</v>
      </c>
      <c r="C1782" s="6" t="s">
        <v>216</v>
      </c>
      <c r="D1782" s="5">
        <v>44913</v>
      </c>
    </row>
    <row r="1783" spans="2:4">
      <c r="B1783" s="6" t="s">
        <v>310</v>
      </c>
      <c r="C1783" s="6" t="s">
        <v>268</v>
      </c>
      <c r="D1783" s="5">
        <v>44913</v>
      </c>
    </row>
    <row r="1784" spans="2:4">
      <c r="B1784" s="6" t="s">
        <v>779</v>
      </c>
      <c r="C1784" s="6" t="s">
        <v>324</v>
      </c>
      <c r="D1784" s="5">
        <v>44913</v>
      </c>
    </row>
    <row r="1785" spans="2:4">
      <c r="B1785" s="6" t="s">
        <v>247</v>
      </c>
      <c r="C1785" s="6" t="s">
        <v>422</v>
      </c>
      <c r="D1785" s="5">
        <v>44913</v>
      </c>
    </row>
    <row r="1786" spans="2:4">
      <c r="B1786" s="6" t="s">
        <v>267</v>
      </c>
      <c r="C1786" s="6" t="s">
        <v>487</v>
      </c>
      <c r="D1786" s="5">
        <v>44913</v>
      </c>
    </row>
    <row r="1787" spans="2:4">
      <c r="B1787" s="6" t="s">
        <v>316</v>
      </c>
      <c r="C1787" s="6" t="s">
        <v>342</v>
      </c>
      <c r="D1787" s="5">
        <v>44913</v>
      </c>
    </row>
    <row r="1788" spans="2:4">
      <c r="B1788" s="6" t="s">
        <v>198</v>
      </c>
      <c r="C1788" s="6" t="s">
        <v>388</v>
      </c>
      <c r="D1788" s="5">
        <v>44913</v>
      </c>
    </row>
    <row r="1789" spans="2:4">
      <c r="B1789" s="6" t="s">
        <v>370</v>
      </c>
      <c r="C1789" s="6" t="s">
        <v>691</v>
      </c>
      <c r="D1789" s="5">
        <v>44913</v>
      </c>
    </row>
    <row r="1790" spans="2:4">
      <c r="B1790" s="6" t="s">
        <v>162</v>
      </c>
      <c r="C1790" s="6" t="s">
        <v>101</v>
      </c>
      <c r="D1790" s="5">
        <v>44913</v>
      </c>
    </row>
    <row r="1791" spans="2:4">
      <c r="B1791" s="6" t="s">
        <v>409</v>
      </c>
      <c r="C1791" s="6" t="s">
        <v>405</v>
      </c>
      <c r="D1791" s="5">
        <v>44913</v>
      </c>
    </row>
    <row r="1792" spans="2:4">
      <c r="B1792" s="6" t="s">
        <v>368</v>
      </c>
      <c r="C1792" s="6" t="s">
        <v>232</v>
      </c>
      <c r="D1792" s="5">
        <v>44913</v>
      </c>
    </row>
    <row r="1793" spans="2:4">
      <c r="B1793" s="6" t="s">
        <v>195</v>
      </c>
      <c r="C1793" s="6" t="s">
        <v>181</v>
      </c>
      <c r="D1793" s="5">
        <v>44913</v>
      </c>
    </row>
    <row r="1794" spans="2:4">
      <c r="B1794" s="6" t="s">
        <v>249</v>
      </c>
      <c r="C1794" s="6" t="s">
        <v>179</v>
      </c>
      <c r="D1794" s="5">
        <v>44913</v>
      </c>
    </row>
    <row r="1795" spans="2:4">
      <c r="B1795" s="6" t="s">
        <v>34</v>
      </c>
      <c r="C1795" s="6" t="s">
        <v>303</v>
      </c>
      <c r="D1795" s="5">
        <v>44913</v>
      </c>
    </row>
    <row r="1796" spans="2:4">
      <c r="B1796" s="6" t="s">
        <v>180</v>
      </c>
      <c r="C1796" s="6" t="s">
        <v>692</v>
      </c>
      <c r="D1796" s="5">
        <v>44913</v>
      </c>
    </row>
    <row r="1797" spans="2:4">
      <c r="B1797" s="6" t="s">
        <v>396</v>
      </c>
      <c r="C1797" s="6" t="s">
        <v>397</v>
      </c>
      <c r="D1797" s="5">
        <v>44913</v>
      </c>
    </row>
    <row r="1798" spans="2:4">
      <c r="B1798" s="6" t="s">
        <v>72</v>
      </c>
      <c r="C1798" s="6" t="s">
        <v>426</v>
      </c>
      <c r="D1798" s="5">
        <v>44913</v>
      </c>
    </row>
    <row r="1799" spans="2:4">
      <c r="B1799" s="6" t="s">
        <v>160</v>
      </c>
      <c r="C1799" s="6" t="s">
        <v>164</v>
      </c>
      <c r="D1799" s="5">
        <v>44913</v>
      </c>
    </row>
    <row r="1800" spans="2:4">
      <c r="B1800" s="6" t="s">
        <v>32</v>
      </c>
      <c r="C1800" s="6" t="s">
        <v>203</v>
      </c>
      <c r="D1800" s="5">
        <v>44913</v>
      </c>
    </row>
    <row r="1801" spans="2:4">
      <c r="B1801" s="6" t="s">
        <v>74</v>
      </c>
      <c r="C1801" s="6" t="s">
        <v>83</v>
      </c>
      <c r="D1801" s="5">
        <v>44913</v>
      </c>
    </row>
    <row r="1802" spans="2:4">
      <c r="B1802" s="6" t="s">
        <v>89</v>
      </c>
      <c r="C1802" s="6" t="s">
        <v>46</v>
      </c>
      <c r="D1802" s="5">
        <v>44913</v>
      </c>
    </row>
    <row r="1803" spans="2:4">
      <c r="B1803" s="6" t="s">
        <v>375</v>
      </c>
      <c r="C1803" s="6" t="s">
        <v>471</v>
      </c>
      <c r="D1803" s="5">
        <v>44913</v>
      </c>
    </row>
    <row r="1804" spans="2:4">
      <c r="B1804" s="6" t="s">
        <v>320</v>
      </c>
      <c r="C1804" s="6" t="s">
        <v>362</v>
      </c>
      <c r="D1804" s="5">
        <v>44913</v>
      </c>
    </row>
    <row r="1805" spans="2:4">
      <c r="B1805" s="6" t="s">
        <v>424</v>
      </c>
      <c r="C1805" s="6" t="s">
        <v>156</v>
      </c>
      <c r="D1805" s="5">
        <v>44913</v>
      </c>
    </row>
    <row r="1806" spans="2:4">
      <c r="B1806" s="6" t="s">
        <v>189</v>
      </c>
      <c r="C1806" s="6" t="s">
        <v>285</v>
      </c>
      <c r="D1806" s="5">
        <v>44913</v>
      </c>
    </row>
    <row r="1807" spans="2:4">
      <c r="B1807" s="6" t="s">
        <v>344</v>
      </c>
      <c r="C1807" s="6" t="s">
        <v>584</v>
      </c>
      <c r="D1807" s="5">
        <v>44913</v>
      </c>
    </row>
    <row r="1808" spans="2:4">
      <c r="B1808" s="6" t="s">
        <v>719</v>
      </c>
      <c r="C1808" s="6" t="s">
        <v>166</v>
      </c>
      <c r="D1808" s="5">
        <v>44913</v>
      </c>
    </row>
    <row r="1809" spans="2:4">
      <c r="B1809" s="6" t="s">
        <v>398</v>
      </c>
      <c r="C1809" s="6" t="s">
        <v>386</v>
      </c>
      <c r="D1809" s="5">
        <v>44913</v>
      </c>
    </row>
    <row r="1810" spans="2:4">
      <c r="B1810" s="6" t="s">
        <v>28</v>
      </c>
      <c r="C1810" s="6" t="s">
        <v>804</v>
      </c>
      <c r="D1810" s="5">
        <v>44913</v>
      </c>
    </row>
    <row r="1811" spans="2:4">
      <c r="B1811" s="6" t="s">
        <v>159</v>
      </c>
      <c r="C1811" s="6" t="s">
        <v>693</v>
      </c>
      <c r="D1811" s="5">
        <v>44913</v>
      </c>
    </row>
    <row r="1812" spans="2:4">
      <c r="B1812" s="6" t="s">
        <v>288</v>
      </c>
      <c r="C1812" s="6" t="s">
        <v>694</v>
      </c>
      <c r="D1812" s="5">
        <v>44914</v>
      </c>
    </row>
    <row r="1813" spans="2:4">
      <c r="B1813" s="6" t="s">
        <v>425</v>
      </c>
      <c r="C1813" s="6" t="s">
        <v>235</v>
      </c>
      <c r="D1813" s="5">
        <v>44914</v>
      </c>
    </row>
    <row r="1814" spans="2:4">
      <c r="B1814" s="6" t="s">
        <v>172</v>
      </c>
      <c r="C1814" s="6" t="s">
        <v>615</v>
      </c>
      <c r="D1814" s="5">
        <v>44914</v>
      </c>
    </row>
    <row r="1815" spans="2:4">
      <c r="B1815" s="6" t="s">
        <v>354</v>
      </c>
      <c r="C1815" s="6" t="s">
        <v>695</v>
      </c>
      <c r="D1815" s="5">
        <v>44914</v>
      </c>
    </row>
    <row r="1816" spans="2:4">
      <c r="B1816" s="6" t="s">
        <v>193</v>
      </c>
      <c r="C1816" s="6" t="s">
        <v>696</v>
      </c>
      <c r="D1816" s="5">
        <v>44914</v>
      </c>
    </row>
    <row r="1817" spans="2:4">
      <c r="B1817" s="6" t="s">
        <v>117</v>
      </c>
      <c r="C1817" s="6" t="s">
        <v>118</v>
      </c>
      <c r="D1817" s="5">
        <v>44914</v>
      </c>
    </row>
    <row r="1818" spans="2:4">
      <c r="B1818" s="6" t="s">
        <v>192</v>
      </c>
      <c r="C1818" s="6" t="s">
        <v>528</v>
      </c>
      <c r="D1818" s="5">
        <v>44914</v>
      </c>
    </row>
    <row r="1819" spans="2:4">
      <c r="B1819" s="6" t="s">
        <v>105</v>
      </c>
      <c r="C1819" s="6" t="s">
        <v>174</v>
      </c>
      <c r="D1819" s="5">
        <v>44914</v>
      </c>
    </row>
    <row r="1820" spans="2:4">
      <c r="B1820" s="6" t="s">
        <v>253</v>
      </c>
      <c r="C1820" s="6" t="s">
        <v>131</v>
      </c>
      <c r="D1820" s="5">
        <v>44914</v>
      </c>
    </row>
    <row r="1821" spans="2:4">
      <c r="B1821" s="6" t="s">
        <v>231</v>
      </c>
      <c r="C1821" s="6" t="s">
        <v>178</v>
      </c>
      <c r="D1821" s="5">
        <v>44914</v>
      </c>
    </row>
    <row r="1822" spans="2:4">
      <c r="B1822" s="6" t="s">
        <v>296</v>
      </c>
      <c r="C1822" s="6" t="s">
        <v>588</v>
      </c>
      <c r="D1822" s="5">
        <v>44914</v>
      </c>
    </row>
    <row r="1823" spans="2:4">
      <c r="B1823" s="6" t="s">
        <v>250</v>
      </c>
      <c r="C1823" s="6" t="s">
        <v>549</v>
      </c>
      <c r="D1823" s="5">
        <v>44914</v>
      </c>
    </row>
    <row r="1824" spans="2:4">
      <c r="B1824" s="6" t="s">
        <v>130</v>
      </c>
      <c r="C1824" s="6" t="s">
        <v>252</v>
      </c>
      <c r="D1824" s="5">
        <v>44914</v>
      </c>
    </row>
    <row r="1825" spans="2:4">
      <c r="B1825" s="6" t="s">
        <v>334</v>
      </c>
      <c r="C1825" s="6" t="s">
        <v>336</v>
      </c>
      <c r="D1825" s="5">
        <v>44914</v>
      </c>
    </row>
    <row r="1826" spans="2:4">
      <c r="B1826" s="6" t="s">
        <v>361</v>
      </c>
      <c r="C1826" s="6" t="s">
        <v>230</v>
      </c>
      <c r="D1826" s="5">
        <v>44914</v>
      </c>
    </row>
    <row r="1827" spans="2:4">
      <c r="B1827" s="6" t="s">
        <v>201</v>
      </c>
      <c r="C1827" s="6" t="s">
        <v>382</v>
      </c>
      <c r="D1827" s="5">
        <v>44914</v>
      </c>
    </row>
    <row r="1828" spans="2:4">
      <c r="B1828" s="6" t="s">
        <v>111</v>
      </c>
      <c r="C1828" s="6" t="s">
        <v>697</v>
      </c>
      <c r="D1828" s="5">
        <v>44914</v>
      </c>
    </row>
    <row r="1829" spans="2:4">
      <c r="B1829" s="6" t="s">
        <v>330</v>
      </c>
      <c r="C1829" s="6" t="s">
        <v>359</v>
      </c>
      <c r="D1829" s="5">
        <v>44914</v>
      </c>
    </row>
    <row r="1830" spans="2:4">
      <c r="B1830" s="6" t="s">
        <v>290</v>
      </c>
      <c r="C1830" s="6" t="s">
        <v>563</v>
      </c>
      <c r="D1830" s="5">
        <v>44914</v>
      </c>
    </row>
    <row r="1831" spans="2:4">
      <c r="B1831" s="6" t="s">
        <v>294</v>
      </c>
      <c r="C1831" s="6" t="s">
        <v>432</v>
      </c>
      <c r="D1831" s="5">
        <v>44914</v>
      </c>
    </row>
    <row r="1832" spans="2:4">
      <c r="B1832" s="6" t="s">
        <v>306</v>
      </c>
      <c r="C1832" s="6" t="s">
        <v>307</v>
      </c>
      <c r="D1832" s="5">
        <v>44914</v>
      </c>
    </row>
    <row r="1833" spans="2:4">
      <c r="B1833" s="6" t="s">
        <v>326</v>
      </c>
      <c r="C1833" s="6" t="s">
        <v>347</v>
      </c>
      <c r="D1833" s="5">
        <v>44914</v>
      </c>
    </row>
    <row r="1834" spans="2:4">
      <c r="B1834" s="6" t="s">
        <v>134</v>
      </c>
      <c r="C1834" s="6" t="s">
        <v>537</v>
      </c>
      <c r="D1834" s="5">
        <v>44914</v>
      </c>
    </row>
    <row r="1835" spans="2:4">
      <c r="B1835" s="6" t="s">
        <v>367</v>
      </c>
      <c r="C1835" s="6" t="s">
        <v>314</v>
      </c>
      <c r="D1835" s="5">
        <v>44914</v>
      </c>
    </row>
    <row r="1836" spans="2:4">
      <c r="B1836" s="6" t="s">
        <v>119</v>
      </c>
      <c r="C1836" s="6" t="s">
        <v>590</v>
      </c>
      <c r="D1836" s="5">
        <v>44914</v>
      </c>
    </row>
    <row r="1837" spans="2:4">
      <c r="B1837" s="6" t="s">
        <v>143</v>
      </c>
      <c r="C1837" s="6" t="s">
        <v>459</v>
      </c>
      <c r="D1837" s="5">
        <v>44914</v>
      </c>
    </row>
    <row r="1838" spans="2:4">
      <c r="B1838" s="6" t="s">
        <v>348</v>
      </c>
      <c r="C1838" s="6" t="s">
        <v>196</v>
      </c>
      <c r="D1838" s="5">
        <v>44914</v>
      </c>
    </row>
    <row r="1839" spans="2:4">
      <c r="B1839" s="6" t="s">
        <v>184</v>
      </c>
      <c r="C1839" s="6" t="s">
        <v>385</v>
      </c>
      <c r="D1839" s="5">
        <v>44914</v>
      </c>
    </row>
    <row r="1840" spans="2:4">
      <c r="B1840" s="6" t="s">
        <v>331</v>
      </c>
      <c r="C1840" s="6" t="s">
        <v>208</v>
      </c>
      <c r="D1840" s="5">
        <v>44914</v>
      </c>
    </row>
    <row r="1841" spans="2:4">
      <c r="B1841" s="6" t="s">
        <v>357</v>
      </c>
      <c r="C1841" s="6" t="s">
        <v>151</v>
      </c>
      <c r="D1841" s="5">
        <v>44914</v>
      </c>
    </row>
    <row r="1842" spans="2:4">
      <c r="B1842" s="6" t="s">
        <v>607</v>
      </c>
      <c r="C1842" s="6" t="s">
        <v>553</v>
      </c>
      <c r="D1842" s="5">
        <v>44914</v>
      </c>
    </row>
    <row r="1843" spans="2:4">
      <c r="B1843" s="6" t="s">
        <v>168</v>
      </c>
      <c r="C1843" s="6" t="s">
        <v>206</v>
      </c>
      <c r="D1843" s="5">
        <v>44914</v>
      </c>
    </row>
    <row r="1844" spans="2:4">
      <c r="B1844" s="6" t="s">
        <v>621</v>
      </c>
      <c r="C1844" s="6" t="s">
        <v>472</v>
      </c>
      <c r="D1844" s="5">
        <v>44914</v>
      </c>
    </row>
    <row r="1845" spans="2:4">
      <c r="B1845" s="6" t="s">
        <v>404</v>
      </c>
      <c r="C1845" s="6" t="s">
        <v>323</v>
      </c>
      <c r="D1845" s="5">
        <v>44914</v>
      </c>
    </row>
    <row r="1846" spans="2:4">
      <c r="B1846" s="6" t="s">
        <v>599</v>
      </c>
      <c r="C1846" s="6" t="s">
        <v>158</v>
      </c>
      <c r="D1846" s="5">
        <v>44914</v>
      </c>
    </row>
    <row r="1847" spans="2:4">
      <c r="B1847" s="6" t="s">
        <v>420</v>
      </c>
      <c r="C1847" s="6" t="s">
        <v>446</v>
      </c>
      <c r="D1847" s="5">
        <v>44914</v>
      </c>
    </row>
    <row r="1848" spans="2:4">
      <c r="B1848" s="6" t="s">
        <v>214</v>
      </c>
      <c r="C1848" s="6" t="s">
        <v>156</v>
      </c>
      <c r="D1848" s="5">
        <v>44915</v>
      </c>
    </row>
    <row r="1849" spans="2:4">
      <c r="B1849" s="6" t="s">
        <v>333</v>
      </c>
      <c r="C1849" s="6" t="s">
        <v>120</v>
      </c>
      <c r="D1849" s="5">
        <v>44915</v>
      </c>
    </row>
    <row r="1850" spans="2:4">
      <c r="B1850" s="6" t="s">
        <v>395</v>
      </c>
      <c r="C1850" s="6" t="s">
        <v>276</v>
      </c>
      <c r="D1850" s="5">
        <v>44915</v>
      </c>
    </row>
    <row r="1851" spans="2:4">
      <c r="B1851" s="6" t="s">
        <v>287</v>
      </c>
      <c r="C1851" s="6" t="s">
        <v>541</v>
      </c>
      <c r="D1851" s="5">
        <v>44915</v>
      </c>
    </row>
    <row r="1852" spans="2:4">
      <c r="B1852" s="6" t="s">
        <v>205</v>
      </c>
      <c r="C1852" s="6" t="s">
        <v>140</v>
      </c>
      <c r="D1852" s="5">
        <v>44915</v>
      </c>
    </row>
    <row r="1853" spans="2:4">
      <c r="B1853" s="6" t="s">
        <v>400</v>
      </c>
      <c r="C1853" s="6" t="s">
        <v>215</v>
      </c>
      <c r="D1853" s="5">
        <v>44915</v>
      </c>
    </row>
    <row r="1854" spans="2:4">
      <c r="B1854" s="6" t="s">
        <v>91</v>
      </c>
      <c r="C1854" s="6" t="s">
        <v>103</v>
      </c>
      <c r="D1854" s="5">
        <v>44915</v>
      </c>
    </row>
    <row r="1855" spans="2:4">
      <c r="B1855" s="6" t="s">
        <v>309</v>
      </c>
      <c r="C1855" s="6" t="s">
        <v>243</v>
      </c>
      <c r="D1855" s="5">
        <v>44915</v>
      </c>
    </row>
    <row r="1856" spans="2:4">
      <c r="B1856" s="6" t="s">
        <v>778</v>
      </c>
      <c r="C1856" s="6" t="s">
        <v>640</v>
      </c>
      <c r="D1856" s="5">
        <v>44915</v>
      </c>
    </row>
    <row r="1857" spans="2:4">
      <c r="B1857" s="6" t="s">
        <v>762</v>
      </c>
      <c r="C1857" s="6" t="s">
        <v>173</v>
      </c>
      <c r="D1857" s="5">
        <v>44915</v>
      </c>
    </row>
    <row r="1858" spans="2:4">
      <c r="B1858" s="6" t="s">
        <v>172</v>
      </c>
      <c r="C1858" s="6" t="s">
        <v>588</v>
      </c>
      <c r="D1858" s="5">
        <v>44915</v>
      </c>
    </row>
    <row r="1859" spans="2:4">
      <c r="B1859" s="6" t="s">
        <v>125</v>
      </c>
      <c r="C1859" s="6" t="s">
        <v>114</v>
      </c>
      <c r="D1859" s="5">
        <v>44915</v>
      </c>
    </row>
    <row r="1860" spans="2:4">
      <c r="B1860" s="6" t="s">
        <v>763</v>
      </c>
      <c r="C1860" s="6" t="s">
        <v>363</v>
      </c>
      <c r="D1860" s="5">
        <v>44915</v>
      </c>
    </row>
    <row r="1861" spans="2:4">
      <c r="B1861" s="6" t="s">
        <v>415</v>
      </c>
      <c r="C1861" s="6" t="s">
        <v>646</v>
      </c>
      <c r="D1861" s="5">
        <v>44915</v>
      </c>
    </row>
    <row r="1862" spans="2:4">
      <c r="B1862" s="6" t="s">
        <v>264</v>
      </c>
      <c r="C1862" s="6" t="s">
        <v>98</v>
      </c>
      <c r="D1862" s="5">
        <v>44915</v>
      </c>
    </row>
    <row r="1863" spans="2:4">
      <c r="B1863" s="6" t="s">
        <v>43</v>
      </c>
      <c r="C1863" s="6" t="s">
        <v>128</v>
      </c>
      <c r="D1863" s="5">
        <v>44915</v>
      </c>
    </row>
    <row r="1864" spans="2:4">
      <c r="B1864" s="6" t="s">
        <v>53</v>
      </c>
      <c r="C1864" s="6" t="s">
        <v>44</v>
      </c>
      <c r="D1864" s="5">
        <v>44915</v>
      </c>
    </row>
    <row r="1865" spans="2:4">
      <c r="B1865" s="6" t="s">
        <v>393</v>
      </c>
      <c r="C1865" s="6" t="s">
        <v>685</v>
      </c>
      <c r="D1865" s="5">
        <v>44915</v>
      </c>
    </row>
    <row r="1866" spans="2:4">
      <c r="B1866" s="6" t="s">
        <v>732</v>
      </c>
      <c r="C1866" s="6" t="s">
        <v>41</v>
      </c>
      <c r="D1866" s="5">
        <v>44915</v>
      </c>
    </row>
    <row r="1867" spans="2:4">
      <c r="B1867" s="6" t="s">
        <v>62</v>
      </c>
      <c r="C1867" s="6" t="s">
        <v>129</v>
      </c>
      <c r="D1867" s="5">
        <v>44915</v>
      </c>
    </row>
    <row r="1868" spans="2:4">
      <c r="B1868" s="6" t="s">
        <v>82</v>
      </c>
      <c r="C1868" s="6" t="s">
        <v>364</v>
      </c>
      <c r="D1868" s="5">
        <v>44915</v>
      </c>
    </row>
    <row r="1869" spans="2:4">
      <c r="B1869" s="6" t="s">
        <v>277</v>
      </c>
      <c r="C1869" s="6" t="s">
        <v>282</v>
      </c>
      <c r="D1869" s="5">
        <v>44915</v>
      </c>
    </row>
    <row r="1870" spans="2:4">
      <c r="B1870" s="6" t="s">
        <v>304</v>
      </c>
      <c r="C1870" s="6" t="s">
        <v>455</v>
      </c>
      <c r="D1870" s="5">
        <v>44915</v>
      </c>
    </row>
    <row r="1871" spans="2:4">
      <c r="B1871" s="6" t="s">
        <v>145</v>
      </c>
      <c r="C1871" s="6" t="s">
        <v>335</v>
      </c>
      <c r="D1871" s="5">
        <v>44915</v>
      </c>
    </row>
    <row r="1872" spans="2:4">
      <c r="B1872" s="6" t="s">
        <v>356</v>
      </c>
      <c r="C1872" s="6" t="s">
        <v>273</v>
      </c>
      <c r="D1872" s="5">
        <v>44915</v>
      </c>
    </row>
    <row r="1873" spans="2:4">
      <c r="B1873" s="6" t="s">
        <v>296</v>
      </c>
      <c r="C1873" s="6" t="s">
        <v>615</v>
      </c>
      <c r="D1873" s="5">
        <v>44915</v>
      </c>
    </row>
    <row r="1874" spans="2:4">
      <c r="B1874" s="6" t="s">
        <v>246</v>
      </c>
      <c r="C1874" s="6" t="s">
        <v>148</v>
      </c>
      <c r="D1874" s="5">
        <v>44915</v>
      </c>
    </row>
    <row r="1875" spans="2:4">
      <c r="B1875" s="6" t="s">
        <v>300</v>
      </c>
      <c r="C1875" s="6" t="s">
        <v>351</v>
      </c>
      <c r="D1875" s="5">
        <v>44915</v>
      </c>
    </row>
    <row r="1876" spans="2:4">
      <c r="B1876" s="6" t="s">
        <v>40</v>
      </c>
      <c r="C1876" s="6" t="s">
        <v>37</v>
      </c>
      <c r="D1876" s="5">
        <v>44915</v>
      </c>
    </row>
    <row r="1877" spans="2:4">
      <c r="B1877" s="6" t="s">
        <v>240</v>
      </c>
      <c r="C1877" s="6" t="s">
        <v>355</v>
      </c>
      <c r="D1877" s="5">
        <v>44915</v>
      </c>
    </row>
    <row r="1878" spans="2:4">
      <c r="B1878" s="6" t="s">
        <v>67</v>
      </c>
      <c r="C1878" s="6" t="s">
        <v>610</v>
      </c>
      <c r="D1878" s="5">
        <v>44915</v>
      </c>
    </row>
    <row r="1879" spans="2:4">
      <c r="B1879" s="6" t="s">
        <v>28</v>
      </c>
      <c r="C1879" s="6" t="s">
        <v>343</v>
      </c>
      <c r="D1879" s="5">
        <v>44915</v>
      </c>
    </row>
    <row r="1880" spans="2:4">
      <c r="B1880" s="6" t="s">
        <v>94</v>
      </c>
      <c r="C1880" s="6" t="s">
        <v>427</v>
      </c>
      <c r="D1880" s="5">
        <v>44915</v>
      </c>
    </row>
    <row r="1881" spans="2:4">
      <c r="B1881" s="6" t="s">
        <v>426</v>
      </c>
      <c r="C1881" s="6" t="s">
        <v>198</v>
      </c>
      <c r="D1881" s="5">
        <v>44915</v>
      </c>
    </row>
    <row r="1882" spans="2:4">
      <c r="B1882" s="6" t="s">
        <v>70</v>
      </c>
      <c r="C1882" s="6" t="s">
        <v>391</v>
      </c>
      <c r="D1882" s="5">
        <v>44915</v>
      </c>
    </row>
    <row r="1883" spans="2:4">
      <c r="B1883" s="6" t="s">
        <v>48</v>
      </c>
      <c r="C1883" s="6" t="s">
        <v>188</v>
      </c>
      <c r="D1883" s="5">
        <v>44915</v>
      </c>
    </row>
    <row r="1884" spans="2:4">
      <c r="B1884" s="6" t="s">
        <v>39</v>
      </c>
      <c r="C1884" s="6" t="s">
        <v>36</v>
      </c>
      <c r="D1884" s="5">
        <v>44915</v>
      </c>
    </row>
    <row r="1885" spans="2:4">
      <c r="B1885" s="6" t="s">
        <v>132</v>
      </c>
      <c r="C1885" s="6" t="s">
        <v>190</v>
      </c>
      <c r="D1885" s="5">
        <v>44915</v>
      </c>
    </row>
    <row r="1886" spans="2:4">
      <c r="B1886" s="6" t="s">
        <v>189</v>
      </c>
      <c r="C1886" s="6" t="s">
        <v>399</v>
      </c>
      <c r="D1886" s="5">
        <v>44915</v>
      </c>
    </row>
    <row r="1887" spans="2:4">
      <c r="B1887" s="6" t="s">
        <v>381</v>
      </c>
      <c r="C1887" s="6" t="s">
        <v>153</v>
      </c>
      <c r="D1887" s="5">
        <v>44915</v>
      </c>
    </row>
    <row r="1888" spans="2:4">
      <c r="B1888" s="6" t="s">
        <v>157</v>
      </c>
      <c r="C1888" s="6" t="s">
        <v>603</v>
      </c>
      <c r="D1888" s="5">
        <v>44915</v>
      </c>
    </row>
    <row r="1889" spans="2:4">
      <c r="B1889" s="6" t="s">
        <v>47</v>
      </c>
      <c r="C1889" s="6" t="s">
        <v>49</v>
      </c>
      <c r="D1889" s="5">
        <v>44915</v>
      </c>
    </row>
    <row r="1890" spans="2:4">
      <c r="B1890" s="6" t="s">
        <v>68</v>
      </c>
      <c r="C1890" s="6" t="s">
        <v>280</v>
      </c>
      <c r="D1890" s="5">
        <v>44915</v>
      </c>
    </row>
    <row r="1891" spans="2:4">
      <c r="B1891" s="6" t="s">
        <v>29</v>
      </c>
      <c r="C1891" s="6" t="s">
        <v>79</v>
      </c>
      <c r="D1891" s="5">
        <v>44915</v>
      </c>
    </row>
    <row r="1892" spans="2:4">
      <c r="B1892" s="6" t="s">
        <v>586</v>
      </c>
      <c r="C1892" s="6" t="s">
        <v>394</v>
      </c>
      <c r="D1892" s="5">
        <v>44915</v>
      </c>
    </row>
    <row r="1893" spans="2:4">
      <c r="B1893" s="6" t="s">
        <v>433</v>
      </c>
      <c r="C1893" s="6" t="s">
        <v>207</v>
      </c>
      <c r="D1893" s="5">
        <v>44915</v>
      </c>
    </row>
    <row r="1894" spans="2:4">
      <c r="B1894" s="6" t="s">
        <v>154</v>
      </c>
      <c r="C1894" s="6" t="s">
        <v>166</v>
      </c>
      <c r="D1894" s="5">
        <v>44915</v>
      </c>
    </row>
    <row r="1895" spans="2:4">
      <c r="B1895" s="6" t="s">
        <v>167</v>
      </c>
      <c r="C1895" s="6" t="s">
        <v>108</v>
      </c>
      <c r="D1895" s="5">
        <v>44915</v>
      </c>
    </row>
    <row r="1896" spans="2:4">
      <c r="B1896" s="6" t="s">
        <v>392</v>
      </c>
      <c r="C1896" s="6" t="s">
        <v>236</v>
      </c>
      <c r="D1896" s="5">
        <v>44915</v>
      </c>
    </row>
    <row r="1897" spans="2:4">
      <c r="B1897" s="6" t="s">
        <v>69</v>
      </c>
      <c r="C1897" s="6" t="s">
        <v>383</v>
      </c>
      <c r="D1897" s="5">
        <v>44915</v>
      </c>
    </row>
    <row r="1898" spans="2:4">
      <c r="B1898" s="6" t="s">
        <v>275</v>
      </c>
      <c r="C1898" s="6" t="s">
        <v>110</v>
      </c>
      <c r="D1898" s="5">
        <v>44916</v>
      </c>
    </row>
    <row r="1899" spans="2:4">
      <c r="B1899" s="6" t="s">
        <v>96</v>
      </c>
      <c r="C1899" s="6" t="s">
        <v>233</v>
      </c>
      <c r="D1899" s="5">
        <v>44916</v>
      </c>
    </row>
    <row r="1900" spans="2:4">
      <c r="B1900" s="6" t="s">
        <v>376</v>
      </c>
      <c r="C1900" s="6" t="s">
        <v>268</v>
      </c>
      <c r="D1900" s="5">
        <v>44916</v>
      </c>
    </row>
    <row r="1901" spans="2:4">
      <c r="B1901" s="6" t="s">
        <v>305</v>
      </c>
      <c r="C1901" s="6" t="s">
        <v>522</v>
      </c>
      <c r="D1901" s="5">
        <v>44916</v>
      </c>
    </row>
    <row r="1902" spans="2:4">
      <c r="B1902" s="6" t="s">
        <v>259</v>
      </c>
      <c r="C1902" s="6" t="s">
        <v>541</v>
      </c>
      <c r="D1902" s="5">
        <v>44916</v>
      </c>
    </row>
    <row r="1903" spans="2:4">
      <c r="B1903" s="6" t="s">
        <v>201</v>
      </c>
      <c r="C1903" s="6" t="s">
        <v>258</v>
      </c>
      <c r="D1903" s="5">
        <v>44916</v>
      </c>
    </row>
    <row r="1904" spans="2:4">
      <c r="B1904" s="6" t="s">
        <v>414</v>
      </c>
      <c r="C1904" s="6" t="s">
        <v>698</v>
      </c>
      <c r="D1904" s="5">
        <v>44916</v>
      </c>
    </row>
    <row r="1905" spans="2:4">
      <c r="B1905" s="6" t="s">
        <v>373</v>
      </c>
      <c r="C1905" s="6" t="s">
        <v>459</v>
      </c>
      <c r="D1905" s="5">
        <v>44916</v>
      </c>
    </row>
    <row r="1906" spans="2:4">
      <c r="B1906" s="6" t="s">
        <v>139</v>
      </c>
      <c r="C1906" s="6" t="s">
        <v>590</v>
      </c>
      <c r="D1906" s="5">
        <v>44916</v>
      </c>
    </row>
    <row r="1907" spans="2:4">
      <c r="B1907" s="6" t="s">
        <v>199</v>
      </c>
      <c r="C1907" s="6" t="s">
        <v>272</v>
      </c>
      <c r="D1907" s="5">
        <v>44916</v>
      </c>
    </row>
    <row r="1908" spans="2:4">
      <c r="B1908" s="6" t="s">
        <v>27</v>
      </c>
      <c r="C1908" s="6" t="s">
        <v>584</v>
      </c>
      <c r="D1908" s="5">
        <v>44916</v>
      </c>
    </row>
    <row r="1909" spans="2:4">
      <c r="B1909" s="6" t="s">
        <v>413</v>
      </c>
      <c r="C1909" s="6" t="s">
        <v>438</v>
      </c>
      <c r="D1909" s="5">
        <v>44916</v>
      </c>
    </row>
    <row r="1910" spans="2:4">
      <c r="B1910" s="6" t="s">
        <v>298</v>
      </c>
      <c r="C1910" s="6" t="s">
        <v>327</v>
      </c>
      <c r="D1910" s="5">
        <v>44916</v>
      </c>
    </row>
    <row r="1911" spans="2:4">
      <c r="B1911" s="6" t="s">
        <v>284</v>
      </c>
      <c r="C1911" s="6" t="s">
        <v>191</v>
      </c>
      <c r="D1911" s="5">
        <v>44916</v>
      </c>
    </row>
    <row r="1912" spans="2:4">
      <c r="B1912" s="6" t="s">
        <v>750</v>
      </c>
      <c r="C1912" s="6" t="s">
        <v>202</v>
      </c>
      <c r="D1912" s="5">
        <v>44916</v>
      </c>
    </row>
    <row r="1913" spans="2:4">
      <c r="B1913" s="6" t="s">
        <v>150</v>
      </c>
      <c r="C1913" s="6" t="s">
        <v>699</v>
      </c>
      <c r="D1913" s="5">
        <v>44916</v>
      </c>
    </row>
    <row r="1914" spans="2:4">
      <c r="B1914" s="6" t="s">
        <v>89</v>
      </c>
      <c r="C1914" s="6" t="s">
        <v>104</v>
      </c>
      <c r="D1914" s="5">
        <v>44916</v>
      </c>
    </row>
    <row r="1915" spans="2:4">
      <c r="B1915" s="6" t="s">
        <v>269</v>
      </c>
      <c r="C1915" s="6" t="s">
        <v>278</v>
      </c>
      <c r="D1915" s="5">
        <v>44916</v>
      </c>
    </row>
    <row r="1916" spans="2:4">
      <c r="B1916" s="6" t="s">
        <v>136</v>
      </c>
      <c r="C1916" s="6" t="s">
        <v>281</v>
      </c>
      <c r="D1916" s="5">
        <v>44916</v>
      </c>
    </row>
    <row r="1917" spans="2:4">
      <c r="B1917" s="6" t="s">
        <v>75</v>
      </c>
      <c r="C1917" s="6" t="s">
        <v>141</v>
      </c>
      <c r="D1917" s="5">
        <v>44916</v>
      </c>
    </row>
    <row r="1918" spans="2:4">
      <c r="B1918" s="6" t="s">
        <v>30</v>
      </c>
      <c r="C1918" s="6" t="s">
        <v>365</v>
      </c>
      <c r="D1918" s="5">
        <v>44916</v>
      </c>
    </row>
    <row r="1919" spans="2:4">
      <c r="B1919" s="6" t="s">
        <v>169</v>
      </c>
      <c r="C1919" s="6" t="s">
        <v>310</v>
      </c>
      <c r="D1919" s="5">
        <v>44916</v>
      </c>
    </row>
    <row r="1920" spans="2:4">
      <c r="B1920" s="6" t="s">
        <v>86</v>
      </c>
      <c r="C1920" s="6" t="s">
        <v>147</v>
      </c>
      <c r="D1920" s="5">
        <v>44916</v>
      </c>
    </row>
    <row r="1921" spans="2:4">
      <c r="B1921" s="6" t="s">
        <v>286</v>
      </c>
      <c r="C1921" s="6" t="s">
        <v>423</v>
      </c>
      <c r="D1921" s="5">
        <v>44916</v>
      </c>
    </row>
    <row r="1922" spans="2:4">
      <c r="B1922" s="6" t="s">
        <v>35</v>
      </c>
      <c r="C1922" s="6" t="s">
        <v>302</v>
      </c>
      <c r="D1922" s="5">
        <v>44916</v>
      </c>
    </row>
    <row r="1923" spans="2:4">
      <c r="B1923" s="6" t="s">
        <v>54</v>
      </c>
      <c r="C1923" s="6" t="s">
        <v>52</v>
      </c>
      <c r="D1923" s="5">
        <v>44916</v>
      </c>
    </row>
    <row r="1924" spans="2:4">
      <c r="B1924" s="6" t="s">
        <v>761</v>
      </c>
      <c r="C1924" s="6" t="s">
        <v>101</v>
      </c>
      <c r="D1924" s="5">
        <v>44916</v>
      </c>
    </row>
    <row r="1925" spans="2:4">
      <c r="B1925" s="6" t="s">
        <v>251</v>
      </c>
      <c r="C1925" s="6" t="s">
        <v>59</v>
      </c>
      <c r="D1925" s="5">
        <v>44916</v>
      </c>
    </row>
    <row r="1926" spans="2:4">
      <c r="B1926" s="6" t="s">
        <v>80</v>
      </c>
      <c r="C1926" s="6" t="s">
        <v>170</v>
      </c>
      <c r="D1926" s="5">
        <v>44916</v>
      </c>
    </row>
    <row r="1927" spans="2:4">
      <c r="B1927" s="6" t="s">
        <v>203</v>
      </c>
      <c r="C1927" s="6" t="s">
        <v>700</v>
      </c>
      <c r="D1927" s="5">
        <v>44916</v>
      </c>
    </row>
    <row r="1928" spans="2:4">
      <c r="B1928" s="6" t="s">
        <v>345</v>
      </c>
      <c r="C1928" s="6" t="s">
        <v>543</v>
      </c>
      <c r="D1928" s="5">
        <v>44916</v>
      </c>
    </row>
    <row r="1929" spans="2:4">
      <c r="B1929" s="6" t="s">
        <v>362</v>
      </c>
      <c r="C1929" s="6" t="s">
        <v>418</v>
      </c>
      <c r="D1929" s="5">
        <v>44916</v>
      </c>
    </row>
    <row r="1930" spans="2:4">
      <c r="B1930" s="6" t="s">
        <v>412</v>
      </c>
      <c r="C1930" s="6" t="s">
        <v>338</v>
      </c>
      <c r="D1930" s="5">
        <v>44916</v>
      </c>
    </row>
    <row r="1931" spans="2:4">
      <c r="B1931" s="6" t="s">
        <v>118</v>
      </c>
      <c r="C1931" s="6" t="s">
        <v>127</v>
      </c>
      <c r="D1931" s="5">
        <v>44916</v>
      </c>
    </row>
    <row r="1932" spans="2:4">
      <c r="B1932" s="6" t="s">
        <v>204</v>
      </c>
      <c r="C1932" s="6" t="s">
        <v>126</v>
      </c>
      <c r="D1932" s="5">
        <v>44916</v>
      </c>
    </row>
    <row r="1933" spans="2:4">
      <c r="B1933" s="6" t="s">
        <v>242</v>
      </c>
      <c r="C1933" s="6" t="s">
        <v>312</v>
      </c>
      <c r="D1933" s="5">
        <v>44916</v>
      </c>
    </row>
    <row r="1934" spans="2:4">
      <c r="B1934" s="6" t="s">
        <v>421</v>
      </c>
      <c r="C1934" s="6" t="s">
        <v>256</v>
      </c>
      <c r="D1934" s="5">
        <v>44916</v>
      </c>
    </row>
    <row r="1935" spans="2:4">
      <c r="B1935" s="6" t="s">
        <v>187</v>
      </c>
      <c r="C1935" s="6" t="s">
        <v>422</v>
      </c>
      <c r="D1935" s="5">
        <v>44916</v>
      </c>
    </row>
    <row r="1936" spans="2:4">
      <c r="B1936" s="6" t="s">
        <v>194</v>
      </c>
      <c r="C1936" s="6" t="s">
        <v>171</v>
      </c>
      <c r="D1936" s="5">
        <v>44916</v>
      </c>
    </row>
    <row r="1937" spans="2:4">
      <c r="B1937" s="6" t="s">
        <v>274</v>
      </c>
      <c r="C1937" s="6" t="s">
        <v>295</v>
      </c>
      <c r="D1937" s="5">
        <v>44916</v>
      </c>
    </row>
    <row r="1938" spans="2:4">
      <c r="B1938" s="6" t="s">
        <v>109</v>
      </c>
      <c r="C1938" s="6" t="s">
        <v>289</v>
      </c>
      <c r="D1938" s="5">
        <v>44916</v>
      </c>
    </row>
    <row r="1939" spans="2:4">
      <c r="B1939" s="6" t="s">
        <v>116</v>
      </c>
      <c r="C1939" s="6" t="s">
        <v>409</v>
      </c>
      <c r="D1939" s="5">
        <v>44916</v>
      </c>
    </row>
    <row r="1940" spans="2:4">
      <c r="B1940" s="6" t="s">
        <v>397</v>
      </c>
      <c r="C1940" s="6" t="s">
        <v>701</v>
      </c>
      <c r="D1940" s="5">
        <v>44916</v>
      </c>
    </row>
    <row r="1941" spans="2:4">
      <c r="B1941" s="6" t="s">
        <v>411</v>
      </c>
      <c r="C1941" s="6" t="s">
        <v>142</v>
      </c>
      <c r="D1941" s="5">
        <v>44916</v>
      </c>
    </row>
    <row r="1942" spans="2:4">
      <c r="B1942" s="6" t="s">
        <v>121</v>
      </c>
      <c r="C1942" s="6" t="s">
        <v>220</v>
      </c>
      <c r="D1942" s="5">
        <v>44916</v>
      </c>
    </row>
    <row r="1943" spans="2:4">
      <c r="B1943" s="6" t="s">
        <v>200</v>
      </c>
      <c r="C1943" s="6" t="s">
        <v>113</v>
      </c>
      <c r="D1943" s="5">
        <v>44916</v>
      </c>
    </row>
    <row r="1944" spans="2:4">
      <c r="B1944" s="6" t="s">
        <v>210</v>
      </c>
      <c r="C1944" s="6" t="s">
        <v>137</v>
      </c>
      <c r="D1944" s="5">
        <v>44916</v>
      </c>
    </row>
    <row r="1945" spans="2:4">
      <c r="B1945" s="6" t="s">
        <v>107</v>
      </c>
      <c r="C1945" s="6" t="s">
        <v>253</v>
      </c>
      <c r="D1945" s="5">
        <v>44916</v>
      </c>
    </row>
    <row r="1946" spans="2:4">
      <c r="B1946" s="6" t="s">
        <v>292</v>
      </c>
      <c r="C1946" s="6" t="s">
        <v>211</v>
      </c>
      <c r="D1946" s="5">
        <v>44916</v>
      </c>
    </row>
    <row r="1947" spans="2:4">
      <c r="B1947" s="6" t="s">
        <v>72</v>
      </c>
      <c r="C1947" s="6" t="s">
        <v>378</v>
      </c>
      <c r="D1947" s="5">
        <v>44916</v>
      </c>
    </row>
    <row r="1948" spans="2:4">
      <c r="B1948" s="6" t="s">
        <v>164</v>
      </c>
      <c r="C1948" s="6" t="s">
        <v>323</v>
      </c>
      <c r="D1948" s="5">
        <v>44916</v>
      </c>
    </row>
    <row r="1949" spans="2:4">
      <c r="B1949" s="6" t="s">
        <v>747</v>
      </c>
      <c r="C1949" s="6" t="s">
        <v>357</v>
      </c>
      <c r="D1949" s="5">
        <v>44916</v>
      </c>
    </row>
    <row r="1950" spans="2:4">
      <c r="B1950" s="6" t="s">
        <v>330</v>
      </c>
      <c r="C1950" s="6" t="s">
        <v>196</v>
      </c>
      <c r="D1950" s="5">
        <v>44916</v>
      </c>
    </row>
    <row r="1951" spans="2:4">
      <c r="B1951" s="6" t="s">
        <v>321</v>
      </c>
      <c r="C1951" s="6" t="s">
        <v>241</v>
      </c>
      <c r="D1951" s="5">
        <v>44916</v>
      </c>
    </row>
    <row r="1952" spans="2:4">
      <c r="B1952" s="6" t="s">
        <v>186</v>
      </c>
      <c r="C1952" s="6" t="s">
        <v>102</v>
      </c>
      <c r="D1952" s="5">
        <v>44916</v>
      </c>
    </row>
    <row r="1953" spans="2:4">
      <c r="B1953" s="6" t="s">
        <v>375</v>
      </c>
      <c r="C1953" s="6" t="s">
        <v>180</v>
      </c>
      <c r="D1953" s="5">
        <v>44916</v>
      </c>
    </row>
    <row r="1954" spans="2:4">
      <c r="B1954" s="6" t="s">
        <v>50</v>
      </c>
      <c r="C1954" s="6" t="s">
        <v>51</v>
      </c>
      <c r="D1954" s="5">
        <v>44916</v>
      </c>
    </row>
    <row r="1955" spans="2:4">
      <c r="B1955" s="6" t="s">
        <v>212</v>
      </c>
      <c r="C1955" s="6" t="s">
        <v>342</v>
      </c>
      <c r="D1955" s="5">
        <v>44916</v>
      </c>
    </row>
    <row r="1956" spans="2:4">
      <c r="B1956" s="6" t="s">
        <v>388</v>
      </c>
      <c r="C1956" s="6" t="s">
        <v>606</v>
      </c>
      <c r="D1956" s="5">
        <v>44916</v>
      </c>
    </row>
    <row r="1957" spans="2:4">
      <c r="B1957" s="6" t="s">
        <v>306</v>
      </c>
      <c r="C1957" s="6" t="s">
        <v>353</v>
      </c>
      <c r="D1957" s="5">
        <v>44916</v>
      </c>
    </row>
    <row r="1958" spans="2:4">
      <c r="B1958" s="6" t="s">
        <v>183</v>
      </c>
      <c r="C1958" s="6" t="s">
        <v>181</v>
      </c>
      <c r="D1958" s="5">
        <v>44916</v>
      </c>
    </row>
    <row r="1959" spans="2:4">
      <c r="B1959" s="6" t="s">
        <v>144</v>
      </c>
      <c r="C1959" s="6" t="s">
        <v>314</v>
      </c>
      <c r="D1959" s="5">
        <v>44916</v>
      </c>
    </row>
    <row r="1960" spans="2:4">
      <c r="B1960" s="6" t="s">
        <v>221</v>
      </c>
      <c r="C1960" s="6" t="s">
        <v>303</v>
      </c>
      <c r="D1960" s="5">
        <v>44916</v>
      </c>
    </row>
    <row r="1961" spans="2:4">
      <c r="B1961" s="6" t="s">
        <v>133</v>
      </c>
      <c r="C1961" s="6" t="s">
        <v>370</v>
      </c>
      <c r="D1961" s="5">
        <v>44916</v>
      </c>
    </row>
    <row r="1962" spans="2:4">
      <c r="B1962" s="6" t="s">
        <v>81</v>
      </c>
      <c r="C1962" s="6" t="s">
        <v>436</v>
      </c>
      <c r="D1962" s="5">
        <v>44916</v>
      </c>
    </row>
    <row r="1963" spans="2:4">
      <c r="B1963" s="6" t="s">
        <v>213</v>
      </c>
      <c r="C1963" s="6" t="s">
        <v>248</v>
      </c>
      <c r="D1963" s="5">
        <v>44916</v>
      </c>
    </row>
    <row r="1964" spans="2:4">
      <c r="B1964" s="6" t="s">
        <v>61</v>
      </c>
      <c r="C1964" s="6" t="s">
        <v>329</v>
      </c>
      <c r="D1964" s="5">
        <v>44916</v>
      </c>
    </row>
    <row r="1965" spans="2:4">
      <c r="B1965" s="6" t="s">
        <v>348</v>
      </c>
      <c r="C1965" s="6" t="s">
        <v>359</v>
      </c>
      <c r="D1965" s="5">
        <v>44916</v>
      </c>
    </row>
    <row r="1966" spans="2:4">
      <c r="B1966" s="6" t="s">
        <v>184</v>
      </c>
      <c r="C1966" s="6" t="s">
        <v>208</v>
      </c>
      <c r="D1966" s="5">
        <v>44916</v>
      </c>
    </row>
    <row r="1967" spans="2:4">
      <c r="B1967" s="6" t="s">
        <v>331</v>
      </c>
      <c r="C1967" s="6" t="s">
        <v>385</v>
      </c>
      <c r="D1967" s="5">
        <v>44916</v>
      </c>
    </row>
    <row r="1968" spans="2:4">
      <c r="B1968" s="6" t="s">
        <v>737</v>
      </c>
      <c r="C1968" s="6" t="s">
        <v>46</v>
      </c>
      <c r="D1968" s="5">
        <v>44916</v>
      </c>
    </row>
    <row r="1969" spans="2:4">
      <c r="B1969" s="6" t="s">
        <v>152</v>
      </c>
      <c r="C1969" s="6" t="s">
        <v>398</v>
      </c>
      <c r="D1969" s="5">
        <v>44916</v>
      </c>
    </row>
    <row r="1970" spans="2:4">
      <c r="B1970" s="6" t="s">
        <v>777</v>
      </c>
      <c r="C1970" s="6" t="s">
        <v>174</v>
      </c>
      <c r="D1970" s="5">
        <v>44916</v>
      </c>
    </row>
    <row r="1971" spans="2:4">
      <c r="B1971" s="6" t="s">
        <v>84</v>
      </c>
      <c r="C1971" s="6" t="s">
        <v>297</v>
      </c>
      <c r="D1971" s="5">
        <v>44916</v>
      </c>
    </row>
    <row r="1972" spans="2:4">
      <c r="B1972" s="6" t="s">
        <v>77</v>
      </c>
      <c r="C1972" s="6" t="s">
        <v>34</v>
      </c>
      <c r="D1972" s="5">
        <v>44916</v>
      </c>
    </row>
    <row r="1973" spans="2:4">
      <c r="B1973" s="6" t="s">
        <v>71</v>
      </c>
      <c r="C1973" s="6" t="s">
        <v>83</v>
      </c>
      <c r="D1973" s="5">
        <v>44916</v>
      </c>
    </row>
    <row r="1974" spans="2:4">
      <c r="B1974" s="6" t="s">
        <v>621</v>
      </c>
      <c r="C1974" s="6" t="s">
        <v>389</v>
      </c>
      <c r="D1974" s="5">
        <v>44916</v>
      </c>
    </row>
    <row r="1975" spans="2:4">
      <c r="B1975" s="6" t="s">
        <v>58</v>
      </c>
      <c r="C1975" s="6" t="s">
        <v>134</v>
      </c>
      <c r="D1975" s="5">
        <v>44916</v>
      </c>
    </row>
    <row r="1976" spans="2:4">
      <c r="B1976" s="6" t="s">
        <v>779</v>
      </c>
      <c r="C1976" s="6" t="s">
        <v>151</v>
      </c>
      <c r="D1976" s="5">
        <v>44916</v>
      </c>
    </row>
    <row r="1977" spans="2:4">
      <c r="B1977" s="6" t="s">
        <v>396</v>
      </c>
      <c r="C1977" s="6" t="s">
        <v>95</v>
      </c>
      <c r="D1977" s="5">
        <v>44916</v>
      </c>
    </row>
    <row r="1978" spans="2:4">
      <c r="B1978" s="6" t="s">
        <v>420</v>
      </c>
      <c r="C1978" s="6" t="s">
        <v>158</v>
      </c>
      <c r="D1978" s="5">
        <v>44916</v>
      </c>
    </row>
    <row r="1979" spans="2:4">
      <c r="B1979" s="6" t="s">
        <v>404</v>
      </c>
      <c r="C1979" s="6" t="s">
        <v>719</v>
      </c>
      <c r="D1979" s="5">
        <v>44916</v>
      </c>
    </row>
    <row r="1980" spans="2:4">
      <c r="B1980" s="6" t="s">
        <v>74</v>
      </c>
      <c r="C1980" s="6" t="s">
        <v>386</v>
      </c>
      <c r="D1980" s="5">
        <v>44916</v>
      </c>
    </row>
    <row r="1981" spans="2:4">
      <c r="B1981" s="6" t="s">
        <v>599</v>
      </c>
      <c r="C1981" s="6" t="s">
        <v>166</v>
      </c>
      <c r="D1981" s="5">
        <v>44917</v>
      </c>
    </row>
    <row r="1982" spans="2:4">
      <c r="B1982" s="6" t="s">
        <v>232</v>
      </c>
      <c r="C1982" s="6" t="s">
        <v>354</v>
      </c>
      <c r="D1982" s="5">
        <v>44917</v>
      </c>
    </row>
    <row r="1983" spans="2:4">
      <c r="B1983" s="6" t="s">
        <v>363</v>
      </c>
      <c r="C1983" s="6" t="s">
        <v>648</v>
      </c>
      <c r="D1983" s="5">
        <v>44917</v>
      </c>
    </row>
    <row r="1984" spans="2:4">
      <c r="B1984" s="6" t="s">
        <v>451</v>
      </c>
      <c r="C1984" s="6" t="s">
        <v>451</v>
      </c>
      <c r="D1984" s="5">
        <v>44917</v>
      </c>
    </row>
    <row r="1985" spans="2:4">
      <c r="B1985" s="6" t="s">
        <v>451</v>
      </c>
      <c r="C1985" s="6" t="s">
        <v>451</v>
      </c>
      <c r="D1985" s="5">
        <v>44917</v>
      </c>
    </row>
    <row r="1986" spans="2:4">
      <c r="B1986" s="6" t="s">
        <v>178</v>
      </c>
      <c r="C1986" s="6" t="s">
        <v>638</v>
      </c>
      <c r="D1986" s="5">
        <v>44917</v>
      </c>
    </row>
    <row r="1987" spans="2:4">
      <c r="B1987" s="6" t="s">
        <v>336</v>
      </c>
      <c r="C1987" s="6" t="s">
        <v>131</v>
      </c>
      <c r="D1987" s="5">
        <v>44917</v>
      </c>
    </row>
    <row r="1988" spans="2:4">
      <c r="B1988" s="6" t="s">
        <v>106</v>
      </c>
      <c r="C1988" s="6" t="s">
        <v>123</v>
      </c>
      <c r="D1988" s="5">
        <v>44917</v>
      </c>
    </row>
    <row r="1989" spans="2:4">
      <c r="B1989" s="6" t="s">
        <v>349</v>
      </c>
      <c r="C1989" s="6" t="s">
        <v>261</v>
      </c>
      <c r="D1989" s="5">
        <v>44917</v>
      </c>
    </row>
    <row r="1990" spans="2:4">
      <c r="B1990" s="6" t="s">
        <v>360</v>
      </c>
      <c r="C1990" s="6" t="s">
        <v>130</v>
      </c>
      <c r="D1990" s="5">
        <v>44917</v>
      </c>
    </row>
    <row r="1991" spans="2:4">
      <c r="B1991" s="6" t="s">
        <v>587</v>
      </c>
      <c r="C1991" s="6" t="s">
        <v>467</v>
      </c>
      <c r="D1991" s="5">
        <v>44917</v>
      </c>
    </row>
    <row r="1992" spans="2:4">
      <c r="B1992" s="6" t="s">
        <v>176</v>
      </c>
      <c r="C1992" s="6" t="s">
        <v>125</v>
      </c>
      <c r="D1992" s="5">
        <v>44917</v>
      </c>
    </row>
    <row r="1993" spans="2:4">
      <c r="B1993" s="6" t="s">
        <v>255</v>
      </c>
      <c r="C1993" s="6" t="s">
        <v>267</v>
      </c>
      <c r="D1993" s="5">
        <v>44917</v>
      </c>
    </row>
    <row r="1994" spans="2:4">
      <c r="B1994" s="6" t="s">
        <v>270</v>
      </c>
      <c r="C1994" s="6" t="s">
        <v>455</v>
      </c>
      <c r="D1994" s="5">
        <v>44917</v>
      </c>
    </row>
    <row r="1995" spans="2:4">
      <c r="B1995" s="6" t="s">
        <v>367</v>
      </c>
      <c r="C1995" s="6" t="s">
        <v>240</v>
      </c>
      <c r="D1995" s="5">
        <v>44917</v>
      </c>
    </row>
    <row r="1996" spans="2:4">
      <c r="B1996" s="6" t="s">
        <v>607</v>
      </c>
      <c r="C1996" s="6" t="s">
        <v>603</v>
      </c>
      <c r="D1996" s="5">
        <v>44917</v>
      </c>
    </row>
    <row r="1997" spans="2:4">
      <c r="B1997" s="6" t="s">
        <v>341</v>
      </c>
      <c r="C1997" s="6" t="s">
        <v>285</v>
      </c>
      <c r="D1997" s="5">
        <v>44917</v>
      </c>
    </row>
    <row r="1998" spans="2:4">
      <c r="B1998" s="6" t="s">
        <v>98</v>
      </c>
      <c r="C1998" s="6" t="s">
        <v>551</v>
      </c>
      <c r="D1998" s="5">
        <v>44917</v>
      </c>
    </row>
    <row r="1999" spans="2:4">
      <c r="B1999" s="6" t="s">
        <v>160</v>
      </c>
      <c r="C1999" s="6" t="s">
        <v>162</v>
      </c>
      <c r="D1999" s="5">
        <v>44917</v>
      </c>
    </row>
    <row r="2000" spans="2:4">
      <c r="B2000" s="6" t="s">
        <v>154</v>
      </c>
      <c r="C2000" s="6" t="s">
        <v>161</v>
      </c>
      <c r="D2000" s="5">
        <v>44917</v>
      </c>
    </row>
    <row r="2001" spans="2:4">
      <c r="B2001" s="6" t="s">
        <v>119</v>
      </c>
      <c r="C2001" s="6" t="s">
        <v>105</v>
      </c>
      <c r="D2001" s="5">
        <v>44917</v>
      </c>
    </row>
    <row r="2002" spans="2:4">
      <c r="B2002" s="6" t="s">
        <v>168</v>
      </c>
      <c r="C2002" s="6" t="s">
        <v>424</v>
      </c>
      <c r="D2002" s="5">
        <v>44917</v>
      </c>
    </row>
    <row r="2003" spans="2:4">
      <c r="B2003" s="6" t="s">
        <v>32</v>
      </c>
      <c r="C2003" s="6" t="s">
        <v>99</v>
      </c>
      <c r="D2003" s="5">
        <v>44917</v>
      </c>
    </row>
    <row r="2004" spans="2:4">
      <c r="B2004" s="6" t="s">
        <v>56</v>
      </c>
      <c r="C2004" s="6" t="s">
        <v>244</v>
      </c>
      <c r="D2004" s="5">
        <v>44917</v>
      </c>
    </row>
    <row r="2005" spans="2:4">
      <c r="B2005" s="6" t="s">
        <v>26</v>
      </c>
      <c r="C2005" s="6" t="s">
        <v>108</v>
      </c>
      <c r="D2005" s="5">
        <v>44917</v>
      </c>
    </row>
    <row r="2006" spans="2:4">
      <c r="B2006" s="6" t="s">
        <v>173</v>
      </c>
      <c r="C2006" s="6" t="s">
        <v>702</v>
      </c>
      <c r="D2006" s="5">
        <v>44917</v>
      </c>
    </row>
    <row r="2007" spans="2:4">
      <c r="B2007" s="6" t="s">
        <v>325</v>
      </c>
      <c r="C2007" s="6" t="s">
        <v>400</v>
      </c>
      <c r="D2007" s="5">
        <v>44917</v>
      </c>
    </row>
    <row r="2008" spans="2:4">
      <c r="B2008" s="6" t="s">
        <v>209</v>
      </c>
      <c r="C2008" s="6" t="s">
        <v>266</v>
      </c>
      <c r="D2008" s="5">
        <v>44917</v>
      </c>
    </row>
    <row r="2009" spans="2:4">
      <c r="B2009" s="6" t="s">
        <v>112</v>
      </c>
      <c r="C2009" s="6" t="s">
        <v>146</v>
      </c>
      <c r="D2009" s="5">
        <v>44917</v>
      </c>
    </row>
    <row r="2010" spans="2:4">
      <c r="B2010" s="6" t="s">
        <v>580</v>
      </c>
      <c r="C2010" s="6" t="s">
        <v>548</v>
      </c>
      <c r="D2010" s="5">
        <v>44917</v>
      </c>
    </row>
    <row r="2011" spans="2:4">
      <c r="B2011" s="6" t="s">
        <v>231</v>
      </c>
      <c r="C2011" s="6" t="s">
        <v>177</v>
      </c>
      <c r="D2011" s="5">
        <v>44917</v>
      </c>
    </row>
    <row r="2012" spans="2:4">
      <c r="B2012" s="6" t="s">
        <v>770</v>
      </c>
      <c r="C2012" s="6" t="s">
        <v>43</v>
      </c>
      <c r="D2012" s="5">
        <v>44917</v>
      </c>
    </row>
    <row r="2013" spans="2:4">
      <c r="B2013" s="6" t="s">
        <v>318</v>
      </c>
      <c r="C2013" s="6" t="s">
        <v>252</v>
      </c>
      <c r="D2013" s="5">
        <v>44917</v>
      </c>
    </row>
    <row r="2014" spans="2:4">
      <c r="B2014" s="6" t="s">
        <v>124</v>
      </c>
      <c r="C2014" s="6" t="s">
        <v>358</v>
      </c>
      <c r="D2014" s="5">
        <v>44917</v>
      </c>
    </row>
    <row r="2015" spans="2:4">
      <c r="B2015" s="6" t="s">
        <v>405</v>
      </c>
      <c r="C2015" s="6" t="s">
        <v>514</v>
      </c>
      <c r="D2015" s="5">
        <v>44917</v>
      </c>
    </row>
    <row r="2016" spans="2:4">
      <c r="B2016" s="6" t="s">
        <v>334</v>
      </c>
      <c r="C2016" s="6" t="s">
        <v>246</v>
      </c>
      <c r="D2016" s="5">
        <v>44917</v>
      </c>
    </row>
    <row r="2017" spans="2:4">
      <c r="B2017" s="6" t="s">
        <v>117</v>
      </c>
      <c r="C2017" s="6" t="s">
        <v>361</v>
      </c>
      <c r="D2017" s="5">
        <v>44917</v>
      </c>
    </row>
    <row r="2018" spans="2:4">
      <c r="B2018" s="6" t="s">
        <v>410</v>
      </c>
      <c r="C2018" s="6" t="s">
        <v>610</v>
      </c>
      <c r="D2018" s="5">
        <v>44917</v>
      </c>
    </row>
    <row r="2019" spans="2:4">
      <c r="B2019" s="6" t="s">
        <v>115</v>
      </c>
      <c r="C2019" s="6" t="s">
        <v>100</v>
      </c>
      <c r="D2019" s="5">
        <v>44917</v>
      </c>
    </row>
    <row r="2020" spans="2:4">
      <c r="B2020" s="6" t="s">
        <v>90</v>
      </c>
      <c r="C2020" s="6" t="s">
        <v>313</v>
      </c>
      <c r="D2020" s="5">
        <v>44917</v>
      </c>
    </row>
    <row r="2021" spans="2:4">
      <c r="B2021" s="6" t="s">
        <v>290</v>
      </c>
      <c r="C2021" s="6" t="s">
        <v>364</v>
      </c>
      <c r="D2021" s="5">
        <v>44917</v>
      </c>
    </row>
    <row r="2022" spans="2:4">
      <c r="B2022" s="6" t="s">
        <v>195</v>
      </c>
      <c r="C2022" s="6" t="s">
        <v>182</v>
      </c>
      <c r="D2022" s="5">
        <v>44917</v>
      </c>
    </row>
    <row r="2023" spans="2:4">
      <c r="B2023" s="6" t="s">
        <v>63</v>
      </c>
      <c r="C2023" s="6" t="s">
        <v>347</v>
      </c>
      <c r="D2023" s="5">
        <v>44917</v>
      </c>
    </row>
    <row r="2024" spans="2:4">
      <c r="B2024" s="6" t="s">
        <v>38</v>
      </c>
      <c r="C2024" s="6" t="s">
        <v>42</v>
      </c>
      <c r="D2024" s="5">
        <v>44917</v>
      </c>
    </row>
    <row r="2025" spans="2:4">
      <c r="B2025" s="6" t="s">
        <v>70</v>
      </c>
      <c r="C2025" s="6" t="s">
        <v>238</v>
      </c>
      <c r="D2025" s="5">
        <v>44917</v>
      </c>
    </row>
    <row r="2026" spans="2:4">
      <c r="B2026" s="6" t="s">
        <v>320</v>
      </c>
      <c r="C2026" s="6" t="s">
        <v>415</v>
      </c>
      <c r="D2026" s="5">
        <v>44917</v>
      </c>
    </row>
    <row r="2027" spans="2:4">
      <c r="B2027" s="6" t="s">
        <v>352</v>
      </c>
      <c r="C2027" s="6" t="s">
        <v>249</v>
      </c>
      <c r="D2027" s="5">
        <v>44917</v>
      </c>
    </row>
    <row r="2028" spans="2:4">
      <c r="B2028" s="6" t="s">
        <v>368</v>
      </c>
      <c r="C2028" s="6" t="s">
        <v>135</v>
      </c>
      <c r="D2028" s="5">
        <v>44917</v>
      </c>
    </row>
    <row r="2029" spans="2:4">
      <c r="B2029" s="6" t="s">
        <v>185</v>
      </c>
      <c r="C2029" s="6" t="s">
        <v>308</v>
      </c>
      <c r="D2029" s="5">
        <v>44917</v>
      </c>
    </row>
    <row r="2030" spans="2:4">
      <c r="B2030" s="6" t="s">
        <v>781</v>
      </c>
      <c r="C2030" s="6" t="s">
        <v>216</v>
      </c>
      <c r="D2030" s="5">
        <v>44917</v>
      </c>
    </row>
    <row r="2031" spans="2:4">
      <c r="B2031" s="6" t="s">
        <v>87</v>
      </c>
      <c r="C2031" s="6" t="s">
        <v>60</v>
      </c>
      <c r="D2031" s="5">
        <v>44917</v>
      </c>
    </row>
    <row r="2032" spans="2:4">
      <c r="B2032" s="6" t="s">
        <v>404</v>
      </c>
      <c r="C2032" s="6" t="s">
        <v>122</v>
      </c>
      <c r="D2032" s="5">
        <v>44917</v>
      </c>
    </row>
    <row r="2033" spans="2:4">
      <c r="B2033" s="6" t="s">
        <v>157</v>
      </c>
      <c r="C2033" s="6" t="s">
        <v>206</v>
      </c>
      <c r="D2033" s="5">
        <v>44917</v>
      </c>
    </row>
    <row r="2034" spans="2:4">
      <c r="B2034" s="6" t="s">
        <v>804</v>
      </c>
      <c r="C2034" s="6" t="s">
        <v>337</v>
      </c>
      <c r="D2034" s="5">
        <v>44917</v>
      </c>
    </row>
    <row r="2035" spans="2:4">
      <c r="B2035" s="6" t="s">
        <v>159</v>
      </c>
      <c r="C2035" s="6" t="s">
        <v>402</v>
      </c>
      <c r="D2035" s="5">
        <v>44917</v>
      </c>
    </row>
    <row r="2036" spans="2:4">
      <c r="B2036" s="6" t="s">
        <v>163</v>
      </c>
      <c r="C2036" s="6" t="s">
        <v>316</v>
      </c>
      <c r="D2036" s="5">
        <v>44917</v>
      </c>
    </row>
    <row r="2037" spans="2:4">
      <c r="B2037" s="6" t="s">
        <v>93</v>
      </c>
      <c r="C2037" s="6" t="s">
        <v>350</v>
      </c>
      <c r="D2037" s="5">
        <v>44917</v>
      </c>
    </row>
    <row r="2038" spans="2:4">
      <c r="B2038" s="6" t="s">
        <v>428</v>
      </c>
      <c r="C2038" s="6" t="s">
        <v>165</v>
      </c>
      <c r="D2038" s="5">
        <v>44917</v>
      </c>
    </row>
    <row r="2039" spans="2:4">
      <c r="B2039" s="6" t="s">
        <v>281</v>
      </c>
      <c r="C2039" s="6" t="s">
        <v>116</v>
      </c>
      <c r="D2039" s="5">
        <v>44918</v>
      </c>
    </row>
    <row r="2040" spans="2:4">
      <c r="B2040" s="6" t="s">
        <v>451</v>
      </c>
      <c r="C2040" s="6" t="s">
        <v>451</v>
      </c>
      <c r="D2040" s="5">
        <v>44918</v>
      </c>
    </row>
    <row r="2041" spans="2:4">
      <c r="B2041" s="6" t="s">
        <v>64</v>
      </c>
      <c r="C2041" s="6" t="s">
        <v>113</v>
      </c>
      <c r="D2041" s="5">
        <v>44918</v>
      </c>
    </row>
    <row r="2042" spans="2:4">
      <c r="B2042" s="6" t="s">
        <v>62</v>
      </c>
      <c r="C2042" s="6" t="s">
        <v>356</v>
      </c>
      <c r="D2042" s="5">
        <v>44918</v>
      </c>
    </row>
    <row r="2043" spans="2:4">
      <c r="B2043" s="6" t="s">
        <v>97</v>
      </c>
      <c r="C2043" s="6" t="s">
        <v>547</v>
      </c>
      <c r="D2043" s="5">
        <v>44918</v>
      </c>
    </row>
    <row r="2044" spans="2:4">
      <c r="B2044" s="6" t="s">
        <v>451</v>
      </c>
      <c r="C2044" s="6" t="s">
        <v>451</v>
      </c>
      <c r="D2044" s="5">
        <v>44918</v>
      </c>
    </row>
    <row r="2045" spans="2:4">
      <c r="B2045" s="6" t="s">
        <v>65</v>
      </c>
      <c r="C2045" s="6" t="s">
        <v>382</v>
      </c>
      <c r="D2045" s="5">
        <v>44918</v>
      </c>
    </row>
    <row r="2046" spans="2:4">
      <c r="B2046" s="6" t="s">
        <v>451</v>
      </c>
      <c r="C2046" s="6" t="s">
        <v>451</v>
      </c>
      <c r="D2046" s="5">
        <v>44918</v>
      </c>
    </row>
    <row r="2047" spans="2:4">
      <c r="B2047" s="6" t="s">
        <v>451</v>
      </c>
      <c r="C2047" s="6" t="s">
        <v>451</v>
      </c>
      <c r="D2047" s="5">
        <v>44918</v>
      </c>
    </row>
    <row r="2048" spans="2:4">
      <c r="B2048" s="6" t="s">
        <v>451</v>
      </c>
      <c r="C2048" s="6" t="s">
        <v>451</v>
      </c>
      <c r="D2048" s="5">
        <v>44920</v>
      </c>
    </row>
    <row r="2049" spans="2:4">
      <c r="B2049" s="6" t="s">
        <v>451</v>
      </c>
      <c r="C2049" s="6" t="s">
        <v>451</v>
      </c>
      <c r="D2049" s="5">
        <v>44920</v>
      </c>
    </row>
    <row r="2050" spans="2:4">
      <c r="B2050" s="6" t="s">
        <v>38</v>
      </c>
      <c r="C2050" s="6" t="s">
        <v>155</v>
      </c>
      <c r="D2050" s="5">
        <v>44920</v>
      </c>
    </row>
    <row r="2051" spans="2:4">
      <c r="B2051" s="6" t="s">
        <v>451</v>
      </c>
      <c r="C2051" s="6" t="s">
        <v>451</v>
      </c>
      <c r="D2051" s="5">
        <v>44920</v>
      </c>
    </row>
    <row r="2052" spans="2:4">
      <c r="B2052" s="6" t="s">
        <v>451</v>
      </c>
      <c r="C2052" s="6" t="s">
        <v>451</v>
      </c>
      <c r="D2052" s="5">
        <v>44920</v>
      </c>
    </row>
    <row r="2053" spans="2:4">
      <c r="B2053" s="6" t="s">
        <v>353</v>
      </c>
      <c r="C2053" s="6" t="s">
        <v>703</v>
      </c>
      <c r="D2053" s="5">
        <v>44922</v>
      </c>
    </row>
    <row r="2054" spans="2:4">
      <c r="B2054" s="6" t="s">
        <v>30</v>
      </c>
      <c r="C2054" s="6" t="s">
        <v>588</v>
      </c>
      <c r="D2054" s="5">
        <v>44922</v>
      </c>
    </row>
    <row r="2055" spans="2:4">
      <c r="B2055" s="6" t="s">
        <v>177</v>
      </c>
      <c r="C2055" s="6" t="s">
        <v>506</v>
      </c>
      <c r="D2055" s="5">
        <v>44922</v>
      </c>
    </row>
    <row r="2056" spans="2:4">
      <c r="B2056" s="6" t="s">
        <v>46</v>
      </c>
      <c r="C2056" s="6" t="s">
        <v>120</v>
      </c>
      <c r="D2056" s="5">
        <v>44922</v>
      </c>
    </row>
    <row r="2057" spans="2:4">
      <c r="B2057" s="6" t="s">
        <v>27</v>
      </c>
      <c r="C2057" s="6" t="s">
        <v>276</v>
      </c>
      <c r="D2057" s="5">
        <v>44922</v>
      </c>
    </row>
    <row r="2058" spans="2:4">
      <c r="B2058" s="6" t="s">
        <v>37</v>
      </c>
      <c r="C2058" s="6" t="s">
        <v>36</v>
      </c>
      <c r="D2058" s="5">
        <v>44922</v>
      </c>
    </row>
    <row r="2059" spans="2:4">
      <c r="B2059" s="6" t="s">
        <v>91</v>
      </c>
      <c r="C2059" s="6" t="s">
        <v>343</v>
      </c>
      <c r="D2059" s="5">
        <v>44922</v>
      </c>
    </row>
    <row r="2060" spans="2:4">
      <c r="B2060" s="6" t="s">
        <v>419</v>
      </c>
      <c r="C2060" s="6" t="s">
        <v>704</v>
      </c>
      <c r="D2060" s="5">
        <v>44923</v>
      </c>
    </row>
    <row r="2061" spans="2:4">
      <c r="B2061" s="6" t="s">
        <v>132</v>
      </c>
      <c r="C2061" s="6" t="s">
        <v>380</v>
      </c>
      <c r="D2061" s="5">
        <v>44923</v>
      </c>
    </row>
    <row r="2062" spans="2:4">
      <c r="B2062" s="6" t="s">
        <v>762</v>
      </c>
      <c r="C2062" s="6" t="s">
        <v>86</v>
      </c>
      <c r="D2062" s="5">
        <v>44923</v>
      </c>
    </row>
    <row r="2063" spans="2:4">
      <c r="B2063" s="6" t="s">
        <v>34</v>
      </c>
      <c r="C2063" s="6" t="s">
        <v>355</v>
      </c>
      <c r="D2063" s="5">
        <v>44923</v>
      </c>
    </row>
    <row r="2064" spans="2:4">
      <c r="B2064" s="6" t="s">
        <v>640</v>
      </c>
      <c r="C2064" s="6" t="s">
        <v>503</v>
      </c>
      <c r="D2064" s="5">
        <v>44923</v>
      </c>
    </row>
    <row r="2065" spans="2:4">
      <c r="B2065" s="6" t="s">
        <v>115</v>
      </c>
      <c r="C2065" s="6" t="s">
        <v>327</v>
      </c>
      <c r="D2065" s="5">
        <v>44923</v>
      </c>
    </row>
    <row r="2066" spans="2:4">
      <c r="B2066" s="6" t="s">
        <v>188</v>
      </c>
      <c r="C2066" s="6" t="s">
        <v>215</v>
      </c>
      <c r="D2066" s="5">
        <v>44923</v>
      </c>
    </row>
    <row r="2067" spans="2:4">
      <c r="B2067" s="6" t="s">
        <v>732</v>
      </c>
      <c r="C2067" s="6" t="s">
        <v>35</v>
      </c>
      <c r="D2067" s="5">
        <v>44923</v>
      </c>
    </row>
    <row r="2068" spans="2:4">
      <c r="B2068" s="6" t="s">
        <v>87</v>
      </c>
      <c r="C2068" s="6" t="s">
        <v>80</v>
      </c>
      <c r="D2068" s="5">
        <v>44923</v>
      </c>
    </row>
    <row r="2069" spans="2:4">
      <c r="B2069" s="6" t="s">
        <v>83</v>
      </c>
      <c r="C2069" s="6" t="s">
        <v>79</v>
      </c>
      <c r="D2069" s="5">
        <v>44923</v>
      </c>
    </row>
    <row r="2070" spans="2:4">
      <c r="B2070" s="6" t="s">
        <v>214</v>
      </c>
      <c r="C2070" s="6" t="s">
        <v>284</v>
      </c>
      <c r="D2070" s="5">
        <v>44923</v>
      </c>
    </row>
    <row r="2071" spans="2:4">
      <c r="B2071" s="6" t="s">
        <v>109</v>
      </c>
      <c r="C2071" s="6" t="s">
        <v>347</v>
      </c>
      <c r="D2071" s="5">
        <v>44923</v>
      </c>
    </row>
    <row r="2072" spans="2:4">
      <c r="B2072" s="6" t="s">
        <v>411</v>
      </c>
      <c r="C2072" s="6" t="s">
        <v>352</v>
      </c>
      <c r="D2072" s="5">
        <v>44923</v>
      </c>
    </row>
    <row r="2073" spans="2:4">
      <c r="B2073" s="6" t="s">
        <v>275</v>
      </c>
      <c r="C2073" s="6" t="s">
        <v>145</v>
      </c>
      <c r="D2073" s="5">
        <v>44923</v>
      </c>
    </row>
    <row r="2074" spans="2:4">
      <c r="B2074" s="6" t="s">
        <v>138</v>
      </c>
      <c r="C2074" s="6" t="s">
        <v>335</v>
      </c>
      <c r="D2074" s="5">
        <v>44923</v>
      </c>
    </row>
    <row r="2075" spans="2:4">
      <c r="B2075" s="6" t="s">
        <v>200</v>
      </c>
      <c r="C2075" s="6" t="s">
        <v>116</v>
      </c>
      <c r="D2075" s="5">
        <v>44923</v>
      </c>
    </row>
    <row r="2076" spans="2:4">
      <c r="B2076" s="6" t="s">
        <v>174</v>
      </c>
      <c r="C2076" s="6" t="s">
        <v>108</v>
      </c>
      <c r="D2076" s="5">
        <v>44923</v>
      </c>
    </row>
    <row r="2077" spans="2:4">
      <c r="B2077" s="6" t="s">
        <v>349</v>
      </c>
      <c r="C2077" s="6" t="s">
        <v>199</v>
      </c>
      <c r="D2077" s="5">
        <v>44923</v>
      </c>
    </row>
    <row r="2078" spans="2:4">
      <c r="B2078" s="6" t="s">
        <v>89</v>
      </c>
      <c r="C2078" s="6" t="s">
        <v>117</v>
      </c>
      <c r="D2078" s="5">
        <v>44923</v>
      </c>
    </row>
    <row r="2079" spans="2:4">
      <c r="B2079" s="6" t="s">
        <v>102</v>
      </c>
      <c r="C2079" s="6" t="s">
        <v>171</v>
      </c>
      <c r="D2079" s="5">
        <v>44923</v>
      </c>
    </row>
    <row r="2080" spans="2:4">
      <c r="B2080" s="6" t="s">
        <v>28</v>
      </c>
      <c r="C2080" s="6" t="s">
        <v>319</v>
      </c>
      <c r="D2080" s="5">
        <v>44923</v>
      </c>
    </row>
    <row r="2081" spans="2:4">
      <c r="B2081" s="6" t="s">
        <v>318</v>
      </c>
      <c r="C2081" s="6" t="s">
        <v>320</v>
      </c>
      <c r="D2081" s="5">
        <v>44923</v>
      </c>
    </row>
    <row r="2082" spans="2:4">
      <c r="B2082" s="6" t="s">
        <v>280</v>
      </c>
      <c r="C2082" s="6" t="s">
        <v>326</v>
      </c>
      <c r="D2082" s="5">
        <v>44923</v>
      </c>
    </row>
    <row r="2083" spans="2:4">
      <c r="B2083" s="6" t="s">
        <v>186</v>
      </c>
      <c r="C2083" s="6" t="s">
        <v>119</v>
      </c>
      <c r="D2083" s="5">
        <v>44923</v>
      </c>
    </row>
    <row r="2084" spans="2:4">
      <c r="B2084" s="6" t="s">
        <v>48</v>
      </c>
      <c r="C2084" s="6" t="s">
        <v>205</v>
      </c>
      <c r="D2084" s="5">
        <v>44923</v>
      </c>
    </row>
    <row r="2085" spans="2:4">
      <c r="B2085" s="6" t="s">
        <v>95</v>
      </c>
      <c r="C2085" s="6" t="s">
        <v>212</v>
      </c>
      <c r="D2085" s="5">
        <v>44923</v>
      </c>
    </row>
    <row r="2086" spans="2:4">
      <c r="B2086" s="6" t="s">
        <v>81</v>
      </c>
      <c r="C2086" s="6" t="s">
        <v>84</v>
      </c>
      <c r="D2086" s="5">
        <v>44923</v>
      </c>
    </row>
    <row r="2087" spans="2:4">
      <c r="B2087" s="6" t="s">
        <v>763</v>
      </c>
      <c r="C2087" s="6" t="s">
        <v>82</v>
      </c>
      <c r="D2087" s="5">
        <v>44923</v>
      </c>
    </row>
    <row r="2088" spans="2:4">
      <c r="B2088" s="6" t="s">
        <v>389</v>
      </c>
      <c r="C2088" s="6" t="s">
        <v>473</v>
      </c>
      <c r="D2088" s="5">
        <v>44923</v>
      </c>
    </row>
    <row r="2089" spans="2:4">
      <c r="B2089" s="6" t="s">
        <v>302</v>
      </c>
      <c r="C2089" s="6" t="s">
        <v>39</v>
      </c>
      <c r="D2089" s="5">
        <v>44923</v>
      </c>
    </row>
    <row r="2090" spans="2:4">
      <c r="B2090" s="6" t="s">
        <v>189</v>
      </c>
      <c r="C2090" s="6" t="s">
        <v>386</v>
      </c>
      <c r="D2090" s="5">
        <v>44923</v>
      </c>
    </row>
    <row r="2091" spans="2:4">
      <c r="B2091" s="6" t="s">
        <v>375</v>
      </c>
      <c r="C2091" s="6" t="s">
        <v>378</v>
      </c>
      <c r="D2091" s="5">
        <v>44923</v>
      </c>
    </row>
    <row r="2092" spans="2:4">
      <c r="B2092" s="6" t="s">
        <v>433</v>
      </c>
      <c r="C2092" s="6" t="s">
        <v>163</v>
      </c>
      <c r="D2092" s="5">
        <v>44923</v>
      </c>
    </row>
    <row r="2093" spans="2:4">
      <c r="B2093" s="6" t="s">
        <v>169</v>
      </c>
      <c r="C2093" s="6" t="s">
        <v>162</v>
      </c>
      <c r="D2093" s="5">
        <v>44923</v>
      </c>
    </row>
    <row r="2094" spans="2:4">
      <c r="B2094" s="6" t="s">
        <v>392</v>
      </c>
      <c r="C2094" s="6" t="s">
        <v>198</v>
      </c>
      <c r="D2094" s="5">
        <v>44923</v>
      </c>
    </row>
    <row r="2095" spans="2:4">
      <c r="B2095" s="6" t="s">
        <v>394</v>
      </c>
      <c r="C2095" s="6" t="s">
        <v>152</v>
      </c>
      <c r="D2095" s="5">
        <v>44923</v>
      </c>
    </row>
    <row r="2096" spans="2:4">
      <c r="B2096" s="6" t="s">
        <v>249</v>
      </c>
      <c r="C2096" s="6" t="s">
        <v>606</v>
      </c>
      <c r="D2096" s="5">
        <v>44924</v>
      </c>
    </row>
    <row r="2097" spans="2:4">
      <c r="B2097" s="6" t="s">
        <v>395</v>
      </c>
      <c r="C2097" s="6" t="s">
        <v>110</v>
      </c>
      <c r="D2097" s="5">
        <v>44924</v>
      </c>
    </row>
    <row r="2098" spans="2:4">
      <c r="B2098" s="6" t="s">
        <v>427</v>
      </c>
      <c r="C2098" s="6" t="s">
        <v>157</v>
      </c>
      <c r="D2098" s="5">
        <v>44924</v>
      </c>
    </row>
    <row r="2099" spans="2:4">
      <c r="B2099" s="6" t="s">
        <v>68</v>
      </c>
      <c r="C2099" s="6" t="s">
        <v>107</v>
      </c>
      <c r="D2099" s="5">
        <v>44924</v>
      </c>
    </row>
    <row r="2100" spans="2:4">
      <c r="B2100" s="6" t="s">
        <v>96</v>
      </c>
      <c r="C2100" s="6" t="s">
        <v>210</v>
      </c>
      <c r="D2100" s="5">
        <v>44924</v>
      </c>
    </row>
    <row r="2101" spans="2:4">
      <c r="B2101" s="6" t="s">
        <v>781</v>
      </c>
      <c r="C2101" s="6" t="s">
        <v>264</v>
      </c>
      <c r="D2101" s="5">
        <v>44924</v>
      </c>
    </row>
    <row r="2102" spans="2:4">
      <c r="B2102" s="6" t="s">
        <v>287</v>
      </c>
      <c r="C2102" s="6" t="s">
        <v>267</v>
      </c>
      <c r="D2102" s="5">
        <v>44924</v>
      </c>
    </row>
    <row r="2103" spans="2:4">
      <c r="B2103" s="6" t="s">
        <v>336</v>
      </c>
      <c r="C2103" s="6" t="s">
        <v>590</v>
      </c>
      <c r="D2103" s="5">
        <v>44924</v>
      </c>
    </row>
    <row r="2104" spans="2:4">
      <c r="B2104" s="6" t="s">
        <v>777</v>
      </c>
      <c r="C2104" s="6" t="s">
        <v>308</v>
      </c>
      <c r="D2104" s="5">
        <v>44924</v>
      </c>
    </row>
    <row r="2105" spans="2:4">
      <c r="B2105" s="6" t="s">
        <v>297</v>
      </c>
      <c r="C2105" s="6" t="s">
        <v>202</v>
      </c>
      <c r="D2105" s="5">
        <v>44924</v>
      </c>
    </row>
    <row r="2106" spans="2:4">
      <c r="B2106" s="6" t="s">
        <v>146</v>
      </c>
      <c r="C2106" s="6" t="s">
        <v>129</v>
      </c>
      <c r="D2106" s="5">
        <v>44924</v>
      </c>
    </row>
    <row r="2107" spans="2:4">
      <c r="B2107" s="6" t="s">
        <v>288</v>
      </c>
      <c r="C2107" s="6" t="s">
        <v>705</v>
      </c>
      <c r="D2107" s="5">
        <v>44924</v>
      </c>
    </row>
    <row r="2108" spans="2:4">
      <c r="B2108" s="6" t="s">
        <v>58</v>
      </c>
      <c r="C2108" s="6" t="s">
        <v>170</v>
      </c>
      <c r="D2108" s="5">
        <v>44924</v>
      </c>
    </row>
    <row r="2109" spans="2:4">
      <c r="B2109" s="6" t="s">
        <v>273</v>
      </c>
      <c r="C2109" s="6" t="s">
        <v>191</v>
      </c>
      <c r="D2109" s="5">
        <v>44924</v>
      </c>
    </row>
    <row r="2110" spans="2:4">
      <c r="B2110" s="6" t="s">
        <v>182</v>
      </c>
      <c r="C2110" s="6" t="s">
        <v>242</v>
      </c>
      <c r="D2110" s="5">
        <v>44924</v>
      </c>
    </row>
    <row r="2111" spans="2:4">
      <c r="B2111" s="6" t="s">
        <v>610</v>
      </c>
      <c r="C2111" s="6" t="s">
        <v>147</v>
      </c>
      <c r="D2111" s="5">
        <v>44924</v>
      </c>
    </row>
    <row r="2112" spans="2:4">
      <c r="B2112" s="6" t="s">
        <v>140</v>
      </c>
      <c r="C2112" s="6" t="s">
        <v>706</v>
      </c>
      <c r="D2112" s="5">
        <v>44924</v>
      </c>
    </row>
    <row r="2113" spans="2:4">
      <c r="B2113" s="6" t="s">
        <v>42</v>
      </c>
      <c r="C2113" s="6" t="s">
        <v>40</v>
      </c>
      <c r="D2113" s="5">
        <v>44924</v>
      </c>
    </row>
    <row r="2114" spans="2:4">
      <c r="B2114" s="6" t="s">
        <v>248</v>
      </c>
      <c r="C2114" s="6" t="s">
        <v>201</v>
      </c>
      <c r="D2114" s="5">
        <v>44924</v>
      </c>
    </row>
    <row r="2115" spans="2:4">
      <c r="B2115" s="6" t="s">
        <v>354</v>
      </c>
      <c r="C2115" s="6" t="s">
        <v>293</v>
      </c>
      <c r="D2115" s="5">
        <v>44924</v>
      </c>
    </row>
    <row r="2116" spans="2:4">
      <c r="B2116" s="6" t="s">
        <v>209</v>
      </c>
      <c r="C2116" s="6" t="s">
        <v>629</v>
      </c>
      <c r="D2116" s="5">
        <v>44924</v>
      </c>
    </row>
    <row r="2117" spans="2:4">
      <c r="B2117" s="6" t="s">
        <v>274</v>
      </c>
      <c r="C2117" s="6" t="s">
        <v>707</v>
      </c>
      <c r="D2117" s="5">
        <v>44924</v>
      </c>
    </row>
    <row r="2118" spans="2:4">
      <c r="B2118" s="6" t="s">
        <v>125</v>
      </c>
      <c r="C2118" s="6" t="s">
        <v>126</v>
      </c>
      <c r="D2118" s="5">
        <v>44924</v>
      </c>
    </row>
    <row r="2119" spans="2:4">
      <c r="B2119" s="6" t="s">
        <v>325</v>
      </c>
      <c r="C2119" s="6" t="s">
        <v>213</v>
      </c>
      <c r="D2119" s="5">
        <v>44924</v>
      </c>
    </row>
    <row r="2120" spans="2:4">
      <c r="B2120" s="6" t="s">
        <v>351</v>
      </c>
      <c r="C2120" s="6" t="s">
        <v>253</v>
      </c>
      <c r="D2120" s="5">
        <v>44924</v>
      </c>
    </row>
    <row r="2121" spans="2:4">
      <c r="B2121" s="6" t="s">
        <v>373</v>
      </c>
      <c r="C2121" s="6" t="s">
        <v>368</v>
      </c>
      <c r="D2121" s="5">
        <v>44924</v>
      </c>
    </row>
    <row r="2122" spans="2:4">
      <c r="B2122" s="6" t="s">
        <v>313</v>
      </c>
      <c r="C2122" s="6" t="s">
        <v>143</v>
      </c>
      <c r="D2122" s="5">
        <v>44924</v>
      </c>
    </row>
    <row r="2123" spans="2:4">
      <c r="B2123" s="6" t="s">
        <v>67</v>
      </c>
      <c r="C2123" s="6" t="s">
        <v>61</v>
      </c>
      <c r="D2123" s="5">
        <v>44924</v>
      </c>
    </row>
    <row r="2124" spans="2:4">
      <c r="B2124" s="6" t="s">
        <v>56</v>
      </c>
      <c r="C2124" s="6" t="s">
        <v>301</v>
      </c>
      <c r="D2124" s="5">
        <v>44924</v>
      </c>
    </row>
    <row r="2125" spans="2:4">
      <c r="B2125" s="6" t="s">
        <v>425</v>
      </c>
      <c r="C2125" s="6" t="s">
        <v>270</v>
      </c>
      <c r="D2125" s="5">
        <v>44924</v>
      </c>
    </row>
    <row r="2126" spans="2:4">
      <c r="B2126" s="6" t="s">
        <v>192</v>
      </c>
      <c r="C2126" s="6" t="s">
        <v>298</v>
      </c>
      <c r="D2126" s="5">
        <v>44924</v>
      </c>
    </row>
    <row r="2127" spans="2:4">
      <c r="B2127" s="6" t="s">
        <v>111</v>
      </c>
      <c r="C2127" s="6" t="s">
        <v>261</v>
      </c>
      <c r="D2127" s="5">
        <v>44924</v>
      </c>
    </row>
    <row r="2128" spans="2:4">
      <c r="B2128" s="6" t="s">
        <v>103</v>
      </c>
      <c r="C2128" s="6" t="s">
        <v>436</v>
      </c>
      <c r="D2128" s="5">
        <v>44924</v>
      </c>
    </row>
    <row r="2129" spans="2:4">
      <c r="B2129" s="6" t="s">
        <v>282</v>
      </c>
      <c r="C2129" s="6" t="s">
        <v>104</v>
      </c>
      <c r="D2129" s="5">
        <v>44924</v>
      </c>
    </row>
    <row r="2130" spans="2:4">
      <c r="B2130" s="6" t="s">
        <v>338</v>
      </c>
      <c r="C2130" s="6" t="s">
        <v>246</v>
      </c>
      <c r="D2130" s="5">
        <v>44924</v>
      </c>
    </row>
    <row r="2131" spans="2:4">
      <c r="B2131" s="6" t="s">
        <v>405</v>
      </c>
      <c r="C2131" s="6" t="s">
        <v>98</v>
      </c>
      <c r="D2131" s="5">
        <v>44924</v>
      </c>
    </row>
    <row r="2132" spans="2:4">
      <c r="B2132" s="6" t="s">
        <v>410</v>
      </c>
      <c r="C2132" s="6" t="s">
        <v>175</v>
      </c>
      <c r="D2132" s="5">
        <v>44924</v>
      </c>
    </row>
    <row r="2133" spans="2:4">
      <c r="B2133" s="6" t="s">
        <v>136</v>
      </c>
      <c r="C2133" s="6" t="s">
        <v>367</v>
      </c>
      <c r="D2133" s="5">
        <v>44924</v>
      </c>
    </row>
    <row r="2134" spans="2:4">
      <c r="B2134" s="6" t="s">
        <v>259</v>
      </c>
      <c r="C2134" s="6" t="s">
        <v>409</v>
      </c>
      <c r="D2134" s="5">
        <v>44924</v>
      </c>
    </row>
    <row r="2135" spans="2:4">
      <c r="B2135" s="6" t="s">
        <v>294</v>
      </c>
      <c r="C2135" s="6" t="s">
        <v>365</v>
      </c>
      <c r="D2135" s="5">
        <v>44924</v>
      </c>
    </row>
    <row r="2136" spans="2:4">
      <c r="B2136" s="6" t="s">
        <v>193</v>
      </c>
      <c r="C2136" s="6" t="s">
        <v>286</v>
      </c>
      <c r="D2136" s="5">
        <v>44924</v>
      </c>
    </row>
    <row r="2137" spans="2:4">
      <c r="B2137" s="6" t="s">
        <v>256</v>
      </c>
      <c r="C2137" s="6" t="s">
        <v>266</v>
      </c>
      <c r="D2137" s="5">
        <v>44924</v>
      </c>
    </row>
    <row r="2138" spans="2:4">
      <c r="B2138" s="6" t="s">
        <v>101</v>
      </c>
      <c r="C2138" s="6" t="s">
        <v>358</v>
      </c>
      <c r="D2138" s="5">
        <v>44924</v>
      </c>
    </row>
    <row r="2139" spans="2:4">
      <c r="B2139" s="6" t="s">
        <v>422</v>
      </c>
      <c r="C2139" s="6" t="s">
        <v>324</v>
      </c>
      <c r="D2139" s="5">
        <v>44924</v>
      </c>
    </row>
    <row r="2140" spans="2:4">
      <c r="B2140" s="6" t="s">
        <v>412</v>
      </c>
      <c r="C2140" s="6" t="s">
        <v>296</v>
      </c>
      <c r="D2140" s="5">
        <v>44924</v>
      </c>
    </row>
    <row r="2141" spans="2:4">
      <c r="B2141" s="6" t="s">
        <v>272</v>
      </c>
      <c r="C2141" s="6" t="s">
        <v>268</v>
      </c>
      <c r="D2141" s="5">
        <v>44924</v>
      </c>
    </row>
    <row r="2142" spans="2:4">
      <c r="B2142" s="6" t="s">
        <v>432</v>
      </c>
      <c r="C2142" s="6" t="s">
        <v>179</v>
      </c>
      <c r="D2142" s="5">
        <v>44924</v>
      </c>
    </row>
    <row r="2143" spans="2:4">
      <c r="B2143" s="6" t="s">
        <v>118</v>
      </c>
      <c r="C2143" s="6" t="s">
        <v>178</v>
      </c>
      <c r="D2143" s="5">
        <v>44924</v>
      </c>
    </row>
    <row r="2144" spans="2:4">
      <c r="B2144" s="6" t="s">
        <v>195</v>
      </c>
      <c r="C2144" s="6" t="s">
        <v>376</v>
      </c>
      <c r="D2144" s="5">
        <v>44924</v>
      </c>
    </row>
    <row r="2145" spans="2:4">
      <c r="B2145" s="6" t="s">
        <v>290</v>
      </c>
      <c r="C2145" s="6" t="s">
        <v>345</v>
      </c>
      <c r="D2145" s="5">
        <v>44924</v>
      </c>
    </row>
    <row r="2146" spans="2:4">
      <c r="B2146" s="6" t="s">
        <v>144</v>
      </c>
      <c r="C2146" s="6" t="s">
        <v>231</v>
      </c>
      <c r="D2146" s="5">
        <v>44924</v>
      </c>
    </row>
    <row r="2147" spans="2:4">
      <c r="B2147" s="6" t="s">
        <v>382</v>
      </c>
      <c r="C2147" s="6" t="s">
        <v>708</v>
      </c>
      <c r="D2147" s="5">
        <v>44924</v>
      </c>
    </row>
    <row r="2148" spans="2:4">
      <c r="B2148" s="6" t="s">
        <v>312</v>
      </c>
      <c r="C2148" s="6" t="s">
        <v>241</v>
      </c>
      <c r="D2148" s="5">
        <v>44924</v>
      </c>
    </row>
    <row r="2149" spans="2:4">
      <c r="B2149" s="6" t="s">
        <v>135</v>
      </c>
      <c r="C2149" s="6" t="s">
        <v>421</v>
      </c>
      <c r="D2149" s="5">
        <v>44924</v>
      </c>
    </row>
    <row r="2150" spans="2:4">
      <c r="B2150" s="6" t="s">
        <v>155</v>
      </c>
      <c r="C2150" s="6" t="s">
        <v>41</v>
      </c>
      <c r="D2150" s="5">
        <v>44924</v>
      </c>
    </row>
    <row r="2151" spans="2:4">
      <c r="B2151" s="6" t="s">
        <v>63</v>
      </c>
      <c r="C2151" s="6" t="s">
        <v>156</v>
      </c>
      <c r="D2151" s="5">
        <v>44924</v>
      </c>
    </row>
    <row r="2152" spans="2:4">
      <c r="B2152" s="6" t="s">
        <v>388</v>
      </c>
      <c r="C2152" s="6" t="s">
        <v>323</v>
      </c>
      <c r="D2152" s="5">
        <v>44924</v>
      </c>
    </row>
    <row r="2153" spans="2:4">
      <c r="B2153" s="6" t="s">
        <v>383</v>
      </c>
      <c r="C2153" s="6" t="s">
        <v>415</v>
      </c>
      <c r="D2153" s="5">
        <v>44924</v>
      </c>
    </row>
    <row r="2154" spans="2:4">
      <c r="B2154" s="6" t="s">
        <v>316</v>
      </c>
      <c r="C2154" s="6" t="s">
        <v>194</v>
      </c>
      <c r="D2154" s="5">
        <v>44924</v>
      </c>
    </row>
    <row r="2155" spans="2:4">
      <c r="B2155" s="6" t="s">
        <v>150</v>
      </c>
      <c r="C2155" s="6" t="s">
        <v>333</v>
      </c>
      <c r="D2155" s="5">
        <v>44924</v>
      </c>
    </row>
    <row r="2156" spans="2:4">
      <c r="B2156" s="6" t="s">
        <v>289</v>
      </c>
      <c r="C2156" s="6" t="s">
        <v>306</v>
      </c>
      <c r="D2156" s="5">
        <v>44924</v>
      </c>
    </row>
    <row r="2157" spans="2:4">
      <c r="B2157" s="6" t="s">
        <v>385</v>
      </c>
      <c r="C2157" s="6" t="s">
        <v>330</v>
      </c>
      <c r="D2157" s="5">
        <v>44924</v>
      </c>
    </row>
    <row r="2158" spans="2:4">
      <c r="B2158" s="6" t="s">
        <v>208</v>
      </c>
      <c r="C2158" s="6" t="s">
        <v>348</v>
      </c>
      <c r="D2158" s="5">
        <v>44924</v>
      </c>
    </row>
    <row r="2159" spans="2:4">
      <c r="B2159" s="6" t="s">
        <v>357</v>
      </c>
      <c r="C2159" s="6" t="s">
        <v>184</v>
      </c>
      <c r="D2159" s="5">
        <v>44924</v>
      </c>
    </row>
    <row r="2160" spans="2:4">
      <c r="B2160" s="6" t="s">
        <v>418</v>
      </c>
      <c r="C2160" s="6" t="s">
        <v>397</v>
      </c>
      <c r="D2160" s="5">
        <v>44924</v>
      </c>
    </row>
    <row r="2161" spans="2:4">
      <c r="B2161" s="6" t="s">
        <v>154</v>
      </c>
      <c r="C2161" s="6" t="s">
        <v>586</v>
      </c>
      <c r="D2161" s="5">
        <v>44924</v>
      </c>
    </row>
    <row r="2162" spans="2:4">
      <c r="B2162" s="6" t="s">
        <v>60</v>
      </c>
      <c r="C2162" s="6" t="s">
        <v>232</v>
      </c>
      <c r="D2162" s="5">
        <v>44924</v>
      </c>
    </row>
    <row r="2163" spans="2:4">
      <c r="B2163" s="6" t="s">
        <v>370</v>
      </c>
      <c r="C2163" s="6" t="s">
        <v>304</v>
      </c>
      <c r="D2163" s="5">
        <v>44924</v>
      </c>
    </row>
    <row r="2164" spans="2:4">
      <c r="B2164" s="6" t="s">
        <v>615</v>
      </c>
      <c r="C2164" s="6" t="s">
        <v>321</v>
      </c>
      <c r="D2164" s="5">
        <v>44924</v>
      </c>
    </row>
    <row r="2165" spans="2:4">
      <c r="B2165" s="6" t="s">
        <v>240</v>
      </c>
      <c r="C2165" s="6" t="s">
        <v>250</v>
      </c>
      <c r="D2165" s="5">
        <v>44924</v>
      </c>
    </row>
    <row r="2166" spans="2:4">
      <c r="B2166" s="6" t="s">
        <v>329</v>
      </c>
      <c r="C2166" s="6" t="s">
        <v>603</v>
      </c>
      <c r="D2166" s="5">
        <v>44924</v>
      </c>
    </row>
    <row r="2167" spans="2:4">
      <c r="B2167" s="6" t="s">
        <v>187</v>
      </c>
      <c r="C2167" s="6" t="s">
        <v>221</v>
      </c>
      <c r="D2167" s="5">
        <v>44924</v>
      </c>
    </row>
    <row r="2168" spans="2:4">
      <c r="B2168" s="6" t="s">
        <v>363</v>
      </c>
      <c r="C2168" s="6" t="s">
        <v>139</v>
      </c>
      <c r="D2168" s="5">
        <v>44924</v>
      </c>
    </row>
    <row r="2169" spans="2:4">
      <c r="B2169" s="6" t="s">
        <v>607</v>
      </c>
      <c r="C2169" s="6" t="s">
        <v>344</v>
      </c>
      <c r="D2169" s="5">
        <v>44924</v>
      </c>
    </row>
    <row r="2170" spans="2:4">
      <c r="B2170" s="6" t="s">
        <v>381</v>
      </c>
      <c r="C2170" s="6" t="s">
        <v>159</v>
      </c>
      <c r="D2170" s="5">
        <v>44924</v>
      </c>
    </row>
    <row r="2171" spans="2:4">
      <c r="B2171" s="6" t="s">
        <v>161</v>
      </c>
      <c r="C2171" s="6" t="s">
        <v>396</v>
      </c>
      <c r="D2171" s="5">
        <v>44924</v>
      </c>
    </row>
    <row r="2172" spans="2:4">
      <c r="B2172" s="6" t="s">
        <v>398</v>
      </c>
      <c r="C2172" s="6" t="s">
        <v>166</v>
      </c>
      <c r="D2172" s="5">
        <v>44924</v>
      </c>
    </row>
    <row r="2173" spans="2:4">
      <c r="B2173" s="6" t="s">
        <v>151</v>
      </c>
      <c r="C2173" s="6" t="s">
        <v>331</v>
      </c>
      <c r="D2173" s="5">
        <v>44924</v>
      </c>
    </row>
    <row r="2174" spans="2:4">
      <c r="B2174" s="6" t="s">
        <v>309</v>
      </c>
      <c r="C2174" s="6" t="s">
        <v>305</v>
      </c>
      <c r="D2174" s="5">
        <v>44924</v>
      </c>
    </row>
    <row r="2175" spans="2:4">
      <c r="B2175" s="6" t="s">
        <v>206</v>
      </c>
      <c r="C2175" s="6" t="s">
        <v>426</v>
      </c>
      <c r="D2175" s="5">
        <v>44924</v>
      </c>
    </row>
    <row r="2176" spans="2:4">
      <c r="B2176" s="6" t="s">
        <v>153</v>
      </c>
      <c r="C2176" s="6" t="s">
        <v>403</v>
      </c>
      <c r="D2176" s="5">
        <v>44924</v>
      </c>
    </row>
    <row r="2177" spans="2:4">
      <c r="B2177" s="6" t="s">
        <v>391</v>
      </c>
      <c r="C2177" s="6" t="s">
        <v>158</v>
      </c>
      <c r="D2177" s="5">
        <v>44924</v>
      </c>
    </row>
    <row r="2178" spans="2:4">
      <c r="B2178" s="6" t="s">
        <v>190</v>
      </c>
      <c r="C2178" s="6" t="s">
        <v>393</v>
      </c>
      <c r="D2178" s="5">
        <v>44924</v>
      </c>
    </row>
    <row r="2179" spans="2:4">
      <c r="B2179" s="6" t="s">
        <v>164</v>
      </c>
      <c r="C2179" s="6" t="s">
        <v>77</v>
      </c>
      <c r="D2179" s="5">
        <v>44924</v>
      </c>
    </row>
    <row r="2180" spans="2:4">
      <c r="B2180" s="6" t="s">
        <v>160</v>
      </c>
      <c r="C2180" s="6" t="s">
        <v>404</v>
      </c>
      <c r="D2180" s="5">
        <v>44924</v>
      </c>
    </row>
    <row r="2181" spans="2:4">
      <c r="B2181" s="6" t="s">
        <v>207</v>
      </c>
      <c r="C2181" s="6" t="s">
        <v>599</v>
      </c>
      <c r="D2181" s="5">
        <v>44924</v>
      </c>
    </row>
    <row r="2182" spans="2:4">
      <c r="B2182" s="6" t="s">
        <v>420</v>
      </c>
      <c r="C2182" s="6" t="s">
        <v>236</v>
      </c>
      <c r="D2182" s="5">
        <v>44924</v>
      </c>
    </row>
    <row r="2183" spans="2:4">
      <c r="B2183" s="6" t="s">
        <v>621</v>
      </c>
      <c r="C2183" s="6" t="s">
        <v>423</v>
      </c>
      <c r="D2183" s="5">
        <v>44924</v>
      </c>
    </row>
    <row r="2184" spans="2:4">
      <c r="B2184" s="6" t="s">
        <v>93</v>
      </c>
      <c r="C2184" s="6" t="s">
        <v>72</v>
      </c>
      <c r="D2184" s="5">
        <v>44924</v>
      </c>
    </row>
    <row r="2185" spans="2:4">
      <c r="B2185" s="6" t="s">
        <v>428</v>
      </c>
      <c r="C2185" s="6" t="s">
        <v>141</v>
      </c>
      <c r="D2185" s="5">
        <v>44924</v>
      </c>
    </row>
    <row r="2186" spans="2:4">
      <c r="B2186" s="6" t="s">
        <v>49</v>
      </c>
      <c r="C2186" s="6" t="s">
        <v>251</v>
      </c>
      <c r="D2186" s="5">
        <v>44925</v>
      </c>
    </row>
    <row r="2187" spans="2:4">
      <c r="B2187" s="6" t="s">
        <v>51</v>
      </c>
      <c r="C2187" s="6" t="s">
        <v>770</v>
      </c>
      <c r="D2187" s="5">
        <v>44925</v>
      </c>
    </row>
    <row r="2188" spans="2:4">
      <c r="B2188" s="6" t="s">
        <v>131</v>
      </c>
      <c r="C2188" s="6" t="s">
        <v>113</v>
      </c>
      <c r="D2188" s="5">
        <v>44925</v>
      </c>
    </row>
    <row r="2189" spans="2:4">
      <c r="B2189" s="6" t="s">
        <v>46</v>
      </c>
      <c r="C2189" s="6" t="s">
        <v>48</v>
      </c>
      <c r="D2189" s="5">
        <v>44925</v>
      </c>
    </row>
    <row r="2190" spans="2:4">
      <c r="B2190" s="6" t="s">
        <v>278</v>
      </c>
      <c r="C2190" s="6" t="s">
        <v>220</v>
      </c>
      <c r="D2190" s="5">
        <v>44925</v>
      </c>
    </row>
    <row r="2191" spans="2:4">
      <c r="B2191" s="6" t="s">
        <v>244</v>
      </c>
      <c r="C2191" s="6" t="s">
        <v>230</v>
      </c>
      <c r="D2191" s="5">
        <v>44925</v>
      </c>
    </row>
    <row r="2192" spans="2:4">
      <c r="B2192" s="6" t="s">
        <v>276</v>
      </c>
      <c r="C2192" s="6" t="s">
        <v>454</v>
      </c>
      <c r="D2192" s="5">
        <v>44925</v>
      </c>
    </row>
    <row r="2193" spans="2:4">
      <c r="B2193" s="6" t="s">
        <v>216</v>
      </c>
      <c r="C2193" s="6" t="s">
        <v>130</v>
      </c>
      <c r="D2193" s="5">
        <v>44925</v>
      </c>
    </row>
    <row r="2194" spans="2:4">
      <c r="B2194" s="6" t="s">
        <v>122</v>
      </c>
      <c r="C2194" s="6" t="s">
        <v>238</v>
      </c>
      <c r="D2194" s="5">
        <v>44925</v>
      </c>
    </row>
    <row r="2195" spans="2:4">
      <c r="B2195" s="6" t="s">
        <v>148</v>
      </c>
      <c r="C2195" s="6" t="s">
        <v>114</v>
      </c>
      <c r="D2195" s="5">
        <v>44925</v>
      </c>
    </row>
    <row r="2196" spans="2:4">
      <c r="B2196" s="6" t="s">
        <v>761</v>
      </c>
      <c r="C2196" s="6" t="s">
        <v>203</v>
      </c>
      <c r="D2196" s="5">
        <v>44925</v>
      </c>
    </row>
    <row r="2197" spans="2:4">
      <c r="B2197" s="6" t="s">
        <v>59</v>
      </c>
      <c r="C2197" s="6" t="s">
        <v>362</v>
      </c>
      <c r="D2197" s="5">
        <v>44925</v>
      </c>
    </row>
    <row r="2198" spans="2:4">
      <c r="B2198" s="6" t="s">
        <v>105</v>
      </c>
      <c r="C2198" s="6" t="s">
        <v>692</v>
      </c>
      <c r="D2198" s="5">
        <v>44925</v>
      </c>
    </row>
    <row r="2199" spans="2:4">
      <c r="B2199" s="6" t="s">
        <v>127</v>
      </c>
      <c r="C2199" s="6" t="s">
        <v>347</v>
      </c>
      <c r="D2199" s="5">
        <v>44925</v>
      </c>
    </row>
    <row r="2200" spans="2:4">
      <c r="B2200" s="6" t="s">
        <v>211</v>
      </c>
      <c r="C2200" s="6" t="s">
        <v>117</v>
      </c>
      <c r="D2200" s="5">
        <v>44925</v>
      </c>
    </row>
    <row r="2201" spans="2:4">
      <c r="B2201" s="6" t="s">
        <v>580</v>
      </c>
      <c r="C2201" s="6" t="s">
        <v>176</v>
      </c>
      <c r="D2201" s="5">
        <v>44925</v>
      </c>
    </row>
    <row r="2202" spans="2:4">
      <c r="B2202" s="6" t="s">
        <v>137</v>
      </c>
      <c r="C2202" s="6" t="s">
        <v>360</v>
      </c>
      <c r="D2202" s="5">
        <v>44925</v>
      </c>
    </row>
    <row r="2203" spans="2:4">
      <c r="B2203" s="6" t="s">
        <v>204</v>
      </c>
      <c r="C2203" s="6" t="s">
        <v>233</v>
      </c>
      <c r="D2203" s="5">
        <v>44925</v>
      </c>
    </row>
    <row r="2204" spans="2:4">
      <c r="B2204" s="6" t="s">
        <v>112</v>
      </c>
      <c r="C2204" s="6" t="s">
        <v>361</v>
      </c>
      <c r="D2204" s="5">
        <v>44925</v>
      </c>
    </row>
    <row r="2205" spans="2:4">
      <c r="B2205" s="6" t="s">
        <v>185</v>
      </c>
      <c r="C2205" s="6" t="s">
        <v>183</v>
      </c>
      <c r="D2205" s="5">
        <v>44925</v>
      </c>
    </row>
    <row r="2206" spans="2:4">
      <c r="B2206" s="6" t="s">
        <v>91</v>
      </c>
      <c r="C2206" s="6" t="s">
        <v>399</v>
      </c>
      <c r="D2206" s="5">
        <v>44925</v>
      </c>
    </row>
    <row r="2207" spans="2:4">
      <c r="B2207" s="6" t="s">
        <v>90</v>
      </c>
      <c r="C2207" s="6" t="s">
        <v>247</v>
      </c>
      <c r="D2207" s="5">
        <v>44925</v>
      </c>
    </row>
    <row r="2208" spans="2:4">
      <c r="B2208" s="6" t="s">
        <v>353</v>
      </c>
      <c r="C2208" s="6" t="s">
        <v>173</v>
      </c>
      <c r="D2208" s="5">
        <v>44925</v>
      </c>
    </row>
    <row r="2209" spans="2:4">
      <c r="B2209" s="6" t="s">
        <v>584</v>
      </c>
      <c r="C2209" s="6" t="s">
        <v>134</v>
      </c>
      <c r="D2209" s="5">
        <v>44925</v>
      </c>
    </row>
    <row r="2210" spans="2:4">
      <c r="B2210" s="6" t="s">
        <v>65</v>
      </c>
      <c r="C2210" s="6" t="s">
        <v>414</v>
      </c>
      <c r="D2210" s="5">
        <v>44925</v>
      </c>
    </row>
    <row r="2211" spans="2:4">
      <c r="B2211" s="6" t="s">
        <v>64</v>
      </c>
      <c r="C2211" s="6" t="s">
        <v>116</v>
      </c>
      <c r="D2211" s="5">
        <v>44925</v>
      </c>
    </row>
    <row r="2212" spans="2:4">
      <c r="B2212" s="6" t="s">
        <v>196</v>
      </c>
      <c r="C2212" s="6" t="s">
        <v>359</v>
      </c>
      <c r="D2212" s="5">
        <v>44925</v>
      </c>
    </row>
    <row r="2213" spans="2:4">
      <c r="B2213" s="6" t="s">
        <v>128</v>
      </c>
      <c r="C2213" s="6" t="s">
        <v>142</v>
      </c>
      <c r="D2213" s="5">
        <v>44925</v>
      </c>
    </row>
    <row r="2214" spans="2:4">
      <c r="B2214" s="6" t="s">
        <v>71</v>
      </c>
      <c r="C2214" s="6" t="s">
        <v>74</v>
      </c>
      <c r="D2214" s="5">
        <v>44925</v>
      </c>
    </row>
    <row r="2215" spans="2:4">
      <c r="B2215" s="6" t="s">
        <v>804</v>
      </c>
      <c r="C2215" s="6" t="s">
        <v>75</v>
      </c>
      <c r="D2215" s="5">
        <v>44925</v>
      </c>
    </row>
    <row r="2216" spans="2:4">
      <c r="B2216" s="6" t="s">
        <v>747</v>
      </c>
      <c r="C2216" s="6" t="s">
        <v>28</v>
      </c>
      <c r="D2216" s="5">
        <v>44926</v>
      </c>
    </row>
    <row r="2217" spans="2:4">
      <c r="B2217" s="6" t="s">
        <v>29</v>
      </c>
      <c r="C2217" s="6" t="s">
        <v>30</v>
      </c>
      <c r="D2217" s="5">
        <v>44926</v>
      </c>
    </row>
    <row r="2218" spans="2:4">
      <c r="B2218" s="6" t="s">
        <v>34</v>
      </c>
      <c r="C2218" s="6" t="s">
        <v>27</v>
      </c>
      <c r="D2218" s="5">
        <v>44926</v>
      </c>
    </row>
    <row r="2219" spans="2:4">
      <c r="B2219" s="6" t="s">
        <v>50</v>
      </c>
      <c r="C2219" s="6" t="s">
        <v>188</v>
      </c>
      <c r="D2219" s="5">
        <v>44926</v>
      </c>
    </row>
    <row r="2220" spans="2:4">
      <c r="B2220" s="6" t="s">
        <v>47</v>
      </c>
      <c r="C2220" s="6" t="s">
        <v>54</v>
      </c>
      <c r="D2220" s="5">
        <v>44926</v>
      </c>
    </row>
    <row r="2221" spans="2:4">
      <c r="B2221" s="6" t="s">
        <v>750</v>
      </c>
      <c r="C2221" s="6" t="s">
        <v>32</v>
      </c>
      <c r="D2221" s="5">
        <v>44926</v>
      </c>
    </row>
    <row r="2222" spans="2:4">
      <c r="B2222" s="6" t="s">
        <v>427</v>
      </c>
      <c r="C2222" s="6" t="s">
        <v>396</v>
      </c>
      <c r="D2222" s="5">
        <v>44926</v>
      </c>
    </row>
    <row r="2223" spans="2:4">
      <c r="B2223" s="6" t="s">
        <v>356</v>
      </c>
      <c r="C2223" s="6" t="s">
        <v>355</v>
      </c>
      <c r="D2223" s="5">
        <v>44926</v>
      </c>
    </row>
    <row r="2224" spans="2:4">
      <c r="B2224" s="6" t="s">
        <v>80</v>
      </c>
      <c r="C2224" s="6" t="s">
        <v>43</v>
      </c>
      <c r="D2224" s="5">
        <v>44926</v>
      </c>
    </row>
    <row r="2225" spans="2:4">
      <c r="B2225" s="6" t="s">
        <v>410</v>
      </c>
      <c r="C2225" s="6" t="s">
        <v>709</v>
      </c>
      <c r="D2225" s="5">
        <v>44926</v>
      </c>
    </row>
    <row r="2226" spans="2:4">
      <c r="B2226" s="6" t="s">
        <v>53</v>
      </c>
      <c r="C2226" s="6" t="s">
        <v>52</v>
      </c>
      <c r="D2226" s="5">
        <v>44926</v>
      </c>
    </row>
    <row r="2227" spans="2:4">
      <c r="B2227" s="6" t="s">
        <v>215</v>
      </c>
      <c r="C2227" s="6" t="s">
        <v>253</v>
      </c>
      <c r="D2227" s="5">
        <v>44926</v>
      </c>
    </row>
    <row r="2228" spans="2:4">
      <c r="B2228" s="6" t="s">
        <v>138</v>
      </c>
      <c r="C2228" s="6" t="s">
        <v>100</v>
      </c>
      <c r="D2228" s="5">
        <v>44926</v>
      </c>
    </row>
    <row r="2229" spans="2:4">
      <c r="B2229" s="6" t="s">
        <v>36</v>
      </c>
      <c r="C2229" s="6" t="s">
        <v>302</v>
      </c>
      <c r="D2229" s="5">
        <v>44926</v>
      </c>
    </row>
    <row r="2230" spans="2:4">
      <c r="B2230" s="6" t="s">
        <v>39</v>
      </c>
      <c r="C2230" s="6" t="s">
        <v>732</v>
      </c>
      <c r="D2230" s="5">
        <v>44926</v>
      </c>
    </row>
    <row r="2231" spans="2:4">
      <c r="B2231" s="6" t="s">
        <v>422</v>
      </c>
      <c r="C2231" s="6" t="s">
        <v>358</v>
      </c>
      <c r="D2231" s="5">
        <v>44926</v>
      </c>
    </row>
    <row r="2232" spans="2:4">
      <c r="B2232" s="6" t="s">
        <v>123</v>
      </c>
      <c r="C2232" s="6" t="s">
        <v>432</v>
      </c>
      <c r="D2232" s="5">
        <v>44926</v>
      </c>
    </row>
    <row r="2233" spans="2:4">
      <c r="B2233" s="6" t="s">
        <v>272</v>
      </c>
      <c r="C2233" s="6" t="s">
        <v>99</v>
      </c>
      <c r="D2233" s="5">
        <v>44926</v>
      </c>
    </row>
    <row r="2234" spans="2:4">
      <c r="B2234" s="6" t="s">
        <v>106</v>
      </c>
      <c r="C2234" s="6" t="s">
        <v>126</v>
      </c>
      <c r="D2234" s="5">
        <v>44926</v>
      </c>
    </row>
    <row r="2235" spans="2:4">
      <c r="B2235" s="6" t="s">
        <v>97</v>
      </c>
      <c r="C2235" s="6" t="s">
        <v>108</v>
      </c>
      <c r="D2235" s="5">
        <v>44926</v>
      </c>
    </row>
    <row r="2236" spans="2:4">
      <c r="B2236" s="6" t="s">
        <v>334</v>
      </c>
      <c r="C2236" s="6" t="s">
        <v>133</v>
      </c>
      <c r="D2236" s="5">
        <v>44926</v>
      </c>
    </row>
    <row r="2237" spans="2:4">
      <c r="B2237" s="6" t="s">
        <v>284</v>
      </c>
      <c r="C2237" s="6" t="s">
        <v>124</v>
      </c>
      <c r="D2237" s="5">
        <v>44926</v>
      </c>
    </row>
    <row r="2238" spans="2:4">
      <c r="B2238" s="6" t="s">
        <v>282</v>
      </c>
      <c r="C2238" s="6" t="s">
        <v>102</v>
      </c>
      <c r="D2238" s="5">
        <v>44926</v>
      </c>
    </row>
    <row r="2239" spans="2:4">
      <c r="B2239" s="6" t="s">
        <v>261</v>
      </c>
      <c r="C2239" s="6" t="s">
        <v>436</v>
      </c>
      <c r="D2239" s="5">
        <v>44926</v>
      </c>
    </row>
    <row r="2240" spans="2:4">
      <c r="B2240" s="6" t="s">
        <v>246</v>
      </c>
      <c r="C2240" s="6" t="s">
        <v>587</v>
      </c>
      <c r="D2240" s="5">
        <v>44926</v>
      </c>
    </row>
    <row r="2241" spans="2:4">
      <c r="B2241" s="6" t="s">
        <v>98</v>
      </c>
      <c r="C2241" s="6" t="s">
        <v>175</v>
      </c>
      <c r="D2241" s="5">
        <v>44926</v>
      </c>
    </row>
    <row r="2242" spans="2:4">
      <c r="B2242" s="6" t="s">
        <v>405</v>
      </c>
      <c r="C2242" s="6" t="s">
        <v>336</v>
      </c>
      <c r="D2242" s="5">
        <v>44926</v>
      </c>
    </row>
    <row r="2243" spans="2:4">
      <c r="B2243" s="6" t="s">
        <v>178</v>
      </c>
      <c r="C2243" s="6" t="s">
        <v>268</v>
      </c>
      <c r="D2243" s="5">
        <v>44926</v>
      </c>
    </row>
    <row r="2244" spans="2:4">
      <c r="B2244" s="6" t="s">
        <v>292</v>
      </c>
      <c r="C2244" s="6" t="s">
        <v>120</v>
      </c>
      <c r="D2244" s="5">
        <v>44926</v>
      </c>
    </row>
    <row r="2245" spans="2:4">
      <c r="B2245" s="6" t="s">
        <v>212</v>
      </c>
      <c r="C2245" s="6" t="s">
        <v>411</v>
      </c>
      <c r="D2245" s="5">
        <v>44926</v>
      </c>
    </row>
    <row r="2246" spans="2:4">
      <c r="B2246" s="6" t="s">
        <v>26</v>
      </c>
      <c r="C2246" s="6" t="s">
        <v>778</v>
      </c>
      <c r="D2246" s="5">
        <v>44926</v>
      </c>
    </row>
    <row r="2247" spans="2:4">
      <c r="B2247" s="6" t="s">
        <v>44</v>
      </c>
      <c r="C2247" s="6" t="s">
        <v>737</v>
      </c>
      <c r="D2247" s="5">
        <v>44926</v>
      </c>
    </row>
    <row r="2248" spans="2:4">
      <c r="B2248" s="6" t="s">
        <v>35</v>
      </c>
      <c r="C2248" s="6" t="s">
        <v>37</v>
      </c>
      <c r="D2248" s="5">
        <v>44926</v>
      </c>
    </row>
    <row r="2249" spans="2:4">
      <c r="B2249" s="6" t="s">
        <v>719</v>
      </c>
      <c r="C2249" s="6" t="s">
        <v>70</v>
      </c>
      <c r="D2249" s="5">
        <v>44926</v>
      </c>
    </row>
    <row r="2250" spans="2:4">
      <c r="B2250" s="6" t="s">
        <v>199</v>
      </c>
      <c r="C2250" s="6" t="s">
        <v>214</v>
      </c>
      <c r="D2250" s="5">
        <v>44926</v>
      </c>
    </row>
    <row r="2251" spans="2:4">
      <c r="B2251" s="6" t="s">
        <v>119</v>
      </c>
      <c r="C2251" s="6" t="s">
        <v>280</v>
      </c>
      <c r="D2251" s="5">
        <v>44926</v>
      </c>
    </row>
    <row r="2252" spans="2:4">
      <c r="B2252" s="6" t="s">
        <v>177</v>
      </c>
      <c r="C2252" s="6" t="s">
        <v>269</v>
      </c>
      <c r="D2252" s="5">
        <v>44926</v>
      </c>
    </row>
    <row r="2253" spans="2:4">
      <c r="B2253" s="6" t="s">
        <v>182</v>
      </c>
      <c r="C2253" s="6" t="s">
        <v>373</v>
      </c>
      <c r="D2253" s="5">
        <v>44926</v>
      </c>
    </row>
    <row r="2254" spans="2:4">
      <c r="B2254" s="6" t="s">
        <v>281</v>
      </c>
      <c r="C2254" s="6" t="s">
        <v>200</v>
      </c>
      <c r="D2254" s="5">
        <v>44926</v>
      </c>
    </row>
    <row r="2255" spans="2:4">
      <c r="B2255" s="6" t="s">
        <v>252</v>
      </c>
      <c r="C2255" s="6" t="s">
        <v>300</v>
      </c>
      <c r="D2255" s="5">
        <v>44926</v>
      </c>
    </row>
    <row r="2256" spans="2:4">
      <c r="B2256" s="6" t="s">
        <v>121</v>
      </c>
      <c r="C2256" s="6" t="s">
        <v>210</v>
      </c>
      <c r="D2256" s="5">
        <v>44926</v>
      </c>
    </row>
    <row r="2257" spans="2:4">
      <c r="B2257" s="6" t="s">
        <v>168</v>
      </c>
      <c r="C2257" s="6" t="s">
        <v>394</v>
      </c>
      <c r="D2257" s="5">
        <v>44926</v>
      </c>
    </row>
    <row r="2258" spans="2:4">
      <c r="B2258" s="6" t="s">
        <v>323</v>
      </c>
      <c r="C2258" s="6" t="s">
        <v>290</v>
      </c>
      <c r="D2258" s="5">
        <v>44926</v>
      </c>
    </row>
    <row r="2259" spans="2:4">
      <c r="B2259" s="6" t="s">
        <v>191</v>
      </c>
      <c r="C2259" s="6" t="s">
        <v>297</v>
      </c>
      <c r="D2259" s="5">
        <v>44926</v>
      </c>
    </row>
    <row r="2260" spans="2:4">
      <c r="B2260" s="6" t="s">
        <v>202</v>
      </c>
      <c r="C2260" s="6" t="s">
        <v>192</v>
      </c>
      <c r="D2260" s="5">
        <v>44926</v>
      </c>
    </row>
    <row r="2261" spans="2:4">
      <c r="B2261" s="6" t="s">
        <v>110</v>
      </c>
      <c r="C2261" s="6" t="s">
        <v>425</v>
      </c>
      <c r="D2261" s="5">
        <v>44926</v>
      </c>
    </row>
    <row r="2262" spans="2:4">
      <c r="B2262" s="6" t="s">
        <v>298</v>
      </c>
      <c r="C2262" s="6" t="s">
        <v>395</v>
      </c>
      <c r="D2262" s="5">
        <v>44926</v>
      </c>
    </row>
    <row r="2263" spans="2:4">
      <c r="B2263" s="6" t="s">
        <v>171</v>
      </c>
      <c r="C2263" s="6" t="s">
        <v>104</v>
      </c>
      <c r="D2263" s="5">
        <v>44926</v>
      </c>
    </row>
    <row r="2264" spans="2:4">
      <c r="B2264" s="6" t="s">
        <v>103</v>
      </c>
      <c r="C2264" s="6" t="s">
        <v>267</v>
      </c>
      <c r="D2264" s="5">
        <v>44926</v>
      </c>
    </row>
    <row r="2265" spans="2:4">
      <c r="B2265" s="6" t="s">
        <v>136</v>
      </c>
      <c r="C2265" s="6" t="s">
        <v>365</v>
      </c>
      <c r="D2265" s="5">
        <v>44926</v>
      </c>
    </row>
    <row r="2266" spans="2:4">
      <c r="B2266" s="6" t="s">
        <v>193</v>
      </c>
      <c r="C2266" s="6" t="s">
        <v>409</v>
      </c>
      <c r="D2266" s="5">
        <v>44926</v>
      </c>
    </row>
    <row r="2267" spans="2:4">
      <c r="B2267" s="6" t="s">
        <v>259</v>
      </c>
      <c r="C2267" s="6" t="s">
        <v>306</v>
      </c>
      <c r="D2267" s="5">
        <v>44926</v>
      </c>
    </row>
    <row r="2268" spans="2:4">
      <c r="B2268" s="6" t="s">
        <v>294</v>
      </c>
      <c r="C2268" s="6" t="s">
        <v>289</v>
      </c>
      <c r="D2268" s="5">
        <v>44926</v>
      </c>
    </row>
    <row r="2269" spans="2:4">
      <c r="B2269" s="6" t="s">
        <v>208</v>
      </c>
      <c r="C2269" s="6" t="s">
        <v>330</v>
      </c>
      <c r="D2269" s="5">
        <v>44926</v>
      </c>
    </row>
    <row r="2270" spans="2:4">
      <c r="B2270" s="6" t="s">
        <v>357</v>
      </c>
      <c r="C2270" s="6" t="s">
        <v>331</v>
      </c>
      <c r="D2270" s="5">
        <v>44926</v>
      </c>
    </row>
    <row r="2271" spans="2:4">
      <c r="B2271" s="6" t="s">
        <v>172</v>
      </c>
      <c r="C2271" s="6" t="s">
        <v>256</v>
      </c>
      <c r="D2271" s="5">
        <v>44926</v>
      </c>
    </row>
    <row r="2272" spans="2:4">
      <c r="B2272" s="6" t="s">
        <v>118</v>
      </c>
      <c r="C2272" s="6" t="s">
        <v>129</v>
      </c>
      <c r="D2272" s="5">
        <v>44926</v>
      </c>
    </row>
    <row r="2273" spans="2:4">
      <c r="B2273" s="6" t="s">
        <v>146</v>
      </c>
      <c r="C2273" s="6" t="s">
        <v>413</v>
      </c>
      <c r="D2273" s="5">
        <v>44926</v>
      </c>
    </row>
    <row r="2274" spans="2:4">
      <c r="B2274" s="6" t="s">
        <v>327</v>
      </c>
      <c r="C2274" s="6" t="s">
        <v>179</v>
      </c>
      <c r="D2274" s="5">
        <v>44926</v>
      </c>
    </row>
    <row r="2275" spans="2:4">
      <c r="B2275" s="6" t="s">
        <v>354</v>
      </c>
      <c r="C2275" s="6" t="s">
        <v>147</v>
      </c>
      <c r="D2275" s="5">
        <v>44926</v>
      </c>
    </row>
    <row r="2276" spans="2:4">
      <c r="B2276" s="6" t="s">
        <v>418</v>
      </c>
      <c r="C2276" s="6" t="s">
        <v>296</v>
      </c>
      <c r="D2276" s="5">
        <v>44926</v>
      </c>
    </row>
    <row r="2277" spans="2:4">
      <c r="B2277" s="6" t="s">
        <v>326</v>
      </c>
      <c r="C2277" s="6" t="s">
        <v>318</v>
      </c>
      <c r="D2277" s="5">
        <v>44926</v>
      </c>
    </row>
    <row r="2278" spans="2:4">
      <c r="B2278" s="6" t="s">
        <v>198</v>
      </c>
      <c r="C2278" s="6" t="s">
        <v>169</v>
      </c>
      <c r="D2278" s="5">
        <v>44926</v>
      </c>
    </row>
    <row r="2279" spans="2:4">
      <c r="B2279" s="6" t="s">
        <v>378</v>
      </c>
      <c r="C2279" s="6" t="s">
        <v>344</v>
      </c>
      <c r="D2279" s="5">
        <v>44926</v>
      </c>
    </row>
    <row r="2280" spans="2:4">
      <c r="B2280" s="6" t="s">
        <v>270</v>
      </c>
      <c r="C2280" s="6" t="s">
        <v>273</v>
      </c>
      <c r="D2280" s="5">
        <v>44926</v>
      </c>
    </row>
    <row r="2281" spans="2:4">
      <c r="B2281" s="6" t="s">
        <v>367</v>
      </c>
      <c r="C2281" s="6" t="s">
        <v>333</v>
      </c>
      <c r="D2281" s="5">
        <v>44926</v>
      </c>
    </row>
    <row r="2282" spans="2:4">
      <c r="B2282" s="6" t="s">
        <v>316</v>
      </c>
      <c r="C2282" s="6" t="s">
        <v>286</v>
      </c>
      <c r="D2282" s="5">
        <v>44926</v>
      </c>
    </row>
    <row r="2283" spans="2:4">
      <c r="B2283" s="6" t="s">
        <v>385</v>
      </c>
      <c r="C2283" s="6" t="s">
        <v>348</v>
      </c>
      <c r="D2283" s="5">
        <v>44926</v>
      </c>
    </row>
    <row r="2284" spans="2:4">
      <c r="B2284" s="6" t="s">
        <v>151</v>
      </c>
      <c r="C2284" s="6" t="s">
        <v>184</v>
      </c>
      <c r="D2284" s="5">
        <v>44926</v>
      </c>
    </row>
    <row r="2285" spans="2:4">
      <c r="B2285" s="6" t="s">
        <v>321</v>
      </c>
      <c r="C2285" s="6" t="s">
        <v>370</v>
      </c>
      <c r="D2285" s="5">
        <v>44926</v>
      </c>
    </row>
    <row r="2286" spans="2:4">
      <c r="B2286" s="6" t="s">
        <v>101</v>
      </c>
      <c r="C2286" s="6" t="s">
        <v>324</v>
      </c>
      <c r="D2286" s="5">
        <v>44926</v>
      </c>
    </row>
    <row r="2287" spans="2:4">
      <c r="B2287" s="6" t="s">
        <v>412</v>
      </c>
      <c r="C2287" s="6" t="s">
        <v>397</v>
      </c>
      <c r="D2287" s="5">
        <v>44926</v>
      </c>
    </row>
    <row r="2288" spans="2:4">
      <c r="B2288" s="6" t="s">
        <v>343</v>
      </c>
      <c r="C2288" s="6" t="s">
        <v>640</v>
      </c>
      <c r="D2288" s="5">
        <v>44926</v>
      </c>
    </row>
    <row r="2289" spans="2:4">
      <c r="B2289" s="6" t="s">
        <v>163</v>
      </c>
      <c r="C2289" s="6" t="s">
        <v>392</v>
      </c>
      <c r="D2289" s="5">
        <v>44926</v>
      </c>
    </row>
    <row r="2290" spans="2:4">
      <c r="B2290" s="6" t="s">
        <v>352</v>
      </c>
      <c r="C2290" s="6" t="s">
        <v>275</v>
      </c>
      <c r="D2290" s="5">
        <v>44926</v>
      </c>
    </row>
    <row r="2291" spans="2:4">
      <c r="B2291" s="6" t="s">
        <v>135</v>
      </c>
      <c r="C2291" s="6" t="s">
        <v>274</v>
      </c>
      <c r="D2291" s="5">
        <v>44926</v>
      </c>
    </row>
    <row r="2292" spans="2:4">
      <c r="B2292" s="6" t="s">
        <v>93</v>
      </c>
      <c r="C2292" s="6" t="s">
        <v>77</v>
      </c>
      <c r="D2292" s="5">
        <v>44926</v>
      </c>
    </row>
    <row r="2293" spans="2:4">
      <c r="B2293" s="6" t="s">
        <v>242</v>
      </c>
      <c r="C2293" s="6" t="s">
        <v>313</v>
      </c>
      <c r="D2293" s="5">
        <v>44926</v>
      </c>
    </row>
    <row r="2294" spans="2:4">
      <c r="B2294" s="6" t="s">
        <v>195</v>
      </c>
      <c r="C2294" s="6" t="s">
        <v>368</v>
      </c>
      <c r="D2294" s="5">
        <v>44926</v>
      </c>
    </row>
    <row r="2295" spans="2:4">
      <c r="B2295" s="6" t="s">
        <v>376</v>
      </c>
      <c r="C2295" s="6" t="s">
        <v>143</v>
      </c>
      <c r="D2295" s="5">
        <v>44926</v>
      </c>
    </row>
    <row r="2296" spans="2:4">
      <c r="B2296" s="6" t="s">
        <v>350</v>
      </c>
      <c r="C2296" s="6" t="s">
        <v>337</v>
      </c>
      <c r="D2296" s="5">
        <v>44926</v>
      </c>
    </row>
    <row r="2297" spans="2:4">
      <c r="B2297" s="6" t="s">
        <v>386</v>
      </c>
      <c r="C2297" s="6" t="s">
        <v>433</v>
      </c>
      <c r="D2297" s="5">
        <v>44926</v>
      </c>
    </row>
    <row r="2298" spans="2:4">
      <c r="B2298" s="6" t="s">
        <v>152</v>
      </c>
      <c r="C2298" s="6" t="s">
        <v>189</v>
      </c>
      <c r="D2298" s="5">
        <v>44926</v>
      </c>
    </row>
    <row r="2299" spans="2:4">
      <c r="B2299" s="6" t="s">
        <v>345</v>
      </c>
      <c r="C2299" s="6" t="s">
        <v>388</v>
      </c>
      <c r="D2299" s="5">
        <v>44926</v>
      </c>
    </row>
    <row r="2300" spans="2:4">
      <c r="B2300" s="6" t="s">
        <v>383</v>
      </c>
      <c r="C2300" s="6" t="s">
        <v>607</v>
      </c>
      <c r="D2300" s="5">
        <v>44926</v>
      </c>
    </row>
    <row r="2301" spans="2:4">
      <c r="B2301" s="6" t="s">
        <v>287</v>
      </c>
      <c r="C2301" s="6" t="s">
        <v>111</v>
      </c>
      <c r="D2301" s="5">
        <v>44926</v>
      </c>
    </row>
    <row r="2302" spans="2:4">
      <c r="B2302" s="6" t="s">
        <v>338</v>
      </c>
      <c r="C2302" s="6" t="s">
        <v>590</v>
      </c>
      <c r="D2302" s="5">
        <v>44926</v>
      </c>
    </row>
    <row r="2303" spans="2:4">
      <c r="B2303" s="6" t="s">
        <v>206</v>
      </c>
      <c r="C2303" s="6" t="s">
        <v>403</v>
      </c>
      <c r="D2303" s="5">
        <v>44926</v>
      </c>
    </row>
    <row r="2304" spans="2:4">
      <c r="B2304" s="6" t="s">
        <v>190</v>
      </c>
      <c r="C2304" s="6" t="s">
        <v>158</v>
      </c>
      <c r="D2304" s="5">
        <v>44926</v>
      </c>
    </row>
    <row r="2305" spans="2:4">
      <c r="B2305" s="6" t="s">
        <v>391</v>
      </c>
      <c r="C2305" s="6" t="s">
        <v>393</v>
      </c>
      <c r="D2305" s="5">
        <v>44926</v>
      </c>
    </row>
    <row r="2306" spans="2:4">
      <c r="B2306" s="6" t="s">
        <v>255</v>
      </c>
      <c r="C2306" s="6" t="s">
        <v>610</v>
      </c>
      <c r="D2306" s="5">
        <v>44926</v>
      </c>
    </row>
    <row r="2307" spans="2:4">
      <c r="B2307" s="6" t="s">
        <v>250</v>
      </c>
      <c r="C2307" s="6" t="s">
        <v>305</v>
      </c>
      <c r="D2307" s="5">
        <v>44926</v>
      </c>
    </row>
    <row r="2308" spans="2:4">
      <c r="B2308" s="6" t="s">
        <v>329</v>
      </c>
      <c r="C2308" s="6" t="s">
        <v>615</v>
      </c>
      <c r="D2308" s="5">
        <v>44926</v>
      </c>
    </row>
    <row r="2309" spans="2:4">
      <c r="B2309" s="6" t="s">
        <v>309</v>
      </c>
      <c r="C2309" s="6" t="s">
        <v>240</v>
      </c>
      <c r="D2309" s="5">
        <v>44926</v>
      </c>
    </row>
    <row r="2310" spans="2:4">
      <c r="B2310" s="6" t="s">
        <v>603</v>
      </c>
      <c r="C2310" s="6" t="s">
        <v>304</v>
      </c>
      <c r="D2310" s="5">
        <v>44926</v>
      </c>
    </row>
    <row r="2311" spans="2:4">
      <c r="B2311" s="6" t="s">
        <v>132</v>
      </c>
      <c r="C2311" s="6" t="s">
        <v>165</v>
      </c>
      <c r="D2311" s="5">
        <v>44926</v>
      </c>
    </row>
    <row r="2312" spans="2:4">
      <c r="B2312" s="6" t="s">
        <v>94</v>
      </c>
      <c r="C2312" s="6" t="s">
        <v>342</v>
      </c>
      <c r="D2312" s="5">
        <v>44926</v>
      </c>
    </row>
    <row r="2313" spans="2:4">
      <c r="B2313" s="6" t="s">
        <v>150</v>
      </c>
      <c r="C2313" s="6" t="s">
        <v>194</v>
      </c>
      <c r="D2313" s="5">
        <v>44926</v>
      </c>
    </row>
    <row r="2314" spans="2:4">
      <c r="B2314" s="6" t="s">
        <v>389</v>
      </c>
      <c r="C2314" s="6" t="s">
        <v>402</v>
      </c>
      <c r="D2314" s="5">
        <v>44926</v>
      </c>
    </row>
    <row r="2315" spans="2:4">
      <c r="B2315" s="6" t="s">
        <v>588</v>
      </c>
      <c r="C2315" s="6" t="s">
        <v>295</v>
      </c>
      <c r="D2315" s="5">
        <v>44926</v>
      </c>
    </row>
    <row r="2316" spans="2:4">
      <c r="B2316" s="6" t="s">
        <v>164</v>
      </c>
      <c r="C2316" s="6" t="s">
        <v>72</v>
      </c>
      <c r="D2316" s="5">
        <v>44926</v>
      </c>
    </row>
    <row r="2317" spans="2:4">
      <c r="B2317" s="6" t="s">
        <v>375</v>
      </c>
      <c r="C2317" s="6" t="s">
        <v>415</v>
      </c>
      <c r="D2317" s="5">
        <v>44926</v>
      </c>
    </row>
    <row r="2318" spans="2:4">
      <c r="B2318" s="6" t="s">
        <v>424</v>
      </c>
      <c r="C2318" s="6" t="s">
        <v>159</v>
      </c>
      <c r="D2318" s="5">
        <v>44926</v>
      </c>
    </row>
    <row r="2319" spans="2:4">
      <c r="B2319" s="6" t="s">
        <v>420</v>
      </c>
      <c r="C2319" s="6" t="s">
        <v>154</v>
      </c>
      <c r="D2319" s="5">
        <v>44926</v>
      </c>
    </row>
    <row r="2320" spans="2:4">
      <c r="B2320" s="6" t="s">
        <v>160</v>
      </c>
      <c r="C2320" s="6" t="s">
        <v>398</v>
      </c>
      <c r="D2320" s="5">
        <v>44926</v>
      </c>
    </row>
    <row r="2321" spans="2:4">
      <c r="B2321" s="6" t="s">
        <v>404</v>
      </c>
      <c r="C2321" s="6" t="s">
        <v>166</v>
      </c>
      <c r="D2321" s="5">
        <v>44926</v>
      </c>
    </row>
    <row r="2322" spans="2:4">
      <c r="B2322" s="6" t="s">
        <v>423</v>
      </c>
      <c r="C2322" s="6" t="s">
        <v>236</v>
      </c>
      <c r="D2322" s="5">
        <v>44926</v>
      </c>
    </row>
    <row r="2323" spans="2:4">
      <c r="B2323" s="6" t="s">
        <v>69</v>
      </c>
      <c r="C2323" s="6" t="s">
        <v>779</v>
      </c>
      <c r="D2323" s="5">
        <v>44926</v>
      </c>
    </row>
    <row r="2324" spans="2:4">
      <c r="B2324" s="6" t="s">
        <v>153</v>
      </c>
      <c r="C2324" s="6" t="s">
        <v>426</v>
      </c>
      <c r="D2324" s="5">
        <v>44926</v>
      </c>
    </row>
    <row r="2325" spans="2:4">
      <c r="B2325" s="6" t="s">
        <v>157</v>
      </c>
      <c r="C2325" s="6" t="s">
        <v>161</v>
      </c>
      <c r="D2325" s="5">
        <v>44926</v>
      </c>
    </row>
    <row r="2326" spans="2:4">
      <c r="B2326" s="6" t="s">
        <v>621</v>
      </c>
      <c r="C2326" s="6" t="s">
        <v>599</v>
      </c>
      <c r="D2326" s="5">
        <v>44926</v>
      </c>
    </row>
    <row r="2327" spans="2:4">
      <c r="B2327" s="6" t="s">
        <v>428</v>
      </c>
      <c r="C2327" s="6" t="s">
        <v>207</v>
      </c>
      <c r="D2327" s="5">
        <v>44926</v>
      </c>
    </row>
    <row r="2328" spans="2:4">
      <c r="B2328" s="6" t="s">
        <v>586</v>
      </c>
      <c r="C2328" s="6" t="s">
        <v>167</v>
      </c>
      <c r="D2328" s="5">
        <v>44926</v>
      </c>
    </row>
    <row r="2329" spans="2:4">
      <c r="B2329" s="6" t="s">
        <v>301</v>
      </c>
      <c r="C2329" s="6" t="s">
        <v>205</v>
      </c>
      <c r="D2329" s="5">
        <v>44927</v>
      </c>
    </row>
    <row r="2330" spans="2:4">
      <c r="B2330" s="6" t="s">
        <v>204</v>
      </c>
      <c r="C2330" s="6" t="s">
        <v>117</v>
      </c>
      <c r="D2330" s="5">
        <v>44927</v>
      </c>
    </row>
    <row r="2331" spans="2:4">
      <c r="B2331" s="6" t="s">
        <v>211</v>
      </c>
      <c r="C2331" s="6" t="s">
        <v>233</v>
      </c>
      <c r="D2331" s="5">
        <v>44927</v>
      </c>
    </row>
    <row r="2332" spans="2:4">
      <c r="B2332" s="6" t="s">
        <v>213</v>
      </c>
      <c r="C2332" s="6" t="s">
        <v>312</v>
      </c>
      <c r="D2332" s="5">
        <v>44927</v>
      </c>
    </row>
    <row r="2333" spans="2:4">
      <c r="B2333" s="6" t="s">
        <v>351</v>
      </c>
      <c r="C2333" s="6" t="s">
        <v>125</v>
      </c>
      <c r="D2333" s="5">
        <v>44927</v>
      </c>
    </row>
    <row r="2334" spans="2:4">
      <c r="B2334" s="6" t="s">
        <v>112</v>
      </c>
      <c r="C2334" s="6" t="s">
        <v>130</v>
      </c>
      <c r="D2334" s="5">
        <v>44927</v>
      </c>
    </row>
    <row r="2335" spans="2:4">
      <c r="B2335" s="6" t="s">
        <v>155</v>
      </c>
      <c r="C2335" s="6" t="s">
        <v>40</v>
      </c>
      <c r="D2335" s="5">
        <v>44927</v>
      </c>
    </row>
    <row r="2336" spans="2:4">
      <c r="B2336" s="6" t="s">
        <v>145</v>
      </c>
      <c r="C2336" s="6" t="s">
        <v>187</v>
      </c>
      <c r="D2336" s="5">
        <v>44927</v>
      </c>
    </row>
    <row r="2337" spans="2:4">
      <c r="B2337" s="6" t="s">
        <v>341</v>
      </c>
      <c r="C2337" s="6" t="s">
        <v>95</v>
      </c>
      <c r="D2337" s="5">
        <v>44927</v>
      </c>
    </row>
    <row r="2338" spans="2:4">
      <c r="B2338" s="6" t="s">
        <v>804</v>
      </c>
      <c r="C2338" s="6" t="s">
        <v>74</v>
      </c>
      <c r="D2338" s="5">
        <v>44927</v>
      </c>
    </row>
    <row r="2339" spans="2:4">
      <c r="B2339" s="6" t="s">
        <v>139</v>
      </c>
      <c r="C2339" s="6" t="s">
        <v>325</v>
      </c>
      <c r="D2339" s="5">
        <v>44927</v>
      </c>
    </row>
    <row r="2340" spans="2:4">
      <c r="B2340" s="6" t="s">
        <v>320</v>
      </c>
      <c r="C2340" s="6" t="s">
        <v>363</v>
      </c>
      <c r="D2340" s="5">
        <v>44927</v>
      </c>
    </row>
    <row r="2341" spans="2:4">
      <c r="B2341" s="6" t="s">
        <v>230</v>
      </c>
      <c r="C2341" s="6" t="s">
        <v>216</v>
      </c>
      <c r="D2341" s="5">
        <v>44927</v>
      </c>
    </row>
    <row r="2342" spans="2:4">
      <c r="B2342" s="6" t="s">
        <v>285</v>
      </c>
      <c r="C2342" s="6" t="s">
        <v>244</v>
      </c>
      <c r="D2342" s="5">
        <v>44927</v>
      </c>
    </row>
    <row r="2343" spans="2:4">
      <c r="B2343" s="6" t="s">
        <v>59</v>
      </c>
      <c r="C2343" s="6" t="s">
        <v>56</v>
      </c>
      <c r="D2343" s="5">
        <v>44927</v>
      </c>
    </row>
    <row r="2344" spans="2:4">
      <c r="B2344" s="6" t="s">
        <v>221</v>
      </c>
      <c r="C2344" s="6" t="s">
        <v>144</v>
      </c>
      <c r="D2344" s="5">
        <v>44927</v>
      </c>
    </row>
    <row r="2345" spans="2:4">
      <c r="B2345" s="6" t="s">
        <v>241</v>
      </c>
      <c r="C2345" s="6" t="s">
        <v>186</v>
      </c>
      <c r="D2345" s="5">
        <v>44927</v>
      </c>
    </row>
    <row r="2346" spans="2:4">
      <c r="B2346" s="6" t="s">
        <v>781</v>
      </c>
      <c r="C2346" s="6" t="s">
        <v>61</v>
      </c>
      <c r="D2346" s="5">
        <v>44927</v>
      </c>
    </row>
    <row r="2347" spans="2:4">
      <c r="B2347" s="6" t="s">
        <v>41</v>
      </c>
      <c r="C2347" s="6" t="s">
        <v>42</v>
      </c>
      <c r="D2347" s="5">
        <v>44927</v>
      </c>
    </row>
    <row r="2348" spans="2:4">
      <c r="B2348" s="6" t="s">
        <v>71</v>
      </c>
      <c r="C2348" s="6" t="s">
        <v>75</v>
      </c>
      <c r="D2348" s="5">
        <v>44927</v>
      </c>
    </row>
    <row r="2349" spans="2:4">
      <c r="B2349" s="6" t="s">
        <v>68</v>
      </c>
      <c r="C2349" s="6" t="s">
        <v>777</v>
      </c>
      <c r="D2349" s="5">
        <v>44927</v>
      </c>
    </row>
    <row r="2350" spans="2:4">
      <c r="B2350" s="6" t="s">
        <v>356</v>
      </c>
      <c r="C2350" s="6" t="s">
        <v>255</v>
      </c>
      <c r="D2350" s="5">
        <v>44928</v>
      </c>
    </row>
    <row r="2351" spans="2:4">
      <c r="B2351" s="6" t="s">
        <v>58</v>
      </c>
      <c r="C2351" s="6" t="s">
        <v>64</v>
      </c>
      <c r="D2351" s="5">
        <v>44928</v>
      </c>
    </row>
    <row r="2352" spans="2:4">
      <c r="B2352" s="6" t="s">
        <v>220</v>
      </c>
      <c r="C2352" s="6" t="s">
        <v>131</v>
      </c>
      <c r="D2352" s="5">
        <v>44928</v>
      </c>
    </row>
    <row r="2353" spans="2:4">
      <c r="B2353" s="6" t="s">
        <v>113</v>
      </c>
      <c r="C2353" s="6" t="s">
        <v>278</v>
      </c>
      <c r="D2353" s="5">
        <v>44928</v>
      </c>
    </row>
    <row r="2354" spans="2:4">
      <c r="B2354" s="6" t="s">
        <v>360</v>
      </c>
      <c r="C2354" s="6" t="s">
        <v>580</v>
      </c>
      <c r="D2354" s="5">
        <v>44928</v>
      </c>
    </row>
    <row r="2355" spans="2:4">
      <c r="B2355" s="6" t="s">
        <v>172</v>
      </c>
      <c r="C2355" s="6" t="s">
        <v>266</v>
      </c>
      <c r="D2355" s="5">
        <v>44928</v>
      </c>
    </row>
    <row r="2356" spans="2:4">
      <c r="B2356" s="6" t="s">
        <v>120</v>
      </c>
      <c r="C2356" s="6" t="s">
        <v>353</v>
      </c>
      <c r="D2356" s="5">
        <v>44928</v>
      </c>
    </row>
    <row r="2357" spans="2:4">
      <c r="B2357" s="6" t="s">
        <v>173</v>
      </c>
      <c r="C2357" s="6" t="s">
        <v>248</v>
      </c>
      <c r="D2357" s="5">
        <v>44928</v>
      </c>
    </row>
    <row r="2358" spans="2:4">
      <c r="B2358" s="6" t="s">
        <v>778</v>
      </c>
      <c r="C2358" s="6" t="s">
        <v>32</v>
      </c>
      <c r="D2358" s="5">
        <v>44928</v>
      </c>
    </row>
    <row r="2359" spans="2:4">
      <c r="B2359" s="6" t="s">
        <v>335</v>
      </c>
      <c r="C2359" s="6" t="s">
        <v>239</v>
      </c>
      <c r="D2359" s="5">
        <v>44928</v>
      </c>
    </row>
    <row r="2360" spans="2:4">
      <c r="B2360" s="6" t="s">
        <v>114</v>
      </c>
      <c r="C2360" s="6" t="s">
        <v>176</v>
      </c>
      <c r="D2360" s="5">
        <v>44928</v>
      </c>
    </row>
    <row r="2361" spans="2:4">
      <c r="B2361" s="6" t="s">
        <v>137</v>
      </c>
      <c r="C2361" s="6" t="s">
        <v>148</v>
      </c>
      <c r="D2361" s="5">
        <v>44928</v>
      </c>
    </row>
    <row r="2362" spans="2:4">
      <c r="B2362" s="6" t="s">
        <v>107</v>
      </c>
      <c r="C2362" s="6" t="s">
        <v>419</v>
      </c>
      <c r="D2362" s="5">
        <v>44928</v>
      </c>
    </row>
    <row r="2363" spans="2:4">
      <c r="B2363" s="6" t="s">
        <v>201</v>
      </c>
      <c r="C2363" s="6" t="s">
        <v>128</v>
      </c>
      <c r="D2363" s="5">
        <v>44928</v>
      </c>
    </row>
    <row r="2364" spans="2:4">
      <c r="B2364" s="6" t="s">
        <v>170</v>
      </c>
      <c r="C2364" s="6" t="s">
        <v>232</v>
      </c>
      <c r="D2364" s="5">
        <v>44928</v>
      </c>
    </row>
    <row r="2365" spans="2:4">
      <c r="B2365" s="6" t="s">
        <v>142</v>
      </c>
      <c r="C2365" s="6" t="s">
        <v>354</v>
      </c>
      <c r="D2365" s="5">
        <v>44928</v>
      </c>
    </row>
    <row r="2366" spans="2:4">
      <c r="B2366" s="6" t="s">
        <v>308</v>
      </c>
      <c r="C2366" s="6" t="s">
        <v>332</v>
      </c>
      <c r="D2366" s="5">
        <v>44928</v>
      </c>
    </row>
    <row r="2367" spans="2:4">
      <c r="B2367" s="6" t="s">
        <v>156</v>
      </c>
      <c r="C2367" s="6" t="s">
        <v>364</v>
      </c>
      <c r="D2367" s="5">
        <v>44928</v>
      </c>
    </row>
    <row r="2368" spans="2:4">
      <c r="B2368" s="6" t="s">
        <v>399</v>
      </c>
      <c r="C2368" s="6" t="s">
        <v>382</v>
      </c>
      <c r="D2368" s="5">
        <v>44928</v>
      </c>
    </row>
    <row r="2369" spans="2:4">
      <c r="B2369" s="6" t="s">
        <v>314</v>
      </c>
      <c r="C2369" s="6" t="s">
        <v>303</v>
      </c>
      <c r="D2369" s="5">
        <v>44928</v>
      </c>
    </row>
    <row r="2370" spans="2:4">
      <c r="B2370" s="6" t="s">
        <v>355</v>
      </c>
      <c r="C2370" s="6" t="s">
        <v>292</v>
      </c>
      <c r="D2370" s="5">
        <v>44928</v>
      </c>
    </row>
    <row r="2371" spans="2:4">
      <c r="B2371" s="6" t="s">
        <v>249</v>
      </c>
      <c r="C2371" s="6" t="s">
        <v>181</v>
      </c>
      <c r="D2371" s="5">
        <v>44928</v>
      </c>
    </row>
    <row r="2372" spans="2:4">
      <c r="B2372" s="6" t="s">
        <v>203</v>
      </c>
      <c r="C2372" s="6" t="s">
        <v>127</v>
      </c>
      <c r="D2372" s="5">
        <v>44929</v>
      </c>
    </row>
    <row r="2373" spans="2:4">
      <c r="B2373" s="6" t="s">
        <v>302</v>
      </c>
      <c r="C2373" s="6" t="s">
        <v>37</v>
      </c>
      <c r="D2373" s="5">
        <v>44929</v>
      </c>
    </row>
    <row r="2374" spans="2:4">
      <c r="B2374" s="6" t="s">
        <v>86</v>
      </c>
      <c r="C2374" s="6" t="s">
        <v>763</v>
      </c>
      <c r="D2374" s="5">
        <v>44929</v>
      </c>
    </row>
    <row r="2375" spans="2:4">
      <c r="B2375" s="6" t="s">
        <v>277</v>
      </c>
      <c r="C2375" s="6" t="s">
        <v>541</v>
      </c>
      <c r="D2375" s="5">
        <v>44929</v>
      </c>
    </row>
    <row r="2376" spans="2:4">
      <c r="B2376" s="6" t="s">
        <v>54</v>
      </c>
      <c r="C2376" s="6" t="s">
        <v>46</v>
      </c>
      <c r="D2376" s="5">
        <v>44929</v>
      </c>
    </row>
    <row r="2377" spans="2:4">
      <c r="B2377" s="6" t="s">
        <v>43</v>
      </c>
      <c r="C2377" s="6" t="s">
        <v>47</v>
      </c>
      <c r="D2377" s="5">
        <v>44929</v>
      </c>
    </row>
    <row r="2378" spans="2:4">
      <c r="B2378" s="6" t="s">
        <v>761</v>
      </c>
      <c r="C2378" s="6" t="s">
        <v>67</v>
      </c>
      <c r="D2378" s="5">
        <v>44929</v>
      </c>
    </row>
    <row r="2379" spans="2:4">
      <c r="B2379" s="6" t="s">
        <v>185</v>
      </c>
      <c r="C2379" s="6" t="s">
        <v>90</v>
      </c>
      <c r="D2379" s="5">
        <v>44929</v>
      </c>
    </row>
    <row r="2380" spans="2:4">
      <c r="B2380" s="6" t="s">
        <v>247</v>
      </c>
      <c r="C2380" s="6" t="s">
        <v>288</v>
      </c>
      <c r="D2380" s="5">
        <v>44929</v>
      </c>
    </row>
    <row r="2381" spans="2:4">
      <c r="B2381" s="6" t="s">
        <v>140</v>
      </c>
      <c r="C2381" s="6" t="s">
        <v>109</v>
      </c>
      <c r="D2381" s="5">
        <v>44929</v>
      </c>
    </row>
    <row r="2382" spans="2:4">
      <c r="B2382" s="6" t="s">
        <v>180</v>
      </c>
      <c r="C2382" s="6" t="s">
        <v>414</v>
      </c>
      <c r="D2382" s="5">
        <v>44929</v>
      </c>
    </row>
    <row r="2383" spans="2:4">
      <c r="B2383" s="6" t="s">
        <v>105</v>
      </c>
      <c r="C2383" s="6" t="s">
        <v>400</v>
      </c>
      <c r="D2383" s="5">
        <v>44929</v>
      </c>
    </row>
    <row r="2384" spans="2:4">
      <c r="B2384" s="6" t="s">
        <v>362</v>
      </c>
      <c r="C2384" s="6" t="s">
        <v>209</v>
      </c>
      <c r="D2384" s="5">
        <v>44929</v>
      </c>
    </row>
    <row r="2385" spans="2:4">
      <c r="B2385" s="6" t="s">
        <v>80</v>
      </c>
      <c r="C2385" s="6" t="s">
        <v>81</v>
      </c>
      <c r="D2385" s="5">
        <v>44929</v>
      </c>
    </row>
    <row r="2386" spans="2:4">
      <c r="B2386" s="6" t="s">
        <v>38</v>
      </c>
      <c r="C2386" s="6" t="s">
        <v>36</v>
      </c>
      <c r="D2386" s="5">
        <v>44929</v>
      </c>
    </row>
    <row r="2387" spans="2:4">
      <c r="B2387" s="6" t="s">
        <v>27</v>
      </c>
      <c r="C2387" s="6" t="s">
        <v>26</v>
      </c>
      <c r="D2387" s="5">
        <v>44929</v>
      </c>
    </row>
    <row r="2388" spans="2:4">
      <c r="B2388" s="6" t="s">
        <v>30</v>
      </c>
      <c r="C2388" s="6" t="s">
        <v>750</v>
      </c>
      <c r="D2388" s="5">
        <v>44929</v>
      </c>
    </row>
    <row r="2389" spans="2:4">
      <c r="B2389" s="6" t="s">
        <v>49</v>
      </c>
      <c r="C2389" s="6" t="s">
        <v>188</v>
      </c>
      <c r="D2389" s="5">
        <v>44929</v>
      </c>
    </row>
    <row r="2390" spans="2:4">
      <c r="B2390" s="6" t="s">
        <v>82</v>
      </c>
      <c r="C2390" s="6" t="s">
        <v>762</v>
      </c>
      <c r="D2390" s="5">
        <v>44929</v>
      </c>
    </row>
    <row r="2391" spans="2:4">
      <c r="B2391" s="6" t="s">
        <v>65</v>
      </c>
      <c r="C2391" s="6" t="s">
        <v>63</v>
      </c>
      <c r="D2391" s="5">
        <v>44929</v>
      </c>
    </row>
    <row r="2392" spans="2:4">
      <c r="B2392" s="6" t="s">
        <v>198</v>
      </c>
      <c r="C2392" s="6" t="s">
        <v>168</v>
      </c>
      <c r="D2392" s="5">
        <v>44929</v>
      </c>
    </row>
    <row r="2393" spans="2:4">
      <c r="B2393" s="6" t="s">
        <v>162</v>
      </c>
      <c r="C2393" s="6" t="s">
        <v>433</v>
      </c>
      <c r="D2393" s="5">
        <v>44929</v>
      </c>
    </row>
    <row r="2394" spans="2:4">
      <c r="B2394" s="6" t="s">
        <v>394</v>
      </c>
      <c r="C2394" s="6" t="s">
        <v>189</v>
      </c>
      <c r="D2394" s="5">
        <v>44929</v>
      </c>
    </row>
    <row r="2395" spans="2:4">
      <c r="B2395" s="6" t="s">
        <v>214</v>
      </c>
      <c r="C2395" s="6" t="s">
        <v>334</v>
      </c>
      <c r="D2395" s="5">
        <v>44930</v>
      </c>
    </row>
    <row r="2396" spans="2:4">
      <c r="B2396" s="6" t="s">
        <v>314</v>
      </c>
      <c r="C2396" s="6" t="s">
        <v>332</v>
      </c>
      <c r="D2396" s="5">
        <v>44930</v>
      </c>
    </row>
    <row r="2397" spans="2:4">
      <c r="B2397" s="6" t="s">
        <v>312</v>
      </c>
      <c r="C2397" s="6" t="s">
        <v>119</v>
      </c>
      <c r="D2397" s="5">
        <v>44930</v>
      </c>
    </row>
    <row r="2398" spans="2:4">
      <c r="B2398" s="6" t="s">
        <v>268</v>
      </c>
      <c r="C2398" s="6" t="s">
        <v>432</v>
      </c>
      <c r="D2398" s="5">
        <v>44930</v>
      </c>
    </row>
    <row r="2399" spans="2:4">
      <c r="B2399" s="6" t="s">
        <v>238</v>
      </c>
      <c r="C2399" s="6" t="s">
        <v>548</v>
      </c>
      <c r="D2399" s="5">
        <v>44930</v>
      </c>
    </row>
    <row r="2400" spans="2:4">
      <c r="B2400" s="6" t="s">
        <v>89</v>
      </c>
      <c r="C2400" s="6" t="s">
        <v>83</v>
      </c>
      <c r="D2400" s="5">
        <v>44930</v>
      </c>
    </row>
    <row r="2401" spans="2:4">
      <c r="B2401" s="6" t="s">
        <v>41</v>
      </c>
      <c r="C2401" s="6" t="s">
        <v>35</v>
      </c>
      <c r="D2401" s="5">
        <v>44930</v>
      </c>
    </row>
    <row r="2402" spans="2:4">
      <c r="B2402" s="6" t="s">
        <v>770</v>
      </c>
      <c r="C2402" s="6" t="s">
        <v>44</v>
      </c>
      <c r="D2402" s="5">
        <v>44930</v>
      </c>
    </row>
    <row r="2403" spans="2:4">
      <c r="B2403" s="6" t="s">
        <v>59</v>
      </c>
      <c r="C2403" s="6" t="s">
        <v>781</v>
      </c>
      <c r="D2403" s="5">
        <v>44930</v>
      </c>
    </row>
    <row r="2404" spans="2:4">
      <c r="B2404" s="6" t="s">
        <v>29</v>
      </c>
      <c r="C2404" s="6" t="s">
        <v>747</v>
      </c>
      <c r="D2404" s="5">
        <v>44930</v>
      </c>
    </row>
    <row r="2405" spans="2:4">
      <c r="B2405" s="6" t="s">
        <v>221</v>
      </c>
      <c r="C2405" s="6" t="s">
        <v>95</v>
      </c>
      <c r="D2405" s="5">
        <v>44930</v>
      </c>
    </row>
    <row r="2406" spans="2:4">
      <c r="B2406" s="6" t="s">
        <v>231</v>
      </c>
      <c r="C2406" s="6" t="s">
        <v>145</v>
      </c>
      <c r="D2406" s="5">
        <v>44930</v>
      </c>
    </row>
    <row r="2407" spans="2:4">
      <c r="B2407" s="6" t="s">
        <v>275</v>
      </c>
      <c r="C2407" s="6" t="s">
        <v>411</v>
      </c>
      <c r="D2407" s="5">
        <v>44930</v>
      </c>
    </row>
    <row r="2408" spans="2:4">
      <c r="B2408" s="6" t="s">
        <v>139</v>
      </c>
      <c r="C2408" s="6" t="s">
        <v>318</v>
      </c>
      <c r="D2408" s="5">
        <v>44930</v>
      </c>
    </row>
    <row r="2409" spans="2:4">
      <c r="B2409" s="6" t="s">
        <v>50</v>
      </c>
      <c r="C2409" s="6" t="s">
        <v>48</v>
      </c>
      <c r="D2409" s="5">
        <v>44930</v>
      </c>
    </row>
    <row r="2410" spans="2:4">
      <c r="B2410" s="6" t="s">
        <v>310</v>
      </c>
      <c r="C2410" s="6" t="s">
        <v>814</v>
      </c>
      <c r="D2410" s="5">
        <v>44930</v>
      </c>
    </row>
    <row r="2411" spans="2:4">
      <c r="B2411" s="6" t="s">
        <v>79</v>
      </c>
      <c r="C2411" s="6" t="s">
        <v>91</v>
      </c>
      <c r="D2411" s="5">
        <v>44930</v>
      </c>
    </row>
    <row r="2412" spans="2:4">
      <c r="B2412" s="6" t="s">
        <v>200</v>
      </c>
      <c r="C2412" s="6" t="s">
        <v>337</v>
      </c>
      <c r="D2412" s="5">
        <v>44930</v>
      </c>
    </row>
    <row r="2413" spans="2:4">
      <c r="B2413" s="6" t="s">
        <v>284</v>
      </c>
      <c r="C2413" s="6" t="s">
        <v>121</v>
      </c>
      <c r="D2413" s="5">
        <v>44930</v>
      </c>
    </row>
    <row r="2414" spans="2:4">
      <c r="B2414" s="6" t="s">
        <v>199</v>
      </c>
      <c r="C2414" s="6" t="s">
        <v>350</v>
      </c>
      <c r="D2414" s="5">
        <v>44930</v>
      </c>
    </row>
    <row r="2415" spans="2:4">
      <c r="B2415" s="6" t="s">
        <v>252</v>
      </c>
      <c r="C2415" s="6" t="s">
        <v>281</v>
      </c>
      <c r="D2415" s="5">
        <v>44930</v>
      </c>
    </row>
    <row r="2416" spans="2:4">
      <c r="B2416" s="6" t="s">
        <v>124</v>
      </c>
      <c r="C2416" s="6" t="s">
        <v>349</v>
      </c>
      <c r="D2416" s="5">
        <v>44930</v>
      </c>
    </row>
    <row r="2417" spans="2:4">
      <c r="B2417" s="6" t="s">
        <v>202</v>
      </c>
      <c r="C2417" s="6" t="s">
        <v>273</v>
      </c>
      <c r="D2417" s="5">
        <v>44930</v>
      </c>
    </row>
    <row r="2418" spans="2:4">
      <c r="B2418" s="6" t="s">
        <v>191</v>
      </c>
      <c r="C2418" s="6" t="s">
        <v>192</v>
      </c>
      <c r="D2418" s="5">
        <v>44930</v>
      </c>
    </row>
    <row r="2419" spans="2:4">
      <c r="B2419" s="6" t="s">
        <v>110</v>
      </c>
      <c r="C2419" s="6" t="s">
        <v>297</v>
      </c>
      <c r="D2419" s="5">
        <v>44930</v>
      </c>
    </row>
    <row r="2420" spans="2:4">
      <c r="B2420" s="6" t="s">
        <v>270</v>
      </c>
      <c r="C2420" s="6" t="s">
        <v>395</v>
      </c>
      <c r="D2420" s="5">
        <v>44930</v>
      </c>
    </row>
    <row r="2421" spans="2:4">
      <c r="B2421" s="6" t="s">
        <v>298</v>
      </c>
      <c r="C2421" s="6" t="s">
        <v>425</v>
      </c>
      <c r="D2421" s="5">
        <v>44930</v>
      </c>
    </row>
    <row r="2422" spans="2:4">
      <c r="B2422" s="6" t="s">
        <v>171</v>
      </c>
      <c r="C2422" s="6" t="s">
        <v>103</v>
      </c>
      <c r="D2422" s="5">
        <v>44930</v>
      </c>
    </row>
    <row r="2423" spans="2:4">
      <c r="B2423" s="6" t="s">
        <v>436</v>
      </c>
      <c r="C2423" s="6" t="s">
        <v>287</v>
      </c>
      <c r="D2423" s="5">
        <v>44930</v>
      </c>
    </row>
    <row r="2424" spans="2:4">
      <c r="B2424" s="6" t="s">
        <v>267</v>
      </c>
      <c r="C2424" s="6" t="s">
        <v>104</v>
      </c>
      <c r="D2424" s="5">
        <v>44930</v>
      </c>
    </row>
    <row r="2425" spans="2:4">
      <c r="B2425" s="6" t="s">
        <v>111</v>
      </c>
      <c r="C2425" s="6" t="s">
        <v>282</v>
      </c>
      <c r="D2425" s="5">
        <v>44930</v>
      </c>
    </row>
    <row r="2426" spans="2:4">
      <c r="B2426" s="6" t="s">
        <v>129</v>
      </c>
      <c r="C2426" s="6" t="s">
        <v>327</v>
      </c>
      <c r="D2426" s="5">
        <v>44930</v>
      </c>
    </row>
    <row r="2427" spans="2:4">
      <c r="B2427" s="6" t="s">
        <v>300</v>
      </c>
      <c r="C2427" s="6" t="s">
        <v>133</v>
      </c>
      <c r="D2427" s="5">
        <v>44930</v>
      </c>
    </row>
    <row r="2428" spans="2:4">
      <c r="B2428" s="6" t="s">
        <v>290</v>
      </c>
      <c r="C2428" s="6" t="s">
        <v>375</v>
      </c>
      <c r="D2428" s="5">
        <v>44930</v>
      </c>
    </row>
    <row r="2429" spans="2:4">
      <c r="B2429" s="6" t="s">
        <v>102</v>
      </c>
      <c r="C2429" s="6" t="s">
        <v>261</v>
      </c>
      <c r="D2429" s="5">
        <v>44930</v>
      </c>
    </row>
    <row r="2430" spans="2:4">
      <c r="B2430" s="6" t="s">
        <v>308</v>
      </c>
      <c r="C2430" s="6" t="s">
        <v>303</v>
      </c>
      <c r="D2430" s="5">
        <v>44930</v>
      </c>
    </row>
    <row r="2431" spans="2:4">
      <c r="B2431" s="6" t="s">
        <v>249</v>
      </c>
      <c r="C2431" s="6" t="s">
        <v>382</v>
      </c>
      <c r="D2431" s="5">
        <v>44930</v>
      </c>
    </row>
    <row r="2432" spans="2:4">
      <c r="B2432" s="6" t="s">
        <v>326</v>
      </c>
      <c r="C2432" s="6" t="s">
        <v>325</v>
      </c>
      <c r="D2432" s="5">
        <v>44930</v>
      </c>
    </row>
    <row r="2433" spans="2:4">
      <c r="B2433" s="6" t="s">
        <v>320</v>
      </c>
      <c r="C2433" s="6" t="s">
        <v>213</v>
      </c>
      <c r="D2433" s="5">
        <v>44930</v>
      </c>
    </row>
    <row r="2434" spans="2:4">
      <c r="B2434" s="6" t="s">
        <v>241</v>
      </c>
      <c r="C2434" s="6" t="s">
        <v>363</v>
      </c>
      <c r="D2434" s="5">
        <v>44930</v>
      </c>
    </row>
    <row r="2435" spans="2:4">
      <c r="B2435" s="6" t="s">
        <v>280</v>
      </c>
      <c r="C2435" s="6" t="s">
        <v>186</v>
      </c>
      <c r="D2435" s="5">
        <v>44930</v>
      </c>
    </row>
    <row r="2436" spans="2:4">
      <c r="B2436" s="6" t="s">
        <v>84</v>
      </c>
      <c r="C2436" s="6" t="s">
        <v>87</v>
      </c>
      <c r="D2436" s="5">
        <v>44930</v>
      </c>
    </row>
    <row r="2437" spans="2:4">
      <c r="B2437" s="6" t="s">
        <v>399</v>
      </c>
      <c r="C2437" s="6" t="s">
        <v>181</v>
      </c>
      <c r="D2437" s="5">
        <v>44930</v>
      </c>
    </row>
    <row r="2438" spans="2:4">
      <c r="B2438" s="6" t="s">
        <v>40</v>
      </c>
      <c r="C2438" s="6" t="s">
        <v>732</v>
      </c>
      <c r="D2438" s="5">
        <v>44930</v>
      </c>
    </row>
    <row r="2439" spans="2:4">
      <c r="B2439" s="6" t="s">
        <v>251</v>
      </c>
      <c r="C2439" s="6" t="s">
        <v>53</v>
      </c>
      <c r="D2439" s="5">
        <v>44930</v>
      </c>
    </row>
    <row r="2440" spans="2:4">
      <c r="B2440" s="6" t="s">
        <v>28</v>
      </c>
      <c r="C2440" s="6" t="s">
        <v>34</v>
      </c>
      <c r="D2440" s="5">
        <v>44930</v>
      </c>
    </row>
    <row r="2441" spans="2:4">
      <c r="B2441" s="6" t="s">
        <v>68</v>
      </c>
      <c r="C2441" s="6" t="s">
        <v>60</v>
      </c>
      <c r="D2441" s="5">
        <v>44930</v>
      </c>
    </row>
    <row r="2442" spans="2:4">
      <c r="B2442" s="6" t="s">
        <v>52</v>
      </c>
      <c r="C2442" s="6" t="s">
        <v>51</v>
      </c>
      <c r="D2442" s="5">
        <v>44930</v>
      </c>
    </row>
    <row r="2443" spans="2:4">
      <c r="B2443" s="6" t="s">
        <v>42</v>
      </c>
      <c r="C2443" s="6" t="s">
        <v>155</v>
      </c>
      <c r="D2443" s="5">
        <v>44930</v>
      </c>
    </row>
    <row r="2444" spans="2:4">
      <c r="B2444" s="6" t="s">
        <v>169</v>
      </c>
      <c r="C2444" s="6" t="s">
        <v>386</v>
      </c>
      <c r="D2444" s="5">
        <v>44930</v>
      </c>
    </row>
    <row r="2445" spans="2:4">
      <c r="B2445" s="6" t="s">
        <v>131</v>
      </c>
      <c r="C2445" s="6" t="s">
        <v>360</v>
      </c>
      <c r="D2445" s="5">
        <v>44931</v>
      </c>
    </row>
    <row r="2446" spans="2:4">
      <c r="B2446" s="6" t="s">
        <v>587</v>
      </c>
      <c r="C2446" s="6" t="s">
        <v>410</v>
      </c>
      <c r="D2446" s="5">
        <v>44931</v>
      </c>
    </row>
    <row r="2447" spans="2:4">
      <c r="B2447" s="6" t="s">
        <v>269</v>
      </c>
      <c r="C2447" s="6" t="s">
        <v>174</v>
      </c>
      <c r="D2447" s="5">
        <v>44931</v>
      </c>
    </row>
    <row r="2448" spans="2:4">
      <c r="B2448" s="6" t="s">
        <v>201</v>
      </c>
      <c r="C2448" s="6" t="s">
        <v>353</v>
      </c>
      <c r="D2448" s="5">
        <v>44931</v>
      </c>
    </row>
    <row r="2449" spans="2:4">
      <c r="B2449" s="6" t="s">
        <v>64</v>
      </c>
      <c r="C2449" s="6" t="s">
        <v>56</v>
      </c>
      <c r="D2449" s="5">
        <v>44931</v>
      </c>
    </row>
    <row r="2450" spans="2:4">
      <c r="B2450" s="6" t="s">
        <v>286</v>
      </c>
      <c r="C2450" s="6" t="s">
        <v>294</v>
      </c>
      <c r="D2450" s="5">
        <v>44931</v>
      </c>
    </row>
    <row r="2451" spans="2:4">
      <c r="B2451" s="6" t="s">
        <v>248</v>
      </c>
      <c r="C2451" s="6" t="s">
        <v>610</v>
      </c>
      <c r="D2451" s="5">
        <v>44931</v>
      </c>
    </row>
    <row r="2452" spans="2:4">
      <c r="B2452" s="6" t="s">
        <v>212</v>
      </c>
      <c r="C2452" s="6" t="s">
        <v>341</v>
      </c>
      <c r="D2452" s="5">
        <v>44931</v>
      </c>
    </row>
    <row r="2453" spans="2:4">
      <c r="B2453" s="6" t="s">
        <v>113</v>
      </c>
      <c r="C2453" s="6" t="s">
        <v>114</v>
      </c>
      <c r="D2453" s="5">
        <v>44931</v>
      </c>
    </row>
    <row r="2454" spans="2:4">
      <c r="B2454" s="6" t="s">
        <v>278</v>
      </c>
      <c r="C2454" s="6" t="s">
        <v>137</v>
      </c>
      <c r="D2454" s="5">
        <v>44931</v>
      </c>
    </row>
    <row r="2455" spans="2:4">
      <c r="B2455" s="6" t="s">
        <v>580</v>
      </c>
      <c r="C2455" s="6" t="s">
        <v>148</v>
      </c>
      <c r="D2455" s="5">
        <v>44931</v>
      </c>
    </row>
    <row r="2456" spans="2:4">
      <c r="B2456" s="6" t="s">
        <v>126</v>
      </c>
      <c r="C2456" s="6" t="s">
        <v>253</v>
      </c>
      <c r="D2456" s="5">
        <v>44931</v>
      </c>
    </row>
    <row r="2457" spans="2:4">
      <c r="B2457" s="6" t="s">
        <v>205</v>
      </c>
      <c r="C2457" s="6" t="s">
        <v>106</v>
      </c>
      <c r="D2457" s="5">
        <v>44931</v>
      </c>
    </row>
    <row r="2458" spans="2:4">
      <c r="B2458" s="6" t="s">
        <v>301</v>
      </c>
      <c r="C2458" s="6" t="s">
        <v>215</v>
      </c>
      <c r="D2458" s="5">
        <v>44931</v>
      </c>
    </row>
    <row r="2459" spans="2:4">
      <c r="B2459" s="6" t="s">
        <v>176</v>
      </c>
      <c r="C2459" s="6" t="s">
        <v>220</v>
      </c>
      <c r="D2459" s="5">
        <v>44931</v>
      </c>
    </row>
    <row r="2460" spans="2:4">
      <c r="B2460" s="6" t="s">
        <v>421</v>
      </c>
      <c r="C2460" s="6" t="s">
        <v>195</v>
      </c>
      <c r="D2460" s="5">
        <v>44931</v>
      </c>
    </row>
    <row r="2461" spans="2:4">
      <c r="B2461" s="6" t="s">
        <v>274</v>
      </c>
      <c r="C2461" s="6" t="s">
        <v>182</v>
      </c>
      <c r="D2461" s="5">
        <v>44931</v>
      </c>
    </row>
    <row r="2462" spans="2:4">
      <c r="B2462" s="6" t="s">
        <v>777</v>
      </c>
      <c r="C2462" s="6" t="s">
        <v>58</v>
      </c>
      <c r="D2462" s="5">
        <v>44931</v>
      </c>
    </row>
    <row r="2463" spans="2:4">
      <c r="B2463" s="6" t="s">
        <v>590</v>
      </c>
      <c r="C2463" s="6" t="s">
        <v>98</v>
      </c>
      <c r="D2463" s="5">
        <v>44931</v>
      </c>
    </row>
    <row r="2464" spans="2:4">
      <c r="B2464" s="6" t="s">
        <v>175</v>
      </c>
      <c r="C2464" s="6" t="s">
        <v>336</v>
      </c>
      <c r="D2464" s="5">
        <v>44931</v>
      </c>
    </row>
    <row r="2465" spans="2:4">
      <c r="B2465" s="6" t="s">
        <v>246</v>
      </c>
      <c r="C2465" s="6" t="s">
        <v>405</v>
      </c>
      <c r="D2465" s="5">
        <v>44931</v>
      </c>
    </row>
    <row r="2466" spans="2:4">
      <c r="B2466" s="6" t="s">
        <v>409</v>
      </c>
      <c r="C2466" s="6" t="s">
        <v>150</v>
      </c>
      <c r="D2466" s="5">
        <v>44931</v>
      </c>
    </row>
    <row r="2467" spans="2:4">
      <c r="B2467" s="6" t="s">
        <v>194</v>
      </c>
      <c r="C2467" s="6" t="s">
        <v>136</v>
      </c>
      <c r="D2467" s="5">
        <v>44931</v>
      </c>
    </row>
    <row r="2468" spans="2:4">
      <c r="B2468" s="6" t="s">
        <v>289</v>
      </c>
      <c r="C2468" s="6" t="s">
        <v>193</v>
      </c>
      <c r="D2468" s="5">
        <v>44931</v>
      </c>
    </row>
    <row r="2469" spans="2:4">
      <c r="B2469" s="6" t="s">
        <v>330</v>
      </c>
      <c r="C2469" s="6" t="s">
        <v>357</v>
      </c>
      <c r="D2469" s="5">
        <v>44931</v>
      </c>
    </row>
    <row r="2470" spans="2:4">
      <c r="B2470" s="6" t="s">
        <v>305</v>
      </c>
      <c r="C2470" s="6" t="s">
        <v>615</v>
      </c>
      <c r="D2470" s="5">
        <v>44931</v>
      </c>
    </row>
    <row r="2471" spans="2:4">
      <c r="B2471" s="6" t="s">
        <v>418</v>
      </c>
      <c r="C2471" s="6" t="s">
        <v>412</v>
      </c>
      <c r="D2471" s="5">
        <v>44931</v>
      </c>
    </row>
    <row r="2472" spans="2:4">
      <c r="B2472" s="6" t="s">
        <v>296</v>
      </c>
      <c r="C2472" s="6" t="s">
        <v>324</v>
      </c>
      <c r="D2472" s="5">
        <v>44931</v>
      </c>
    </row>
    <row r="2473" spans="2:4">
      <c r="B2473" s="6" t="s">
        <v>397</v>
      </c>
      <c r="C2473" s="6" t="s">
        <v>358</v>
      </c>
      <c r="D2473" s="5">
        <v>44931</v>
      </c>
    </row>
    <row r="2474" spans="2:4">
      <c r="B2474" s="6" t="s">
        <v>123</v>
      </c>
      <c r="C2474" s="6" t="s">
        <v>146</v>
      </c>
      <c r="D2474" s="5">
        <v>44931</v>
      </c>
    </row>
    <row r="2475" spans="2:4">
      <c r="B2475" s="6" t="s">
        <v>179</v>
      </c>
      <c r="C2475" s="6" t="s">
        <v>178</v>
      </c>
      <c r="D2475" s="5">
        <v>44931</v>
      </c>
    </row>
    <row r="2476" spans="2:4">
      <c r="B2476" s="6" t="s">
        <v>115</v>
      </c>
      <c r="C2476" s="6" t="s">
        <v>99</v>
      </c>
      <c r="D2476" s="5">
        <v>44931</v>
      </c>
    </row>
    <row r="2477" spans="2:4">
      <c r="B2477" s="6" t="s">
        <v>413</v>
      </c>
      <c r="C2477" s="6" t="s">
        <v>272</v>
      </c>
      <c r="D2477" s="5">
        <v>44931</v>
      </c>
    </row>
    <row r="2478" spans="2:4">
      <c r="B2478" s="6" t="s">
        <v>354</v>
      </c>
      <c r="C2478" s="6" t="s">
        <v>356</v>
      </c>
      <c r="D2478" s="5">
        <v>44931</v>
      </c>
    </row>
    <row r="2479" spans="2:4">
      <c r="B2479" s="6" t="s">
        <v>142</v>
      </c>
      <c r="C2479" s="6" t="s">
        <v>120</v>
      </c>
      <c r="D2479" s="5">
        <v>44931</v>
      </c>
    </row>
    <row r="2480" spans="2:4">
      <c r="B2480" s="6" t="s">
        <v>344</v>
      </c>
      <c r="C2480" s="6" t="s">
        <v>424</v>
      </c>
      <c r="D2480" s="5">
        <v>44931</v>
      </c>
    </row>
    <row r="2481" spans="2:4">
      <c r="B2481" s="6" t="s">
        <v>415</v>
      </c>
      <c r="C2481" s="6" t="s">
        <v>381</v>
      </c>
      <c r="D2481" s="5">
        <v>44931</v>
      </c>
    </row>
    <row r="2482" spans="2:4">
      <c r="B2482" s="6" t="s">
        <v>333</v>
      </c>
      <c r="C2482" s="6" t="s">
        <v>259</v>
      </c>
      <c r="D2482" s="5">
        <v>44931</v>
      </c>
    </row>
    <row r="2483" spans="2:4">
      <c r="B2483" s="6" t="s">
        <v>719</v>
      </c>
      <c r="C2483" s="6" t="s">
        <v>804</v>
      </c>
      <c r="D2483" s="5">
        <v>44931</v>
      </c>
    </row>
    <row r="2484" spans="2:4">
      <c r="B2484" s="6" t="s">
        <v>368</v>
      </c>
      <c r="C2484" s="6" t="s">
        <v>242</v>
      </c>
      <c r="D2484" s="5">
        <v>44931</v>
      </c>
    </row>
    <row r="2485" spans="2:4">
      <c r="B2485" s="6" t="s">
        <v>143</v>
      </c>
      <c r="C2485" s="6" t="s">
        <v>373</v>
      </c>
      <c r="D2485" s="5">
        <v>44931</v>
      </c>
    </row>
    <row r="2486" spans="2:4">
      <c r="B2486" s="6" t="s">
        <v>134</v>
      </c>
      <c r="C2486" s="6" t="s">
        <v>94</v>
      </c>
      <c r="D2486" s="5">
        <v>44931</v>
      </c>
    </row>
    <row r="2487" spans="2:4">
      <c r="B2487" s="6" t="s">
        <v>323</v>
      </c>
      <c r="C2487" s="6" t="s">
        <v>383</v>
      </c>
      <c r="D2487" s="5">
        <v>44931</v>
      </c>
    </row>
    <row r="2488" spans="2:4">
      <c r="B2488" s="6" t="s">
        <v>388</v>
      </c>
      <c r="C2488" s="6" t="s">
        <v>378</v>
      </c>
      <c r="D2488" s="5">
        <v>44931</v>
      </c>
    </row>
    <row r="2489" spans="2:4">
      <c r="B2489" s="6" t="s">
        <v>365</v>
      </c>
      <c r="C2489" s="6" t="s">
        <v>316</v>
      </c>
      <c r="D2489" s="5">
        <v>44931</v>
      </c>
    </row>
    <row r="2490" spans="2:4">
      <c r="B2490" s="6" t="s">
        <v>306</v>
      </c>
      <c r="C2490" s="6" t="s">
        <v>367</v>
      </c>
      <c r="D2490" s="5">
        <v>44931</v>
      </c>
    </row>
    <row r="2491" spans="2:4">
      <c r="B2491" s="6" t="s">
        <v>359</v>
      </c>
      <c r="C2491" s="6" t="s">
        <v>385</v>
      </c>
      <c r="D2491" s="5">
        <v>44931</v>
      </c>
    </row>
    <row r="2492" spans="2:4">
      <c r="B2492" s="6" t="s">
        <v>196</v>
      </c>
      <c r="C2492" s="6" t="s">
        <v>208</v>
      </c>
      <c r="D2492" s="5">
        <v>44931</v>
      </c>
    </row>
    <row r="2493" spans="2:4">
      <c r="B2493" s="6" t="s">
        <v>348</v>
      </c>
      <c r="C2493" s="6" t="s">
        <v>151</v>
      </c>
      <c r="D2493" s="5">
        <v>44931</v>
      </c>
    </row>
    <row r="2494" spans="2:4">
      <c r="B2494" s="6" t="s">
        <v>426</v>
      </c>
      <c r="C2494" s="6" t="s">
        <v>391</v>
      </c>
      <c r="D2494" s="5">
        <v>44931</v>
      </c>
    </row>
    <row r="2495" spans="2:4">
      <c r="B2495" s="6" t="s">
        <v>403</v>
      </c>
      <c r="C2495" s="6" t="s">
        <v>190</v>
      </c>
      <c r="D2495" s="5">
        <v>44931</v>
      </c>
    </row>
    <row r="2496" spans="2:4">
      <c r="B2496" s="6" t="s">
        <v>128</v>
      </c>
      <c r="C2496" s="6" t="s">
        <v>173</v>
      </c>
      <c r="D2496" s="5">
        <v>44931</v>
      </c>
    </row>
    <row r="2497" spans="2:4">
      <c r="B2497" s="6" t="s">
        <v>147</v>
      </c>
      <c r="C2497" s="6" t="s">
        <v>292</v>
      </c>
      <c r="D2497" s="5">
        <v>44931</v>
      </c>
    </row>
    <row r="2498" spans="2:4">
      <c r="B2498" s="6" t="s">
        <v>355</v>
      </c>
      <c r="C2498" s="6" t="s">
        <v>255</v>
      </c>
      <c r="D2498" s="5">
        <v>44931</v>
      </c>
    </row>
    <row r="2499" spans="2:4">
      <c r="B2499" s="6" t="s">
        <v>640</v>
      </c>
      <c r="C2499" s="6" t="s">
        <v>295</v>
      </c>
      <c r="D2499" s="5">
        <v>44931</v>
      </c>
    </row>
    <row r="2500" spans="2:4">
      <c r="B2500" s="6" t="s">
        <v>183</v>
      </c>
      <c r="C2500" s="6" t="s">
        <v>584</v>
      </c>
      <c r="D2500" s="5">
        <v>44931</v>
      </c>
    </row>
    <row r="2501" spans="2:4">
      <c r="B2501" s="6" t="s">
        <v>342</v>
      </c>
      <c r="C2501" s="6" t="s">
        <v>343</v>
      </c>
      <c r="D2501" s="5">
        <v>44931</v>
      </c>
    </row>
    <row r="2502" spans="2:4">
      <c r="B2502" s="6" t="s">
        <v>370</v>
      </c>
      <c r="C2502" s="6" t="s">
        <v>309</v>
      </c>
      <c r="D2502" s="5">
        <v>44931</v>
      </c>
    </row>
    <row r="2503" spans="2:4">
      <c r="B2503" s="6" t="s">
        <v>304</v>
      </c>
      <c r="C2503" s="6" t="s">
        <v>329</v>
      </c>
      <c r="D2503" s="5">
        <v>44931</v>
      </c>
    </row>
    <row r="2504" spans="2:4">
      <c r="B2504" s="6" t="s">
        <v>240</v>
      </c>
      <c r="C2504" s="6" t="s">
        <v>603</v>
      </c>
      <c r="D2504" s="5">
        <v>44931</v>
      </c>
    </row>
    <row r="2505" spans="2:4">
      <c r="B2505" s="6" t="s">
        <v>61</v>
      </c>
      <c r="C2505" s="6" t="s">
        <v>62</v>
      </c>
      <c r="D2505" s="5">
        <v>44931</v>
      </c>
    </row>
    <row r="2506" spans="2:4">
      <c r="B2506" s="6" t="s">
        <v>72</v>
      </c>
      <c r="C2506" s="6" t="s">
        <v>69</v>
      </c>
      <c r="D2506" s="5">
        <v>44931</v>
      </c>
    </row>
    <row r="2507" spans="2:4">
      <c r="B2507" s="6" t="s">
        <v>352</v>
      </c>
      <c r="C2507" s="6" t="s">
        <v>187</v>
      </c>
      <c r="D2507" s="5">
        <v>44931</v>
      </c>
    </row>
    <row r="2508" spans="2:4">
      <c r="B2508" s="6" t="s">
        <v>313</v>
      </c>
      <c r="C2508" s="6" t="s">
        <v>135</v>
      </c>
      <c r="D2508" s="5">
        <v>44931</v>
      </c>
    </row>
    <row r="2509" spans="2:4">
      <c r="B2509" s="6" t="s">
        <v>588</v>
      </c>
      <c r="C2509" s="6" t="s">
        <v>319</v>
      </c>
      <c r="D2509" s="5">
        <v>44931</v>
      </c>
    </row>
    <row r="2510" spans="2:4">
      <c r="B2510" s="6" t="s">
        <v>250</v>
      </c>
      <c r="C2510" s="6" t="s">
        <v>321</v>
      </c>
      <c r="D2510" s="5">
        <v>44931</v>
      </c>
    </row>
    <row r="2511" spans="2:4">
      <c r="B2511" s="6" t="s">
        <v>141</v>
      </c>
      <c r="C2511" s="6" t="s">
        <v>167</v>
      </c>
      <c r="D2511" s="5">
        <v>44931</v>
      </c>
    </row>
    <row r="2512" spans="2:4">
      <c r="B2512" s="6" t="s">
        <v>158</v>
      </c>
      <c r="C2512" s="6" t="s">
        <v>389</v>
      </c>
      <c r="D2512" s="5">
        <v>44931</v>
      </c>
    </row>
    <row r="2513" spans="2:4">
      <c r="B2513" s="6" t="s">
        <v>393</v>
      </c>
      <c r="C2513" s="6" t="s">
        <v>402</v>
      </c>
      <c r="D2513" s="5">
        <v>44931</v>
      </c>
    </row>
    <row r="2514" spans="2:4">
      <c r="B2514" s="6" t="s">
        <v>75</v>
      </c>
      <c r="C2514" s="6" t="s">
        <v>74</v>
      </c>
      <c r="D2514" s="5">
        <v>44931</v>
      </c>
    </row>
    <row r="2515" spans="2:4">
      <c r="B2515" s="6" t="s">
        <v>77</v>
      </c>
      <c r="C2515" s="6" t="s">
        <v>779</v>
      </c>
      <c r="D2515" s="5">
        <v>44931</v>
      </c>
    </row>
    <row r="2516" spans="2:4">
      <c r="B2516" s="6" t="s">
        <v>159</v>
      </c>
      <c r="C2516" s="6" t="s">
        <v>607</v>
      </c>
      <c r="D2516" s="5">
        <v>44931</v>
      </c>
    </row>
    <row r="2517" spans="2:4">
      <c r="B2517" s="6" t="s">
        <v>165</v>
      </c>
      <c r="C2517" s="6" t="s">
        <v>160</v>
      </c>
      <c r="D2517" s="5">
        <v>44931</v>
      </c>
    </row>
    <row r="2518" spans="2:4">
      <c r="B2518" s="6" t="s">
        <v>166</v>
      </c>
      <c r="C2518" s="6" t="s">
        <v>427</v>
      </c>
      <c r="D2518" s="5">
        <v>44931</v>
      </c>
    </row>
    <row r="2519" spans="2:4">
      <c r="B2519" s="6" t="s">
        <v>586</v>
      </c>
      <c r="C2519" s="6" t="s">
        <v>207</v>
      </c>
      <c r="D2519" s="5">
        <v>44931</v>
      </c>
    </row>
    <row r="2520" spans="2:4">
      <c r="B2520" s="6" t="s">
        <v>599</v>
      </c>
      <c r="C2520" s="6" t="s">
        <v>420</v>
      </c>
      <c r="D2520" s="5">
        <v>44931</v>
      </c>
    </row>
    <row r="2521" spans="2:4">
      <c r="B2521" s="6" t="s">
        <v>236</v>
      </c>
      <c r="C2521" s="6" t="s">
        <v>428</v>
      </c>
      <c r="D2521" s="5">
        <v>44931</v>
      </c>
    </row>
    <row r="2522" spans="2:4">
      <c r="B2522" s="6" t="s">
        <v>154</v>
      </c>
      <c r="C2522" s="6" t="s">
        <v>621</v>
      </c>
      <c r="D2522" s="5">
        <v>44931</v>
      </c>
    </row>
    <row r="2523" spans="2:4">
      <c r="B2523" s="6" t="s">
        <v>404</v>
      </c>
      <c r="C2523" s="6" t="s">
        <v>132</v>
      </c>
      <c r="D2523" s="5">
        <v>44931</v>
      </c>
    </row>
    <row r="2524" spans="2:4">
      <c r="B2524" s="6" t="s">
        <v>70</v>
      </c>
      <c r="C2524" s="6" t="s">
        <v>71</v>
      </c>
      <c r="D2524" s="5">
        <v>44931</v>
      </c>
    </row>
    <row r="2525" spans="2:4">
      <c r="B2525" s="6" t="s">
        <v>396</v>
      </c>
      <c r="C2525" s="6" t="s">
        <v>157</v>
      </c>
      <c r="D2525" s="5">
        <v>44931</v>
      </c>
    </row>
    <row r="2526" spans="2:4">
      <c r="B2526" s="6" t="s">
        <v>140</v>
      </c>
      <c r="C2526" s="6" t="s">
        <v>414</v>
      </c>
      <c r="D2526" s="5">
        <v>44932</v>
      </c>
    </row>
    <row r="2527" spans="2:4">
      <c r="B2527" s="6" t="s">
        <v>138</v>
      </c>
      <c r="C2527" s="6" t="s">
        <v>97</v>
      </c>
      <c r="D2527" s="5">
        <v>44932</v>
      </c>
    </row>
    <row r="2528" spans="2:4">
      <c r="B2528" s="6" t="s">
        <v>125</v>
      </c>
      <c r="C2528" s="6" t="s">
        <v>419</v>
      </c>
      <c r="D2528" s="5">
        <v>44932</v>
      </c>
    </row>
    <row r="2529" spans="2:4">
      <c r="B2529" s="6" t="s">
        <v>100</v>
      </c>
      <c r="C2529" s="6" t="s">
        <v>351</v>
      </c>
      <c r="D2529" s="5">
        <v>44932</v>
      </c>
    </row>
    <row r="2530" spans="2:4">
      <c r="B2530" s="6" t="s">
        <v>107</v>
      </c>
      <c r="C2530" s="6" t="s">
        <v>108</v>
      </c>
      <c r="D2530" s="5">
        <v>44932</v>
      </c>
    </row>
    <row r="2531" spans="2:4">
      <c r="B2531" s="6" t="s">
        <v>130</v>
      </c>
      <c r="C2531" s="6" t="s">
        <v>244</v>
      </c>
      <c r="D2531" s="5">
        <v>44932</v>
      </c>
    </row>
    <row r="2532" spans="2:4">
      <c r="B2532" s="6" t="s">
        <v>117</v>
      </c>
      <c r="C2532" s="6" t="s">
        <v>216</v>
      </c>
      <c r="D2532" s="5">
        <v>44932</v>
      </c>
    </row>
    <row r="2533" spans="2:4">
      <c r="B2533" s="6" t="s">
        <v>361</v>
      </c>
      <c r="C2533" s="6" t="s">
        <v>285</v>
      </c>
      <c r="D2533" s="5">
        <v>44932</v>
      </c>
    </row>
    <row r="2534" spans="2:4">
      <c r="B2534" s="6" t="s">
        <v>230</v>
      </c>
      <c r="C2534" s="6" t="s">
        <v>211</v>
      </c>
      <c r="D2534" s="5">
        <v>44932</v>
      </c>
    </row>
    <row r="2535" spans="2:4">
      <c r="B2535" s="6" t="s">
        <v>112</v>
      </c>
      <c r="C2535" s="6" t="s">
        <v>204</v>
      </c>
      <c r="D2535" s="5">
        <v>44932</v>
      </c>
    </row>
    <row r="2536" spans="2:4">
      <c r="B2536" s="6" t="s">
        <v>256</v>
      </c>
      <c r="C2536" s="6" t="s">
        <v>101</v>
      </c>
      <c r="D2536" s="5">
        <v>44932</v>
      </c>
    </row>
    <row r="2537" spans="2:4">
      <c r="B2537" s="6" t="s">
        <v>266</v>
      </c>
      <c r="C2537" s="6" t="s">
        <v>422</v>
      </c>
      <c r="D2537" s="5">
        <v>44932</v>
      </c>
    </row>
    <row r="2538" spans="2:4">
      <c r="B2538" s="6" t="s">
        <v>164</v>
      </c>
      <c r="C2538" s="6" t="s">
        <v>93</v>
      </c>
      <c r="D2538" s="5">
        <v>44932</v>
      </c>
    </row>
    <row r="2539" spans="2:4">
      <c r="B2539" s="6" t="s">
        <v>238</v>
      </c>
      <c r="C2539" s="6" t="s">
        <v>277</v>
      </c>
      <c r="D2539" s="5">
        <v>44933</v>
      </c>
    </row>
    <row r="2540" spans="2:4">
      <c r="B2540" s="6" t="s">
        <v>156</v>
      </c>
      <c r="C2540" s="6" t="s">
        <v>308</v>
      </c>
      <c r="D2540" s="5">
        <v>44933</v>
      </c>
    </row>
    <row r="2541" spans="2:4">
      <c r="B2541" s="6" t="s">
        <v>395</v>
      </c>
      <c r="C2541" s="6" t="s">
        <v>191</v>
      </c>
      <c r="D2541" s="5">
        <v>44933</v>
      </c>
    </row>
    <row r="2542" spans="2:4">
      <c r="B2542" s="6" t="s">
        <v>165</v>
      </c>
      <c r="C2542" s="6" t="s">
        <v>427</v>
      </c>
      <c r="D2542" s="5">
        <v>44933</v>
      </c>
    </row>
    <row r="2543" spans="2:4">
      <c r="B2543" s="6" t="s">
        <v>396</v>
      </c>
      <c r="C2543" s="6" t="s">
        <v>404</v>
      </c>
      <c r="D2543" s="5">
        <v>44933</v>
      </c>
    </row>
    <row r="2544" spans="2:4">
      <c r="B2544" s="6" t="s">
        <v>167</v>
      </c>
      <c r="C2544" s="6" t="s">
        <v>420</v>
      </c>
      <c r="D2544" s="5">
        <v>44933</v>
      </c>
    </row>
    <row r="2545" spans="2:4">
      <c r="B2545" s="6" t="s">
        <v>251</v>
      </c>
      <c r="C2545" s="6" t="s">
        <v>46</v>
      </c>
      <c r="D2545" s="5">
        <v>44933</v>
      </c>
    </row>
    <row r="2546" spans="2:4">
      <c r="B2546" s="6" t="s">
        <v>732</v>
      </c>
      <c r="C2546" s="6" t="s">
        <v>38</v>
      </c>
      <c r="D2546" s="5">
        <v>44933</v>
      </c>
    </row>
    <row r="2547" spans="2:4">
      <c r="B2547" s="6" t="s">
        <v>778</v>
      </c>
      <c r="C2547" s="6" t="s">
        <v>30</v>
      </c>
      <c r="D2547" s="5">
        <v>44933</v>
      </c>
    </row>
    <row r="2548" spans="2:4">
      <c r="B2548" s="6" t="s">
        <v>40</v>
      </c>
      <c r="C2548" s="6" t="s">
        <v>302</v>
      </c>
      <c r="D2548" s="5">
        <v>44933</v>
      </c>
    </row>
    <row r="2549" spans="2:4">
      <c r="B2549" s="6" t="s">
        <v>63</v>
      </c>
      <c r="C2549" s="6" t="s">
        <v>67</v>
      </c>
      <c r="D2549" s="5">
        <v>44933</v>
      </c>
    </row>
    <row r="2550" spans="2:4">
      <c r="B2550" s="6" t="s">
        <v>87</v>
      </c>
      <c r="C2550" s="6" t="s">
        <v>185</v>
      </c>
      <c r="D2550" s="5">
        <v>44933</v>
      </c>
    </row>
    <row r="2551" spans="2:4">
      <c r="B2551" s="6" t="s">
        <v>121</v>
      </c>
      <c r="C2551" s="6" t="s">
        <v>199</v>
      </c>
      <c r="D2551" s="5">
        <v>44933</v>
      </c>
    </row>
    <row r="2552" spans="2:4">
      <c r="B2552" s="6" t="s">
        <v>203</v>
      </c>
      <c r="C2552" s="6" t="s">
        <v>400</v>
      </c>
      <c r="D2552" s="5">
        <v>44933</v>
      </c>
    </row>
    <row r="2553" spans="2:4">
      <c r="B2553" s="6" t="s">
        <v>82</v>
      </c>
      <c r="C2553" s="6" t="s">
        <v>80</v>
      </c>
      <c r="D2553" s="5">
        <v>44933</v>
      </c>
    </row>
    <row r="2554" spans="2:4">
      <c r="B2554" s="6" t="s">
        <v>54</v>
      </c>
      <c r="C2554" s="6" t="s">
        <v>44</v>
      </c>
      <c r="D2554" s="5">
        <v>44933</v>
      </c>
    </row>
    <row r="2555" spans="2:4">
      <c r="B2555" s="6" t="s">
        <v>737</v>
      </c>
      <c r="C2555" s="6" t="s">
        <v>50</v>
      </c>
      <c r="D2555" s="5">
        <v>44933</v>
      </c>
    </row>
    <row r="2556" spans="2:4">
      <c r="B2556" s="6" t="s">
        <v>79</v>
      </c>
      <c r="C2556" s="6" t="s">
        <v>89</v>
      </c>
      <c r="D2556" s="5">
        <v>44933</v>
      </c>
    </row>
    <row r="2557" spans="2:4">
      <c r="B2557" s="6" t="s">
        <v>410</v>
      </c>
      <c r="C2557" s="6" t="s">
        <v>405</v>
      </c>
      <c r="D2557" s="5">
        <v>44933</v>
      </c>
    </row>
    <row r="2558" spans="2:4">
      <c r="B2558" s="6" t="s">
        <v>296</v>
      </c>
      <c r="C2558" s="6" t="s">
        <v>358</v>
      </c>
      <c r="D2558" s="5">
        <v>44933</v>
      </c>
    </row>
    <row r="2559" spans="2:4">
      <c r="B2559" s="6" t="s">
        <v>60</v>
      </c>
      <c r="C2559" s="6" t="s">
        <v>65</v>
      </c>
      <c r="D2559" s="5">
        <v>44933</v>
      </c>
    </row>
    <row r="2560" spans="2:4">
      <c r="B2560" s="6" t="s">
        <v>34</v>
      </c>
      <c r="C2560" s="6" t="s">
        <v>747</v>
      </c>
      <c r="D2560" s="5">
        <v>44933</v>
      </c>
    </row>
    <row r="2561" spans="2:4">
      <c r="B2561" s="6" t="s">
        <v>145</v>
      </c>
      <c r="C2561" s="6" t="s">
        <v>221</v>
      </c>
      <c r="D2561" s="5">
        <v>44933</v>
      </c>
    </row>
    <row r="2562" spans="2:4">
      <c r="B2562" s="6" t="s">
        <v>144</v>
      </c>
      <c r="C2562" s="6" t="s">
        <v>275</v>
      </c>
      <c r="D2562" s="5">
        <v>44933</v>
      </c>
    </row>
    <row r="2563" spans="2:4">
      <c r="B2563" s="6" t="s">
        <v>336</v>
      </c>
      <c r="C2563" s="6" t="s">
        <v>122</v>
      </c>
      <c r="D2563" s="5">
        <v>44933</v>
      </c>
    </row>
    <row r="2564" spans="2:4">
      <c r="B2564" s="6" t="s">
        <v>325</v>
      </c>
      <c r="C2564" s="6" t="s">
        <v>280</v>
      </c>
      <c r="D2564" s="5">
        <v>44933</v>
      </c>
    </row>
    <row r="2565" spans="2:4">
      <c r="B2565" s="6" t="s">
        <v>213</v>
      </c>
      <c r="C2565" s="6" t="s">
        <v>326</v>
      </c>
      <c r="D2565" s="5">
        <v>44933</v>
      </c>
    </row>
    <row r="2566" spans="2:4">
      <c r="B2566" s="6" t="s">
        <v>421</v>
      </c>
      <c r="C2566" s="6" t="s">
        <v>182</v>
      </c>
      <c r="D2566" s="5">
        <v>44933</v>
      </c>
    </row>
    <row r="2567" spans="2:4">
      <c r="B2567" s="6" t="s">
        <v>37</v>
      </c>
      <c r="C2567" s="6" t="s">
        <v>41</v>
      </c>
      <c r="D2567" s="5">
        <v>44933</v>
      </c>
    </row>
    <row r="2568" spans="2:4">
      <c r="B2568" s="6" t="s">
        <v>763</v>
      </c>
      <c r="C2568" s="6" t="s">
        <v>762</v>
      </c>
      <c r="D2568" s="5">
        <v>44933</v>
      </c>
    </row>
    <row r="2569" spans="2:4">
      <c r="B2569" s="6" t="s">
        <v>349</v>
      </c>
      <c r="C2569" s="6" t="s">
        <v>334</v>
      </c>
      <c r="D2569" s="5">
        <v>44933</v>
      </c>
    </row>
    <row r="2570" spans="2:4">
      <c r="B2570" s="6" t="s">
        <v>210</v>
      </c>
      <c r="C2570" s="6" t="s">
        <v>124</v>
      </c>
      <c r="D2570" s="5">
        <v>44933</v>
      </c>
    </row>
    <row r="2571" spans="2:4">
      <c r="B2571" s="6" t="s">
        <v>281</v>
      </c>
      <c r="C2571" s="6" t="s">
        <v>350</v>
      </c>
      <c r="D2571" s="5">
        <v>44933</v>
      </c>
    </row>
    <row r="2572" spans="2:4">
      <c r="B2572" s="6" t="s">
        <v>337</v>
      </c>
      <c r="C2572" s="6" t="s">
        <v>300</v>
      </c>
      <c r="D2572" s="5">
        <v>44933</v>
      </c>
    </row>
    <row r="2573" spans="2:4">
      <c r="B2573" s="6" t="s">
        <v>425</v>
      </c>
      <c r="C2573" s="6" t="s">
        <v>202</v>
      </c>
      <c r="D2573" s="5">
        <v>44933</v>
      </c>
    </row>
    <row r="2574" spans="2:4">
      <c r="B2574" s="6" t="s">
        <v>192</v>
      </c>
      <c r="C2574" s="6" t="s">
        <v>270</v>
      </c>
      <c r="D2574" s="5">
        <v>44933</v>
      </c>
    </row>
    <row r="2575" spans="2:4">
      <c r="B2575" s="6" t="s">
        <v>297</v>
      </c>
      <c r="C2575" s="6" t="s">
        <v>298</v>
      </c>
      <c r="D2575" s="5">
        <v>44933</v>
      </c>
    </row>
    <row r="2576" spans="2:4">
      <c r="B2576" s="6" t="s">
        <v>104</v>
      </c>
      <c r="C2576" s="6" t="s">
        <v>261</v>
      </c>
      <c r="D2576" s="5">
        <v>44933</v>
      </c>
    </row>
    <row r="2577" spans="2:4">
      <c r="B2577" s="6" t="s">
        <v>247</v>
      </c>
      <c r="C2577" s="6" t="s">
        <v>362</v>
      </c>
      <c r="D2577" s="5">
        <v>44933</v>
      </c>
    </row>
    <row r="2578" spans="2:4">
      <c r="B2578" s="6" t="s">
        <v>590</v>
      </c>
      <c r="C2578" s="6" t="s">
        <v>246</v>
      </c>
      <c r="D2578" s="5">
        <v>44933</v>
      </c>
    </row>
    <row r="2579" spans="2:4">
      <c r="B2579" s="6" t="s">
        <v>359</v>
      </c>
      <c r="C2579" s="6" t="s">
        <v>208</v>
      </c>
      <c r="D2579" s="5">
        <v>44933</v>
      </c>
    </row>
    <row r="2580" spans="2:4">
      <c r="B2580" s="6" t="s">
        <v>196</v>
      </c>
      <c r="C2580" s="6" t="s">
        <v>385</v>
      </c>
      <c r="D2580" s="5">
        <v>44933</v>
      </c>
    </row>
    <row r="2581" spans="2:4">
      <c r="B2581" s="6" t="s">
        <v>418</v>
      </c>
      <c r="C2581" s="6" t="s">
        <v>172</v>
      </c>
      <c r="D2581" s="5">
        <v>44933</v>
      </c>
    </row>
    <row r="2582" spans="2:4">
      <c r="B2582" s="6" t="s">
        <v>268</v>
      </c>
      <c r="C2582" s="6" t="s">
        <v>327</v>
      </c>
      <c r="D2582" s="5">
        <v>44933</v>
      </c>
    </row>
    <row r="2583" spans="2:4">
      <c r="B2583" s="6" t="s">
        <v>146</v>
      </c>
      <c r="C2583" s="6" t="s">
        <v>115</v>
      </c>
      <c r="D2583" s="5">
        <v>44933</v>
      </c>
    </row>
    <row r="2584" spans="2:4">
      <c r="B2584" s="6" t="s">
        <v>413</v>
      </c>
      <c r="C2584" s="6" t="s">
        <v>178</v>
      </c>
      <c r="D2584" s="5">
        <v>44933</v>
      </c>
    </row>
    <row r="2585" spans="2:4">
      <c r="B2585" s="6" t="s">
        <v>761</v>
      </c>
      <c r="C2585" s="6" t="s">
        <v>59</v>
      </c>
      <c r="D2585" s="5">
        <v>44933</v>
      </c>
    </row>
    <row r="2586" spans="2:4">
      <c r="B2586" s="6" t="s">
        <v>43</v>
      </c>
      <c r="C2586" s="6" t="s">
        <v>53</v>
      </c>
      <c r="D2586" s="5">
        <v>44933</v>
      </c>
    </row>
    <row r="2587" spans="2:4">
      <c r="B2587" s="6" t="s">
        <v>373</v>
      </c>
      <c r="C2587" s="6" t="s">
        <v>376</v>
      </c>
      <c r="D2587" s="5">
        <v>44933</v>
      </c>
    </row>
    <row r="2588" spans="2:4">
      <c r="B2588" s="6" t="s">
        <v>133</v>
      </c>
      <c r="C2588" s="6" t="s">
        <v>252</v>
      </c>
      <c r="D2588" s="5">
        <v>44933</v>
      </c>
    </row>
    <row r="2589" spans="2:4">
      <c r="B2589" s="6" t="s">
        <v>290</v>
      </c>
      <c r="C2589" s="6" t="s">
        <v>381</v>
      </c>
      <c r="D2589" s="5">
        <v>44933</v>
      </c>
    </row>
    <row r="2590" spans="2:4">
      <c r="B2590" s="6" t="s">
        <v>323</v>
      </c>
      <c r="C2590" s="6" t="s">
        <v>424</v>
      </c>
      <c r="D2590" s="5">
        <v>44933</v>
      </c>
    </row>
    <row r="2591" spans="2:4">
      <c r="B2591" s="6" t="s">
        <v>273</v>
      </c>
      <c r="C2591" s="6" t="s">
        <v>110</v>
      </c>
      <c r="D2591" s="5">
        <v>44933</v>
      </c>
    </row>
    <row r="2592" spans="2:4">
      <c r="B2592" s="6" t="s">
        <v>175</v>
      </c>
      <c r="C2592" s="6" t="s">
        <v>587</v>
      </c>
      <c r="D2592" s="5">
        <v>44933</v>
      </c>
    </row>
    <row r="2593" spans="2:4">
      <c r="B2593" s="6" t="s">
        <v>333</v>
      </c>
      <c r="C2593" s="6" t="s">
        <v>316</v>
      </c>
      <c r="D2593" s="5">
        <v>44933</v>
      </c>
    </row>
    <row r="2594" spans="2:4">
      <c r="B2594" s="6" t="s">
        <v>289</v>
      </c>
      <c r="C2594" s="6" t="s">
        <v>136</v>
      </c>
      <c r="D2594" s="5">
        <v>44933</v>
      </c>
    </row>
    <row r="2595" spans="2:4">
      <c r="B2595" s="6" t="s">
        <v>330</v>
      </c>
      <c r="C2595" s="6" t="s">
        <v>151</v>
      </c>
      <c r="D2595" s="5">
        <v>44933</v>
      </c>
    </row>
    <row r="2596" spans="2:4">
      <c r="B2596" s="6" t="s">
        <v>305</v>
      </c>
      <c r="C2596" s="6" t="s">
        <v>329</v>
      </c>
      <c r="D2596" s="5">
        <v>44933</v>
      </c>
    </row>
    <row r="2597" spans="2:4">
      <c r="B2597" s="6" t="s">
        <v>397</v>
      </c>
      <c r="C2597" s="6" t="s">
        <v>324</v>
      </c>
      <c r="D2597" s="5">
        <v>44933</v>
      </c>
    </row>
    <row r="2598" spans="2:4">
      <c r="B2598" s="6" t="s">
        <v>90</v>
      </c>
      <c r="C2598" s="6" t="s">
        <v>86</v>
      </c>
      <c r="D2598" s="5">
        <v>44933</v>
      </c>
    </row>
    <row r="2599" spans="2:4">
      <c r="B2599" s="6" t="s">
        <v>209</v>
      </c>
      <c r="C2599" s="6" t="s">
        <v>180</v>
      </c>
      <c r="D2599" s="5">
        <v>44933</v>
      </c>
    </row>
    <row r="2600" spans="2:4">
      <c r="B2600" s="6" t="s">
        <v>193</v>
      </c>
      <c r="C2600" s="6" t="s">
        <v>294</v>
      </c>
      <c r="D2600" s="5">
        <v>44933</v>
      </c>
    </row>
    <row r="2601" spans="2:4">
      <c r="B2601" s="6" t="s">
        <v>152</v>
      </c>
      <c r="C2601" s="6" t="s">
        <v>392</v>
      </c>
      <c r="D2601" s="5">
        <v>44933</v>
      </c>
    </row>
    <row r="2602" spans="2:4">
      <c r="B2602" s="6" t="s">
        <v>96</v>
      </c>
      <c r="C2602" s="6" t="s">
        <v>264</v>
      </c>
      <c r="D2602" s="5">
        <v>44933</v>
      </c>
    </row>
    <row r="2603" spans="2:4">
      <c r="B2603" s="6" t="s">
        <v>116</v>
      </c>
      <c r="C2603" s="6" t="s">
        <v>276</v>
      </c>
      <c r="D2603" s="5">
        <v>44933</v>
      </c>
    </row>
    <row r="2604" spans="2:4">
      <c r="B2604" s="6" t="s">
        <v>49</v>
      </c>
      <c r="C2604" s="6" t="s">
        <v>51</v>
      </c>
      <c r="D2604" s="5">
        <v>44933</v>
      </c>
    </row>
    <row r="2605" spans="2:4">
      <c r="B2605" s="6" t="s">
        <v>368</v>
      </c>
      <c r="C2605" s="6" t="s">
        <v>313</v>
      </c>
      <c r="D2605" s="5">
        <v>44933</v>
      </c>
    </row>
    <row r="2606" spans="2:4">
      <c r="B2606" s="6" t="s">
        <v>310</v>
      </c>
      <c r="C2606" s="6" t="s">
        <v>335</v>
      </c>
      <c r="D2606" s="5">
        <v>44933</v>
      </c>
    </row>
    <row r="2607" spans="2:4">
      <c r="B2607" s="6" t="s">
        <v>436</v>
      </c>
      <c r="C2607" s="6" t="s">
        <v>111</v>
      </c>
      <c r="D2607" s="5">
        <v>44933</v>
      </c>
    </row>
    <row r="2608" spans="2:4">
      <c r="B2608" s="6" t="s">
        <v>267</v>
      </c>
      <c r="C2608" s="6" t="s">
        <v>102</v>
      </c>
      <c r="D2608" s="5">
        <v>44933</v>
      </c>
    </row>
    <row r="2609" spans="2:4">
      <c r="B2609" s="6" t="s">
        <v>287</v>
      </c>
      <c r="C2609" s="6" t="s">
        <v>171</v>
      </c>
      <c r="D2609" s="5">
        <v>44933</v>
      </c>
    </row>
    <row r="2610" spans="2:4">
      <c r="B2610" s="6" t="s">
        <v>98</v>
      </c>
      <c r="C2610" s="6" t="s">
        <v>338</v>
      </c>
      <c r="D2610" s="5">
        <v>44933</v>
      </c>
    </row>
    <row r="2611" spans="2:4">
      <c r="B2611" s="6" t="s">
        <v>306</v>
      </c>
      <c r="C2611" s="6" t="s">
        <v>150</v>
      </c>
      <c r="D2611" s="5">
        <v>44933</v>
      </c>
    </row>
    <row r="2612" spans="2:4">
      <c r="B2612" s="6" t="s">
        <v>409</v>
      </c>
      <c r="C2612" s="6" t="s">
        <v>286</v>
      </c>
      <c r="D2612" s="5">
        <v>44933</v>
      </c>
    </row>
    <row r="2613" spans="2:4">
      <c r="B2613" s="6" t="s">
        <v>179</v>
      </c>
      <c r="C2613" s="6" t="s">
        <v>272</v>
      </c>
      <c r="D2613" s="5">
        <v>44933</v>
      </c>
    </row>
    <row r="2614" spans="2:4">
      <c r="B2614" s="6" t="s">
        <v>403</v>
      </c>
      <c r="C2614" s="6" t="s">
        <v>391</v>
      </c>
      <c r="D2614" s="5">
        <v>44933</v>
      </c>
    </row>
    <row r="2615" spans="2:4">
      <c r="B2615" s="6" t="s">
        <v>35</v>
      </c>
      <c r="C2615" s="6" t="s">
        <v>39</v>
      </c>
      <c r="D2615" s="5">
        <v>44933</v>
      </c>
    </row>
    <row r="2616" spans="2:4">
      <c r="B2616" s="6" t="s">
        <v>332</v>
      </c>
      <c r="C2616" s="6" t="s">
        <v>249</v>
      </c>
      <c r="D2616" s="5">
        <v>44933</v>
      </c>
    </row>
    <row r="2617" spans="2:4">
      <c r="B2617" s="6" t="s">
        <v>183</v>
      </c>
      <c r="C2617" s="6" t="s">
        <v>94</v>
      </c>
      <c r="D2617" s="5">
        <v>44933</v>
      </c>
    </row>
    <row r="2618" spans="2:4">
      <c r="B2618" s="6" t="s">
        <v>343</v>
      </c>
      <c r="C2618" s="6" t="s">
        <v>319</v>
      </c>
      <c r="D2618" s="5">
        <v>44933</v>
      </c>
    </row>
    <row r="2619" spans="2:4">
      <c r="B2619" s="6" t="s">
        <v>342</v>
      </c>
      <c r="C2619" s="6" t="s">
        <v>588</v>
      </c>
      <c r="D2619" s="5">
        <v>44933</v>
      </c>
    </row>
    <row r="2620" spans="2:4">
      <c r="B2620" s="6" t="s">
        <v>386</v>
      </c>
      <c r="C2620" s="6" t="s">
        <v>394</v>
      </c>
      <c r="D2620" s="5">
        <v>44933</v>
      </c>
    </row>
    <row r="2621" spans="2:4">
      <c r="B2621" s="6" t="s">
        <v>250</v>
      </c>
      <c r="C2621" s="6" t="s">
        <v>304</v>
      </c>
      <c r="D2621" s="5">
        <v>44933</v>
      </c>
    </row>
    <row r="2622" spans="2:4">
      <c r="B2622" s="6" t="s">
        <v>240</v>
      </c>
      <c r="C2622" s="6" t="s">
        <v>321</v>
      </c>
      <c r="D2622" s="5">
        <v>44933</v>
      </c>
    </row>
    <row r="2623" spans="2:4">
      <c r="B2623" s="6" t="s">
        <v>603</v>
      </c>
      <c r="C2623" s="6" t="s">
        <v>309</v>
      </c>
      <c r="D2623" s="5">
        <v>44933</v>
      </c>
    </row>
    <row r="2624" spans="2:4">
      <c r="B2624" s="6" t="s">
        <v>70</v>
      </c>
      <c r="C2624" s="6" t="s">
        <v>804</v>
      </c>
      <c r="D2624" s="5">
        <v>44933</v>
      </c>
    </row>
    <row r="2625" spans="2:4">
      <c r="B2625" s="6" t="s">
        <v>188</v>
      </c>
      <c r="C2625" s="6" t="s">
        <v>47</v>
      </c>
      <c r="D2625" s="5">
        <v>44933</v>
      </c>
    </row>
    <row r="2626" spans="2:4">
      <c r="B2626" s="6" t="s">
        <v>186</v>
      </c>
      <c r="C2626" s="6" t="s">
        <v>320</v>
      </c>
      <c r="D2626" s="5">
        <v>44933</v>
      </c>
    </row>
    <row r="2627" spans="2:4">
      <c r="B2627" s="6" t="s">
        <v>134</v>
      </c>
      <c r="C2627" s="6" t="s">
        <v>584</v>
      </c>
      <c r="D2627" s="5">
        <v>44933</v>
      </c>
    </row>
    <row r="2628" spans="2:4">
      <c r="B2628" s="6" t="s">
        <v>295</v>
      </c>
      <c r="C2628" s="6" t="s">
        <v>640</v>
      </c>
      <c r="D2628" s="5">
        <v>44933</v>
      </c>
    </row>
    <row r="2629" spans="2:4">
      <c r="B2629" s="6" t="s">
        <v>288</v>
      </c>
      <c r="C2629" s="6" t="s">
        <v>127</v>
      </c>
      <c r="D2629" s="5">
        <v>44933</v>
      </c>
    </row>
    <row r="2630" spans="2:4">
      <c r="B2630" s="6" t="s">
        <v>194</v>
      </c>
      <c r="C2630" s="6" t="s">
        <v>367</v>
      </c>
      <c r="D2630" s="5">
        <v>44933</v>
      </c>
    </row>
    <row r="2631" spans="2:4">
      <c r="B2631" s="6" t="s">
        <v>432</v>
      </c>
      <c r="C2631" s="6" t="s">
        <v>118</v>
      </c>
      <c r="D2631" s="5">
        <v>44933</v>
      </c>
    </row>
    <row r="2632" spans="2:4">
      <c r="B2632" s="6" t="s">
        <v>158</v>
      </c>
      <c r="C2632" s="6" t="s">
        <v>402</v>
      </c>
      <c r="D2632" s="5">
        <v>44933</v>
      </c>
    </row>
    <row r="2633" spans="2:4">
      <c r="B2633" s="6" t="s">
        <v>393</v>
      </c>
      <c r="C2633" s="6" t="s">
        <v>389</v>
      </c>
      <c r="D2633" s="5">
        <v>44933</v>
      </c>
    </row>
    <row r="2634" spans="2:4">
      <c r="B2634" s="6" t="s">
        <v>415</v>
      </c>
      <c r="C2634" s="6" t="s">
        <v>388</v>
      </c>
      <c r="D2634" s="5">
        <v>44933</v>
      </c>
    </row>
    <row r="2635" spans="2:4">
      <c r="B2635" s="6" t="s">
        <v>147</v>
      </c>
      <c r="C2635" s="6" t="s">
        <v>355</v>
      </c>
      <c r="D2635" s="5">
        <v>44933</v>
      </c>
    </row>
    <row r="2636" spans="2:4">
      <c r="B2636" s="6" t="s">
        <v>32</v>
      </c>
      <c r="C2636" s="6" t="s">
        <v>26</v>
      </c>
      <c r="D2636" s="5">
        <v>44933</v>
      </c>
    </row>
    <row r="2637" spans="2:4">
      <c r="B2637" s="6" t="s">
        <v>28</v>
      </c>
      <c r="C2637" s="6" t="s">
        <v>750</v>
      </c>
      <c r="D2637" s="5">
        <v>44933</v>
      </c>
    </row>
    <row r="2638" spans="2:4">
      <c r="B2638" s="6" t="s">
        <v>125</v>
      </c>
      <c r="C2638" s="6" t="s">
        <v>97</v>
      </c>
      <c r="D2638" s="5">
        <v>44933</v>
      </c>
    </row>
    <row r="2639" spans="2:4">
      <c r="B2639" s="6" t="s">
        <v>318</v>
      </c>
      <c r="C2639" s="6" t="s">
        <v>241</v>
      </c>
      <c r="D2639" s="5">
        <v>44933</v>
      </c>
    </row>
    <row r="2640" spans="2:4">
      <c r="B2640" s="6" t="s">
        <v>363</v>
      </c>
      <c r="C2640" s="6" t="s">
        <v>312</v>
      </c>
      <c r="D2640" s="5">
        <v>44933</v>
      </c>
    </row>
    <row r="2641" spans="2:4">
      <c r="B2641" s="6" t="s">
        <v>119</v>
      </c>
      <c r="C2641" s="6" t="s">
        <v>139</v>
      </c>
      <c r="D2641" s="5">
        <v>44933</v>
      </c>
    </row>
    <row r="2642" spans="2:4">
      <c r="B2642" s="6" t="s">
        <v>242</v>
      </c>
      <c r="C2642" s="6" t="s">
        <v>135</v>
      </c>
      <c r="D2642" s="5">
        <v>44933</v>
      </c>
    </row>
    <row r="2643" spans="2:4">
      <c r="B2643" s="6" t="s">
        <v>107</v>
      </c>
      <c r="C2643" s="6" t="s">
        <v>351</v>
      </c>
      <c r="D2643" s="5">
        <v>44933</v>
      </c>
    </row>
    <row r="2644" spans="2:4">
      <c r="B2644" s="6" t="s">
        <v>91</v>
      </c>
      <c r="C2644" s="6" t="s">
        <v>81</v>
      </c>
      <c r="D2644" s="5">
        <v>44933</v>
      </c>
    </row>
    <row r="2645" spans="2:4">
      <c r="B2645" s="6" t="s">
        <v>200</v>
      </c>
      <c r="C2645" s="6" t="s">
        <v>284</v>
      </c>
      <c r="D2645" s="5">
        <v>44933</v>
      </c>
    </row>
    <row r="2646" spans="2:4">
      <c r="B2646" s="6" t="s">
        <v>120</v>
      </c>
      <c r="C2646" s="6" t="s">
        <v>128</v>
      </c>
      <c r="D2646" s="5">
        <v>44933</v>
      </c>
    </row>
    <row r="2647" spans="2:4">
      <c r="B2647" s="6" t="s">
        <v>181</v>
      </c>
      <c r="C2647" s="6" t="s">
        <v>170</v>
      </c>
      <c r="D2647" s="5">
        <v>44933</v>
      </c>
    </row>
    <row r="2648" spans="2:4">
      <c r="B2648" s="6" t="s">
        <v>382</v>
      </c>
      <c r="C2648" s="6" t="s">
        <v>232</v>
      </c>
      <c r="D2648" s="5">
        <v>44933</v>
      </c>
    </row>
    <row r="2649" spans="2:4">
      <c r="B2649" s="6" t="s">
        <v>364</v>
      </c>
      <c r="C2649" s="6" t="s">
        <v>314</v>
      </c>
      <c r="D2649" s="5">
        <v>44933</v>
      </c>
    </row>
    <row r="2650" spans="2:4">
      <c r="B2650" s="6" t="s">
        <v>162</v>
      </c>
      <c r="C2650" s="6" t="s">
        <v>168</v>
      </c>
      <c r="D2650" s="5">
        <v>44933</v>
      </c>
    </row>
    <row r="2651" spans="2:4">
      <c r="B2651" s="6" t="s">
        <v>99</v>
      </c>
      <c r="C2651" s="6" t="s">
        <v>123</v>
      </c>
      <c r="D2651" s="5">
        <v>44933</v>
      </c>
    </row>
    <row r="2652" spans="2:4">
      <c r="B2652" s="6" t="s">
        <v>77</v>
      </c>
      <c r="C2652" s="6" t="s">
        <v>69</v>
      </c>
      <c r="D2652" s="5">
        <v>44933</v>
      </c>
    </row>
    <row r="2653" spans="2:4">
      <c r="B2653" s="6" t="s">
        <v>27</v>
      </c>
      <c r="C2653" s="6" t="s">
        <v>29</v>
      </c>
      <c r="D2653" s="5">
        <v>44933</v>
      </c>
    </row>
    <row r="2654" spans="2:4">
      <c r="B2654" s="6" t="s">
        <v>303</v>
      </c>
      <c r="C2654" s="6" t="s">
        <v>399</v>
      </c>
      <c r="D2654" s="5">
        <v>44933</v>
      </c>
    </row>
    <row r="2655" spans="2:4">
      <c r="B2655" s="6" t="s">
        <v>138</v>
      </c>
      <c r="C2655" s="6" t="s">
        <v>419</v>
      </c>
      <c r="D2655" s="5">
        <v>44933</v>
      </c>
    </row>
    <row r="2656" spans="2:4">
      <c r="B2656" s="6" t="s">
        <v>100</v>
      </c>
      <c r="C2656" s="6" t="s">
        <v>108</v>
      </c>
      <c r="D2656" s="5">
        <v>44933</v>
      </c>
    </row>
    <row r="2657" spans="2:4">
      <c r="B2657" s="6" t="s">
        <v>274</v>
      </c>
      <c r="C2657" s="6" t="s">
        <v>195</v>
      </c>
      <c r="D2657" s="5">
        <v>44933</v>
      </c>
    </row>
    <row r="2658" spans="2:4">
      <c r="B2658" s="6" t="s">
        <v>345</v>
      </c>
      <c r="C2658" s="6" t="s">
        <v>378</v>
      </c>
      <c r="D2658" s="5">
        <v>44933</v>
      </c>
    </row>
    <row r="2659" spans="2:4">
      <c r="B2659" s="6" t="s">
        <v>103</v>
      </c>
      <c r="C2659" s="6" t="s">
        <v>282</v>
      </c>
      <c r="D2659" s="5">
        <v>44933</v>
      </c>
    </row>
    <row r="2660" spans="2:4">
      <c r="B2660" s="6" t="s">
        <v>292</v>
      </c>
      <c r="C2660" s="6" t="s">
        <v>354</v>
      </c>
      <c r="D2660" s="5">
        <v>44933</v>
      </c>
    </row>
    <row r="2661" spans="2:4">
      <c r="B2661" s="6" t="s">
        <v>52</v>
      </c>
      <c r="C2661" s="6" t="s">
        <v>770</v>
      </c>
      <c r="D2661" s="5">
        <v>44933</v>
      </c>
    </row>
    <row r="2662" spans="2:4">
      <c r="B2662" s="6" t="s">
        <v>344</v>
      </c>
      <c r="C2662" s="6" t="s">
        <v>383</v>
      </c>
      <c r="D2662" s="5">
        <v>44933</v>
      </c>
    </row>
    <row r="2663" spans="2:4">
      <c r="B2663" s="6" t="s">
        <v>365</v>
      </c>
      <c r="C2663" s="6" t="s">
        <v>259</v>
      </c>
      <c r="D2663" s="5">
        <v>44933</v>
      </c>
    </row>
    <row r="2664" spans="2:4">
      <c r="B2664" s="6" t="s">
        <v>348</v>
      </c>
      <c r="C2664" s="6" t="s">
        <v>357</v>
      </c>
      <c r="D2664" s="5">
        <v>44933</v>
      </c>
    </row>
    <row r="2665" spans="2:4">
      <c r="B2665" s="6" t="s">
        <v>184</v>
      </c>
      <c r="C2665" s="6" t="s">
        <v>331</v>
      </c>
      <c r="D2665" s="5">
        <v>44933</v>
      </c>
    </row>
    <row r="2666" spans="2:4">
      <c r="B2666" s="6" t="s">
        <v>154</v>
      </c>
      <c r="C2666" s="6" t="s">
        <v>599</v>
      </c>
      <c r="D2666" s="5">
        <v>44933</v>
      </c>
    </row>
    <row r="2667" spans="2:4">
      <c r="B2667" s="6" t="s">
        <v>141</v>
      </c>
      <c r="C2667" s="6" t="s">
        <v>586</v>
      </c>
      <c r="D2667" s="5">
        <v>44933</v>
      </c>
    </row>
    <row r="2668" spans="2:4">
      <c r="B2668" s="6" t="s">
        <v>426</v>
      </c>
      <c r="C2668" s="6" t="s">
        <v>190</v>
      </c>
      <c r="D2668" s="5">
        <v>44933</v>
      </c>
    </row>
    <row r="2669" spans="2:4">
      <c r="B2669" s="6" t="s">
        <v>353</v>
      </c>
      <c r="C2669" s="6" t="s">
        <v>248</v>
      </c>
      <c r="D2669" s="5">
        <v>44933</v>
      </c>
    </row>
    <row r="2670" spans="2:4">
      <c r="B2670" s="6" t="s">
        <v>610</v>
      </c>
      <c r="C2670" s="6" t="s">
        <v>356</v>
      </c>
      <c r="D2670" s="5">
        <v>44933</v>
      </c>
    </row>
    <row r="2671" spans="2:4">
      <c r="B2671" s="6" t="s">
        <v>173</v>
      </c>
      <c r="C2671" s="6" t="s">
        <v>142</v>
      </c>
      <c r="D2671" s="5">
        <v>44933</v>
      </c>
    </row>
    <row r="2672" spans="2:4">
      <c r="B2672" s="6" t="s">
        <v>83</v>
      </c>
      <c r="C2672" s="6" t="s">
        <v>84</v>
      </c>
      <c r="D2672" s="5">
        <v>44933</v>
      </c>
    </row>
    <row r="2673" spans="2:4">
      <c r="B2673" s="6" t="s">
        <v>36</v>
      </c>
      <c r="C2673" s="6" t="s">
        <v>42</v>
      </c>
      <c r="D2673" s="5">
        <v>44933</v>
      </c>
    </row>
    <row r="2674" spans="2:4">
      <c r="B2674" s="6" t="s">
        <v>109</v>
      </c>
      <c r="C2674" s="6" t="s">
        <v>105</v>
      </c>
      <c r="D2674" s="5">
        <v>44933</v>
      </c>
    </row>
    <row r="2675" spans="2:4">
      <c r="B2675" s="6" t="s">
        <v>615</v>
      </c>
      <c r="C2675" s="6" t="s">
        <v>370</v>
      </c>
      <c r="D2675" s="5">
        <v>44933</v>
      </c>
    </row>
    <row r="2676" spans="2:4">
      <c r="B2676" s="6" t="s">
        <v>375</v>
      </c>
      <c r="C2676" s="6" t="s">
        <v>159</v>
      </c>
      <c r="D2676" s="5">
        <v>44933</v>
      </c>
    </row>
    <row r="2677" spans="2:4">
      <c r="B2677" s="6" t="s">
        <v>398</v>
      </c>
      <c r="C2677" s="6" t="s">
        <v>161</v>
      </c>
      <c r="D2677" s="5">
        <v>44933</v>
      </c>
    </row>
    <row r="2678" spans="2:4">
      <c r="B2678" s="6" t="s">
        <v>621</v>
      </c>
      <c r="C2678" s="6" t="s">
        <v>428</v>
      </c>
      <c r="D2678" s="5">
        <v>44933</v>
      </c>
    </row>
    <row r="2679" spans="2:4">
      <c r="B2679" s="6" t="s">
        <v>206</v>
      </c>
      <c r="C2679" s="6" t="s">
        <v>153</v>
      </c>
      <c r="D2679" s="5">
        <v>44933</v>
      </c>
    </row>
    <row r="2680" spans="2:4">
      <c r="B2680" s="6" t="s">
        <v>72</v>
      </c>
      <c r="C2680" s="6" t="s">
        <v>779</v>
      </c>
      <c r="D2680" s="5">
        <v>44933</v>
      </c>
    </row>
    <row r="2681" spans="2:4">
      <c r="B2681" s="6" t="s">
        <v>189</v>
      </c>
      <c r="C2681" s="6" t="s">
        <v>163</v>
      </c>
      <c r="D2681" s="5">
        <v>44933</v>
      </c>
    </row>
    <row r="2682" spans="2:4">
      <c r="B2682" s="6" t="s">
        <v>160</v>
      </c>
      <c r="C2682" s="6" t="s">
        <v>132</v>
      </c>
      <c r="D2682" s="5">
        <v>44933</v>
      </c>
    </row>
    <row r="2683" spans="2:4">
      <c r="B2683" s="6" t="s">
        <v>433</v>
      </c>
      <c r="C2683" s="6" t="s">
        <v>169</v>
      </c>
      <c r="D2683" s="5">
        <v>44933</v>
      </c>
    </row>
    <row r="2684" spans="2:4">
      <c r="B2684" s="6" t="s">
        <v>166</v>
      </c>
      <c r="C2684" s="6" t="s">
        <v>157</v>
      </c>
      <c r="D2684" s="5">
        <v>44933</v>
      </c>
    </row>
    <row r="2685" spans="2:4">
      <c r="B2685" s="6" t="s">
        <v>207</v>
      </c>
      <c r="C2685" s="6" t="s">
        <v>423</v>
      </c>
      <c r="D2685" s="5">
        <v>44933</v>
      </c>
    </row>
    <row r="2686" spans="2:4">
      <c r="B2686" s="6" t="s">
        <v>62</v>
      </c>
      <c r="C2686" s="6" t="s">
        <v>68</v>
      </c>
      <c r="D2686" s="5">
        <v>44934</v>
      </c>
    </row>
    <row r="2687" spans="2:4">
      <c r="B2687" s="6" t="s">
        <v>131</v>
      </c>
      <c r="C2687" s="6" t="s">
        <v>580</v>
      </c>
      <c r="D2687" s="5">
        <v>44934</v>
      </c>
    </row>
    <row r="2688" spans="2:4">
      <c r="B2688" s="6" t="s">
        <v>253</v>
      </c>
      <c r="C2688" s="6" t="s">
        <v>205</v>
      </c>
      <c r="D2688" s="5">
        <v>44934</v>
      </c>
    </row>
    <row r="2689" spans="2:4">
      <c r="B2689" s="6" t="s">
        <v>64</v>
      </c>
      <c r="C2689" s="6" t="s">
        <v>61</v>
      </c>
      <c r="D2689" s="5">
        <v>44934</v>
      </c>
    </row>
    <row r="2690" spans="2:4">
      <c r="B2690" s="6" t="s">
        <v>137</v>
      </c>
      <c r="C2690" s="6" t="s">
        <v>113</v>
      </c>
      <c r="D2690" s="5">
        <v>44934</v>
      </c>
    </row>
    <row r="2691" spans="2:4">
      <c r="B2691" s="6" t="s">
        <v>231</v>
      </c>
      <c r="C2691" s="6" t="s">
        <v>352</v>
      </c>
      <c r="D2691" s="5">
        <v>44934</v>
      </c>
    </row>
    <row r="2692" spans="2:4">
      <c r="B2692" s="6" t="s">
        <v>106</v>
      </c>
      <c r="C2692" s="6" t="s">
        <v>301</v>
      </c>
      <c r="D2692" s="5">
        <v>44934</v>
      </c>
    </row>
    <row r="2693" spans="2:4">
      <c r="B2693" s="6" t="s">
        <v>56</v>
      </c>
      <c r="C2693" s="6" t="s">
        <v>777</v>
      </c>
      <c r="D2693" s="5">
        <v>44934</v>
      </c>
    </row>
    <row r="2694" spans="2:4">
      <c r="B2694" s="6" t="s">
        <v>266</v>
      </c>
      <c r="C2694" s="6" t="s">
        <v>101</v>
      </c>
      <c r="D2694" s="5">
        <v>44934</v>
      </c>
    </row>
    <row r="2695" spans="2:4">
      <c r="B2695" s="6" t="s">
        <v>255</v>
      </c>
      <c r="C2695" s="6" t="s">
        <v>201</v>
      </c>
      <c r="D2695" s="5">
        <v>44934</v>
      </c>
    </row>
    <row r="2696" spans="2:4">
      <c r="B2696" s="6" t="s">
        <v>411</v>
      </c>
      <c r="C2696" s="6" t="s">
        <v>341</v>
      </c>
      <c r="D2696" s="5">
        <v>44934</v>
      </c>
    </row>
    <row r="2697" spans="2:4">
      <c r="B2697" s="6" t="s">
        <v>360</v>
      </c>
      <c r="C2697" s="6" t="s">
        <v>278</v>
      </c>
      <c r="D2697" s="5">
        <v>44934</v>
      </c>
    </row>
    <row r="2698" spans="2:4">
      <c r="B2698" s="6" t="s">
        <v>174</v>
      </c>
      <c r="C2698" s="6" t="s">
        <v>177</v>
      </c>
      <c r="D2698" s="5">
        <v>44934</v>
      </c>
    </row>
    <row r="2699" spans="2:4">
      <c r="B2699" s="6" t="s">
        <v>220</v>
      </c>
      <c r="C2699" s="6" t="s">
        <v>114</v>
      </c>
      <c r="D2699" s="5">
        <v>44934</v>
      </c>
    </row>
    <row r="2700" spans="2:4">
      <c r="B2700" s="6" t="s">
        <v>130</v>
      </c>
      <c r="C2700" s="6" t="s">
        <v>117</v>
      </c>
      <c r="D2700" s="5">
        <v>44934</v>
      </c>
    </row>
    <row r="2701" spans="2:4">
      <c r="B2701" s="6" t="s">
        <v>244</v>
      </c>
      <c r="C2701" s="6" t="s">
        <v>211</v>
      </c>
      <c r="D2701" s="5">
        <v>44934</v>
      </c>
    </row>
    <row r="2702" spans="2:4">
      <c r="B2702" s="6" t="s">
        <v>216</v>
      </c>
      <c r="C2702" s="6" t="s">
        <v>285</v>
      </c>
      <c r="D2702" s="5">
        <v>44934</v>
      </c>
    </row>
    <row r="2703" spans="2:4">
      <c r="B2703" s="6" t="s">
        <v>361</v>
      </c>
      <c r="C2703" s="6" t="s">
        <v>233</v>
      </c>
      <c r="D2703" s="5">
        <v>44934</v>
      </c>
    </row>
    <row r="2704" spans="2:4">
      <c r="B2704" s="6" t="s">
        <v>230</v>
      </c>
      <c r="C2704" s="6" t="s">
        <v>204</v>
      </c>
      <c r="D2704" s="5">
        <v>44934</v>
      </c>
    </row>
    <row r="2705" spans="2:4">
      <c r="B2705" s="6" t="s">
        <v>256</v>
      </c>
      <c r="C2705" s="6" t="s">
        <v>422</v>
      </c>
      <c r="D2705" s="5">
        <v>44934</v>
      </c>
    </row>
    <row r="2706" spans="2:4">
      <c r="B2706" s="6" t="s">
        <v>187</v>
      </c>
      <c r="C2706" s="6" t="s">
        <v>212</v>
      </c>
      <c r="D2706" s="5">
        <v>44934</v>
      </c>
    </row>
    <row r="2707" spans="2:4">
      <c r="B2707" s="6" t="s">
        <v>215</v>
      </c>
      <c r="C2707" s="6" t="s">
        <v>269</v>
      </c>
      <c r="D2707" s="5">
        <v>44934</v>
      </c>
    </row>
    <row r="2708" spans="2:4">
      <c r="B2708" s="6" t="s">
        <v>719</v>
      </c>
      <c r="C2708" s="6" t="s">
        <v>71</v>
      </c>
      <c r="D2708" s="5">
        <v>44934</v>
      </c>
    </row>
    <row r="2709" spans="2:4">
      <c r="B2709" s="6" t="s">
        <v>781</v>
      </c>
      <c r="C2709" s="6" t="s">
        <v>58</v>
      </c>
      <c r="D2709" s="5">
        <v>44934</v>
      </c>
    </row>
    <row r="2710" spans="2:4">
      <c r="B2710" s="6" t="s">
        <v>156</v>
      </c>
      <c r="C2710" s="6" t="s">
        <v>314</v>
      </c>
      <c r="D2710" s="5">
        <v>44935</v>
      </c>
    </row>
    <row r="2711" spans="2:4">
      <c r="B2711" s="6" t="s">
        <v>332</v>
      </c>
      <c r="C2711" s="6" t="s">
        <v>399</v>
      </c>
      <c r="D2711" s="5">
        <v>44935</v>
      </c>
    </row>
    <row r="2712" spans="2:4">
      <c r="B2712" s="6" t="s">
        <v>148</v>
      </c>
      <c r="C2712" s="6" t="s">
        <v>176</v>
      </c>
      <c r="D2712" s="5">
        <v>44935</v>
      </c>
    </row>
    <row r="2713" spans="2:4">
      <c r="B2713" s="6" t="s">
        <v>412</v>
      </c>
      <c r="C2713" s="6" t="s">
        <v>172</v>
      </c>
      <c r="D2713" s="5">
        <v>44935</v>
      </c>
    </row>
    <row r="2714" spans="2:4">
      <c r="B2714" s="6" t="s">
        <v>238</v>
      </c>
      <c r="C2714" s="6" t="s">
        <v>276</v>
      </c>
      <c r="D2714" s="5">
        <v>44935</v>
      </c>
    </row>
    <row r="2715" spans="2:4">
      <c r="B2715" s="6" t="s">
        <v>335</v>
      </c>
      <c r="C2715" s="6" t="s">
        <v>96</v>
      </c>
      <c r="D2715" s="5">
        <v>44935</v>
      </c>
    </row>
    <row r="2716" spans="2:4">
      <c r="B2716" s="6" t="s">
        <v>116</v>
      </c>
      <c r="C2716" s="6" t="s">
        <v>277</v>
      </c>
      <c r="D2716" s="5">
        <v>44935</v>
      </c>
    </row>
    <row r="2717" spans="2:4">
      <c r="B2717" s="6" t="s">
        <v>264</v>
      </c>
      <c r="C2717" s="6" t="s">
        <v>310</v>
      </c>
      <c r="D2717" s="5">
        <v>44935</v>
      </c>
    </row>
    <row r="2718" spans="2:4">
      <c r="B2718" s="6" t="s">
        <v>347</v>
      </c>
      <c r="C2718" s="6" t="s">
        <v>515</v>
      </c>
      <c r="D2718" s="5">
        <v>44935</v>
      </c>
    </row>
    <row r="2719" spans="2:4">
      <c r="B2719" s="6" t="s">
        <v>382</v>
      </c>
      <c r="C2719" s="6" t="s">
        <v>170</v>
      </c>
      <c r="D2719" s="5">
        <v>44935</v>
      </c>
    </row>
    <row r="2720" spans="2:4">
      <c r="B2720" s="6" t="s">
        <v>364</v>
      </c>
      <c r="C2720" s="6" t="s">
        <v>308</v>
      </c>
      <c r="D2720" s="5">
        <v>44935</v>
      </c>
    </row>
    <row r="2721" spans="2:4">
      <c r="B2721" s="6" t="s">
        <v>303</v>
      </c>
      <c r="C2721" s="6" t="s">
        <v>249</v>
      </c>
      <c r="D2721" s="5">
        <v>44935</v>
      </c>
    </row>
    <row r="2722" spans="2:4">
      <c r="B2722" s="6" t="s">
        <v>181</v>
      </c>
      <c r="C2722" s="6" t="s">
        <v>232</v>
      </c>
      <c r="D2722" s="5">
        <v>44935</v>
      </c>
    </row>
    <row r="2723" spans="2:4">
      <c r="B2723" s="6" t="s">
        <v>433</v>
      </c>
      <c r="C2723" s="6" t="s">
        <v>394</v>
      </c>
      <c r="D2723" s="5">
        <v>44936</v>
      </c>
    </row>
    <row r="2724" spans="2:4">
      <c r="B2724" s="6" t="s">
        <v>302</v>
      </c>
      <c r="C2724" s="6" t="s">
        <v>42</v>
      </c>
      <c r="D2724" s="5">
        <v>44936</v>
      </c>
    </row>
    <row r="2725" spans="2:4">
      <c r="B2725" s="6" t="s">
        <v>80</v>
      </c>
      <c r="C2725" s="6" t="s">
        <v>90</v>
      </c>
      <c r="D2725" s="5">
        <v>44936</v>
      </c>
    </row>
    <row r="2726" spans="2:4">
      <c r="B2726" s="6" t="s">
        <v>349</v>
      </c>
      <c r="C2726" s="6" t="s">
        <v>214</v>
      </c>
      <c r="D2726" s="5">
        <v>44936</v>
      </c>
    </row>
    <row r="2727" spans="2:4">
      <c r="B2727" s="6" t="s">
        <v>587</v>
      </c>
      <c r="C2727" s="6" t="s">
        <v>122</v>
      </c>
      <c r="D2727" s="5">
        <v>44936</v>
      </c>
    </row>
    <row r="2728" spans="2:4">
      <c r="B2728" s="6" t="s">
        <v>750</v>
      </c>
      <c r="C2728" s="6" t="s">
        <v>778</v>
      </c>
      <c r="D2728" s="5">
        <v>44936</v>
      </c>
    </row>
    <row r="2729" spans="2:4">
      <c r="B2729" s="6" t="s">
        <v>139</v>
      </c>
      <c r="C2729" s="6" t="s">
        <v>186</v>
      </c>
      <c r="D2729" s="5">
        <v>44936</v>
      </c>
    </row>
    <row r="2730" spans="2:4">
      <c r="B2730" s="6" t="s">
        <v>46</v>
      </c>
      <c r="C2730" s="6" t="s">
        <v>50</v>
      </c>
      <c r="D2730" s="5">
        <v>44936</v>
      </c>
    </row>
    <row r="2731" spans="2:4">
      <c r="B2731" s="6" t="s">
        <v>65</v>
      </c>
      <c r="C2731" s="6" t="s">
        <v>761</v>
      </c>
      <c r="D2731" s="5">
        <v>44936</v>
      </c>
    </row>
    <row r="2732" spans="2:4">
      <c r="B2732" s="6" t="s">
        <v>81</v>
      </c>
      <c r="C2732" s="6" t="s">
        <v>79</v>
      </c>
      <c r="D2732" s="5">
        <v>44936</v>
      </c>
    </row>
    <row r="2733" spans="2:4">
      <c r="B2733" s="6" t="s">
        <v>350</v>
      </c>
      <c r="C2733" s="6" t="s">
        <v>121</v>
      </c>
      <c r="D2733" s="5">
        <v>44936</v>
      </c>
    </row>
    <row r="2734" spans="2:4">
      <c r="B2734" s="6" t="s">
        <v>180</v>
      </c>
      <c r="C2734" s="6" t="s">
        <v>140</v>
      </c>
      <c r="D2734" s="5">
        <v>44936</v>
      </c>
    </row>
    <row r="2735" spans="2:4">
      <c r="B2735" s="6" t="s">
        <v>288</v>
      </c>
      <c r="C2735" s="6" t="s">
        <v>105</v>
      </c>
      <c r="D2735" s="5">
        <v>44936</v>
      </c>
    </row>
    <row r="2736" spans="2:4">
      <c r="B2736" s="6" t="s">
        <v>209</v>
      </c>
      <c r="C2736" s="6" t="s">
        <v>203</v>
      </c>
      <c r="D2736" s="5">
        <v>44936</v>
      </c>
    </row>
    <row r="2737" spans="2:4">
      <c r="B2737" s="6" t="s">
        <v>414</v>
      </c>
      <c r="C2737" s="6" t="s">
        <v>247</v>
      </c>
      <c r="D2737" s="5">
        <v>44936</v>
      </c>
    </row>
    <row r="2738" spans="2:4">
      <c r="B2738" s="6" t="s">
        <v>127</v>
      </c>
      <c r="C2738" s="6" t="s">
        <v>109</v>
      </c>
      <c r="D2738" s="5">
        <v>44936</v>
      </c>
    </row>
    <row r="2739" spans="2:4">
      <c r="B2739" s="6" t="s">
        <v>747</v>
      </c>
      <c r="C2739" s="6" t="s">
        <v>27</v>
      </c>
      <c r="D2739" s="5">
        <v>44936</v>
      </c>
    </row>
    <row r="2740" spans="2:4">
      <c r="B2740" s="6" t="s">
        <v>95</v>
      </c>
      <c r="C2740" s="6" t="s">
        <v>145</v>
      </c>
      <c r="D2740" s="5">
        <v>44936</v>
      </c>
    </row>
    <row r="2741" spans="2:4">
      <c r="B2741" s="6" t="s">
        <v>280</v>
      </c>
      <c r="C2741" s="6" t="s">
        <v>363</v>
      </c>
      <c r="D2741" s="5">
        <v>44936</v>
      </c>
    </row>
    <row r="2742" spans="2:4">
      <c r="B2742" s="6" t="s">
        <v>318</v>
      </c>
      <c r="C2742" s="6" t="s">
        <v>312</v>
      </c>
      <c r="D2742" s="5">
        <v>44936</v>
      </c>
    </row>
    <row r="2743" spans="2:4">
      <c r="B2743" s="6" t="s">
        <v>400</v>
      </c>
      <c r="C2743" s="6" t="s">
        <v>362</v>
      </c>
      <c r="D2743" s="5">
        <v>44936</v>
      </c>
    </row>
    <row r="2744" spans="2:4">
      <c r="B2744" s="6" t="s">
        <v>41</v>
      </c>
      <c r="C2744" s="6" t="s">
        <v>36</v>
      </c>
      <c r="D2744" s="5">
        <v>44936</v>
      </c>
    </row>
    <row r="2745" spans="2:4">
      <c r="B2745" s="6" t="s">
        <v>188</v>
      </c>
      <c r="C2745" s="6" t="s">
        <v>251</v>
      </c>
      <c r="D2745" s="5">
        <v>44936</v>
      </c>
    </row>
    <row r="2746" spans="2:4">
      <c r="B2746" s="6" t="s">
        <v>26</v>
      </c>
      <c r="C2746" s="6" t="s">
        <v>29</v>
      </c>
      <c r="D2746" s="5">
        <v>44936</v>
      </c>
    </row>
    <row r="2747" spans="2:4">
      <c r="B2747" s="6" t="s">
        <v>86</v>
      </c>
      <c r="C2747" s="6" t="s">
        <v>185</v>
      </c>
      <c r="D2747" s="5">
        <v>44936</v>
      </c>
    </row>
    <row r="2748" spans="2:4">
      <c r="B2748" s="6" t="s">
        <v>762</v>
      </c>
      <c r="C2748" s="6" t="s">
        <v>83</v>
      </c>
      <c r="D2748" s="5">
        <v>44936</v>
      </c>
    </row>
    <row r="2749" spans="2:4">
      <c r="B2749" s="6" t="s">
        <v>155</v>
      </c>
      <c r="C2749" s="6" t="s">
        <v>35</v>
      </c>
      <c r="D2749" s="5">
        <v>44936</v>
      </c>
    </row>
    <row r="2750" spans="2:4">
      <c r="B2750" s="6" t="s">
        <v>67</v>
      </c>
      <c r="C2750" s="6" t="s">
        <v>60</v>
      </c>
      <c r="D2750" s="5">
        <v>44936</v>
      </c>
    </row>
    <row r="2751" spans="2:4">
      <c r="B2751" s="6" t="s">
        <v>386</v>
      </c>
      <c r="C2751" s="6" t="s">
        <v>198</v>
      </c>
      <c r="D2751" s="5">
        <v>44936</v>
      </c>
    </row>
    <row r="2752" spans="2:4">
      <c r="B2752" s="6" t="s">
        <v>168</v>
      </c>
      <c r="C2752" s="6" t="s">
        <v>152</v>
      </c>
      <c r="D2752" s="5">
        <v>44936</v>
      </c>
    </row>
    <row r="2753" spans="2:4">
      <c r="B2753" s="6" t="s">
        <v>392</v>
      </c>
      <c r="C2753" s="6" t="s">
        <v>169</v>
      </c>
      <c r="D2753" s="5">
        <v>44936</v>
      </c>
    </row>
    <row r="2754" spans="2:4">
      <c r="B2754" s="6" t="s">
        <v>167</v>
      </c>
      <c r="C2754" s="6" t="s">
        <v>621</v>
      </c>
      <c r="D2754" s="5">
        <v>44937</v>
      </c>
    </row>
    <row r="2755" spans="2:4">
      <c r="B2755" s="6" t="s">
        <v>148</v>
      </c>
      <c r="C2755" s="6" t="s">
        <v>360</v>
      </c>
      <c r="D2755" s="5">
        <v>44937</v>
      </c>
    </row>
    <row r="2756" spans="2:4">
      <c r="B2756" s="6" t="s">
        <v>269</v>
      </c>
      <c r="C2756" s="6" t="s">
        <v>205</v>
      </c>
      <c r="D2756" s="5">
        <v>44937</v>
      </c>
    </row>
    <row r="2757" spans="2:4">
      <c r="B2757" s="6" t="s">
        <v>89</v>
      </c>
      <c r="C2757" s="6" t="s">
        <v>763</v>
      </c>
      <c r="D2757" s="5">
        <v>44937</v>
      </c>
    </row>
    <row r="2758" spans="2:4">
      <c r="B2758" s="6" t="s">
        <v>297</v>
      </c>
      <c r="C2758" s="6" t="s">
        <v>395</v>
      </c>
      <c r="D2758" s="5">
        <v>44937</v>
      </c>
    </row>
    <row r="2759" spans="2:4">
      <c r="B2759" s="6" t="s">
        <v>32</v>
      </c>
      <c r="C2759" s="6" t="s">
        <v>28</v>
      </c>
      <c r="D2759" s="5">
        <v>44937</v>
      </c>
    </row>
    <row r="2760" spans="2:4">
      <c r="B2760" s="6" t="s">
        <v>44</v>
      </c>
      <c r="C2760" s="6" t="s">
        <v>49</v>
      </c>
      <c r="D2760" s="5">
        <v>44937</v>
      </c>
    </row>
    <row r="2761" spans="2:4">
      <c r="B2761" s="6" t="s">
        <v>39</v>
      </c>
      <c r="C2761" s="6" t="s">
        <v>38</v>
      </c>
      <c r="D2761" s="5">
        <v>44937</v>
      </c>
    </row>
    <row r="2762" spans="2:4">
      <c r="B2762" s="6" t="s">
        <v>84</v>
      </c>
      <c r="C2762" s="6" t="s">
        <v>82</v>
      </c>
      <c r="D2762" s="5">
        <v>44937</v>
      </c>
    </row>
    <row r="2763" spans="2:4">
      <c r="B2763" s="6" t="s">
        <v>781</v>
      </c>
      <c r="C2763" s="6" t="s">
        <v>62</v>
      </c>
      <c r="D2763" s="5">
        <v>44937</v>
      </c>
    </row>
    <row r="2764" spans="2:4">
      <c r="B2764" s="6" t="s">
        <v>411</v>
      </c>
      <c r="C2764" s="6" t="s">
        <v>144</v>
      </c>
      <c r="D2764" s="5">
        <v>44937</v>
      </c>
    </row>
    <row r="2765" spans="2:4">
      <c r="B2765" s="6" t="s">
        <v>176</v>
      </c>
      <c r="C2765" s="6" t="s">
        <v>278</v>
      </c>
      <c r="D2765" s="5">
        <v>44937</v>
      </c>
    </row>
    <row r="2766" spans="2:4">
      <c r="B2766" s="6" t="s">
        <v>114</v>
      </c>
      <c r="C2766" s="6" t="s">
        <v>131</v>
      </c>
      <c r="D2766" s="5">
        <v>44937</v>
      </c>
    </row>
    <row r="2767" spans="2:4">
      <c r="B2767" s="6" t="s">
        <v>113</v>
      </c>
      <c r="C2767" s="6" t="s">
        <v>580</v>
      </c>
      <c r="D2767" s="5">
        <v>44937</v>
      </c>
    </row>
    <row r="2768" spans="2:4">
      <c r="B2768" s="6" t="s">
        <v>325</v>
      </c>
      <c r="C2768" s="6" t="s">
        <v>241</v>
      </c>
      <c r="D2768" s="5">
        <v>44937</v>
      </c>
    </row>
    <row r="2769" spans="2:4">
      <c r="B2769" s="6" t="s">
        <v>47</v>
      </c>
      <c r="C2769" s="6" t="s">
        <v>52</v>
      </c>
      <c r="D2769" s="5">
        <v>44937</v>
      </c>
    </row>
    <row r="2770" spans="2:4">
      <c r="B2770" s="6" t="s">
        <v>48</v>
      </c>
      <c r="C2770" s="6" t="s">
        <v>54</v>
      </c>
      <c r="D2770" s="5">
        <v>44937</v>
      </c>
    </row>
    <row r="2771" spans="2:4">
      <c r="B2771" s="6" t="s">
        <v>174</v>
      </c>
      <c r="C2771" s="6" t="s">
        <v>253</v>
      </c>
      <c r="D2771" s="5">
        <v>44937</v>
      </c>
    </row>
    <row r="2772" spans="2:4">
      <c r="B2772" s="6" t="s">
        <v>177</v>
      </c>
      <c r="C2772" s="6" t="s">
        <v>126</v>
      </c>
      <c r="D2772" s="5">
        <v>44937</v>
      </c>
    </row>
    <row r="2773" spans="2:4">
      <c r="B2773" s="6" t="s">
        <v>106</v>
      </c>
      <c r="C2773" s="6" t="s">
        <v>215</v>
      </c>
      <c r="D2773" s="5">
        <v>44937</v>
      </c>
    </row>
    <row r="2774" spans="2:4">
      <c r="B2774" s="6" t="s">
        <v>220</v>
      </c>
      <c r="C2774" s="6" t="s">
        <v>137</v>
      </c>
      <c r="D2774" s="5">
        <v>44937</v>
      </c>
    </row>
    <row r="2775" spans="2:4">
      <c r="B2775" s="6" t="s">
        <v>37</v>
      </c>
      <c r="C2775" s="6" t="s">
        <v>732</v>
      </c>
      <c r="D2775" s="5">
        <v>44937</v>
      </c>
    </row>
    <row r="2776" spans="2:4">
      <c r="B2776" s="6" t="s">
        <v>124</v>
      </c>
      <c r="C2776" s="6" t="s">
        <v>252</v>
      </c>
      <c r="D2776" s="5">
        <v>44937</v>
      </c>
    </row>
    <row r="2777" spans="2:4">
      <c r="B2777" s="6" t="s">
        <v>199</v>
      </c>
      <c r="C2777" s="6" t="s">
        <v>200</v>
      </c>
      <c r="D2777" s="5">
        <v>44937</v>
      </c>
    </row>
    <row r="2778" spans="2:4">
      <c r="B2778" s="6" t="s">
        <v>300</v>
      </c>
      <c r="C2778" s="6" t="s">
        <v>210</v>
      </c>
      <c r="D2778" s="5">
        <v>44937</v>
      </c>
    </row>
    <row r="2779" spans="2:4">
      <c r="B2779" s="6" t="s">
        <v>334</v>
      </c>
      <c r="C2779" s="6" t="s">
        <v>284</v>
      </c>
      <c r="D2779" s="5">
        <v>44937</v>
      </c>
    </row>
    <row r="2780" spans="2:4">
      <c r="B2780" s="6" t="s">
        <v>191</v>
      </c>
      <c r="C2780" s="6" t="s">
        <v>202</v>
      </c>
      <c r="D2780" s="5">
        <v>44937</v>
      </c>
    </row>
    <row r="2781" spans="2:4">
      <c r="B2781" s="6" t="s">
        <v>192</v>
      </c>
      <c r="C2781" s="6" t="s">
        <v>425</v>
      </c>
      <c r="D2781" s="5">
        <v>44937</v>
      </c>
    </row>
    <row r="2782" spans="2:4">
      <c r="B2782" s="6" t="s">
        <v>270</v>
      </c>
      <c r="C2782" s="6" t="s">
        <v>110</v>
      </c>
      <c r="D2782" s="5">
        <v>44937</v>
      </c>
    </row>
    <row r="2783" spans="2:4">
      <c r="B2783" s="6" t="s">
        <v>273</v>
      </c>
      <c r="C2783" s="6" t="s">
        <v>298</v>
      </c>
      <c r="D2783" s="5">
        <v>44937</v>
      </c>
    </row>
    <row r="2784" spans="2:4">
      <c r="B2784" s="6" t="s">
        <v>261</v>
      </c>
      <c r="C2784" s="6" t="s">
        <v>267</v>
      </c>
      <c r="D2784" s="5">
        <v>44937</v>
      </c>
    </row>
    <row r="2785" spans="2:4">
      <c r="B2785" s="6" t="s">
        <v>171</v>
      </c>
      <c r="C2785" s="6" t="s">
        <v>111</v>
      </c>
      <c r="D2785" s="5">
        <v>44937</v>
      </c>
    </row>
    <row r="2786" spans="2:4">
      <c r="B2786" s="6" t="s">
        <v>104</v>
      </c>
      <c r="C2786" s="6" t="s">
        <v>287</v>
      </c>
      <c r="D2786" s="5">
        <v>44937</v>
      </c>
    </row>
    <row r="2787" spans="2:4">
      <c r="B2787" s="6" t="s">
        <v>282</v>
      </c>
      <c r="C2787" s="6" t="s">
        <v>436</v>
      </c>
      <c r="D2787" s="5">
        <v>44937</v>
      </c>
    </row>
    <row r="2788" spans="2:4">
      <c r="B2788" s="6" t="s">
        <v>327</v>
      </c>
      <c r="C2788" s="6" t="s">
        <v>432</v>
      </c>
      <c r="D2788" s="5">
        <v>44937</v>
      </c>
    </row>
    <row r="2789" spans="2:4">
      <c r="B2789" s="6" t="s">
        <v>129</v>
      </c>
      <c r="C2789" s="6" t="s">
        <v>268</v>
      </c>
      <c r="D2789" s="5">
        <v>44937</v>
      </c>
    </row>
    <row r="2790" spans="2:4">
      <c r="B2790" s="6" t="s">
        <v>413</v>
      </c>
      <c r="C2790" s="6" t="s">
        <v>179</v>
      </c>
      <c r="D2790" s="5">
        <v>44937</v>
      </c>
    </row>
    <row r="2791" spans="2:4">
      <c r="B2791" s="6" t="s">
        <v>118</v>
      </c>
      <c r="C2791" s="6" t="s">
        <v>123</v>
      </c>
      <c r="D2791" s="5">
        <v>44937</v>
      </c>
    </row>
    <row r="2792" spans="2:4">
      <c r="B2792" s="6" t="s">
        <v>178</v>
      </c>
      <c r="C2792" s="6" t="s">
        <v>115</v>
      </c>
      <c r="D2792" s="5">
        <v>44937</v>
      </c>
    </row>
    <row r="2793" spans="2:4">
      <c r="B2793" s="6" t="s">
        <v>274</v>
      </c>
      <c r="C2793" s="6" t="s">
        <v>421</v>
      </c>
      <c r="D2793" s="5">
        <v>44937</v>
      </c>
    </row>
    <row r="2794" spans="2:4">
      <c r="B2794" s="6" t="s">
        <v>344</v>
      </c>
      <c r="C2794" s="6" t="s">
        <v>345</v>
      </c>
      <c r="D2794" s="5">
        <v>44937</v>
      </c>
    </row>
    <row r="2795" spans="2:4">
      <c r="B2795" s="6" t="s">
        <v>212</v>
      </c>
      <c r="C2795" s="6" t="s">
        <v>231</v>
      </c>
      <c r="D2795" s="5">
        <v>44937</v>
      </c>
    </row>
    <row r="2796" spans="2:4">
      <c r="B2796" s="6" t="s">
        <v>388</v>
      </c>
      <c r="C2796" s="6" t="s">
        <v>347</v>
      </c>
      <c r="D2796" s="5">
        <v>44937</v>
      </c>
    </row>
    <row r="2797" spans="2:4">
      <c r="B2797" s="6" t="s">
        <v>341</v>
      </c>
      <c r="C2797" s="6" t="s">
        <v>221</v>
      </c>
      <c r="D2797" s="5">
        <v>44937</v>
      </c>
    </row>
    <row r="2798" spans="2:4">
      <c r="B2798" s="6" t="s">
        <v>135</v>
      </c>
      <c r="C2798" s="6" t="s">
        <v>373</v>
      </c>
      <c r="D2798" s="5">
        <v>44937</v>
      </c>
    </row>
    <row r="2799" spans="2:4">
      <c r="B2799" s="6" t="s">
        <v>326</v>
      </c>
      <c r="C2799" s="6" t="s">
        <v>320</v>
      </c>
      <c r="D2799" s="5">
        <v>44937</v>
      </c>
    </row>
    <row r="2800" spans="2:4">
      <c r="B2800" s="6" t="s">
        <v>119</v>
      </c>
      <c r="C2800" s="6" t="s">
        <v>213</v>
      </c>
      <c r="D2800" s="5">
        <v>44937</v>
      </c>
    </row>
    <row r="2801" spans="2:4">
      <c r="B2801" s="6" t="s">
        <v>143</v>
      </c>
      <c r="C2801" s="6" t="s">
        <v>242</v>
      </c>
      <c r="D2801" s="5">
        <v>44937</v>
      </c>
    </row>
    <row r="2802" spans="2:4">
      <c r="B2802" s="6" t="s">
        <v>133</v>
      </c>
      <c r="C2802" s="6" t="s">
        <v>281</v>
      </c>
      <c r="D2802" s="5">
        <v>44937</v>
      </c>
    </row>
    <row r="2803" spans="2:4">
      <c r="B2803" s="6" t="s">
        <v>102</v>
      </c>
      <c r="C2803" s="6" t="s">
        <v>103</v>
      </c>
      <c r="D2803" s="5">
        <v>44937</v>
      </c>
    </row>
    <row r="2804" spans="2:4">
      <c r="B2804" s="6" t="s">
        <v>91</v>
      </c>
      <c r="C2804" s="6" t="s">
        <v>87</v>
      </c>
      <c r="D2804" s="5">
        <v>44937</v>
      </c>
    </row>
    <row r="2805" spans="2:4">
      <c r="B2805" s="6" t="s">
        <v>30</v>
      </c>
      <c r="C2805" s="6" t="s">
        <v>34</v>
      </c>
      <c r="D2805" s="5">
        <v>44937</v>
      </c>
    </row>
    <row r="2806" spans="2:4">
      <c r="B2806" s="6" t="s">
        <v>187</v>
      </c>
      <c r="C2806" s="6" t="s">
        <v>275</v>
      </c>
      <c r="D2806" s="5">
        <v>44937</v>
      </c>
    </row>
    <row r="2807" spans="2:4">
      <c r="B2807" s="6" t="s">
        <v>51</v>
      </c>
      <c r="C2807" s="6" t="s">
        <v>43</v>
      </c>
      <c r="D2807" s="5">
        <v>44937</v>
      </c>
    </row>
    <row r="2808" spans="2:4">
      <c r="B2808" s="6" t="s">
        <v>53</v>
      </c>
      <c r="C2808" s="6" t="s">
        <v>737</v>
      </c>
      <c r="D2808" s="5">
        <v>44937</v>
      </c>
    </row>
    <row r="2809" spans="2:4">
      <c r="B2809" s="6" t="s">
        <v>376</v>
      </c>
      <c r="C2809" s="6" t="s">
        <v>368</v>
      </c>
      <c r="D2809" s="5">
        <v>44937</v>
      </c>
    </row>
    <row r="2810" spans="2:4">
      <c r="B2810" s="6" t="s">
        <v>195</v>
      </c>
      <c r="C2810" s="6" t="s">
        <v>313</v>
      </c>
      <c r="D2810" s="5">
        <v>44937</v>
      </c>
    </row>
    <row r="2811" spans="2:4">
      <c r="B2811" s="6" t="s">
        <v>68</v>
      </c>
      <c r="C2811" s="6" t="s">
        <v>64</v>
      </c>
      <c r="D2811" s="5">
        <v>44937</v>
      </c>
    </row>
    <row r="2812" spans="2:4">
      <c r="B2812" s="6" t="s">
        <v>159</v>
      </c>
      <c r="C2812" s="6" t="s">
        <v>383</v>
      </c>
      <c r="D2812" s="5">
        <v>44937</v>
      </c>
    </row>
    <row r="2813" spans="2:4">
      <c r="B2813" s="6" t="s">
        <v>420</v>
      </c>
      <c r="C2813" s="6" t="s">
        <v>207</v>
      </c>
      <c r="D2813" s="5">
        <v>44937</v>
      </c>
    </row>
    <row r="2814" spans="2:4">
      <c r="B2814" s="6" t="s">
        <v>599</v>
      </c>
      <c r="C2814" s="6" t="s">
        <v>141</v>
      </c>
      <c r="D2814" s="5">
        <v>44937</v>
      </c>
    </row>
    <row r="2815" spans="2:4">
      <c r="B2815" s="6" t="s">
        <v>236</v>
      </c>
      <c r="C2815" s="6" t="s">
        <v>154</v>
      </c>
      <c r="D2815" s="5">
        <v>44937</v>
      </c>
    </row>
    <row r="2816" spans="2:4">
      <c r="B2816" s="6" t="s">
        <v>586</v>
      </c>
      <c r="C2816" s="6" t="s">
        <v>423</v>
      </c>
      <c r="D2816" s="5">
        <v>44937</v>
      </c>
    </row>
    <row r="2817" spans="2:4">
      <c r="B2817" s="6" t="s">
        <v>804</v>
      </c>
      <c r="C2817" s="6" t="s">
        <v>164</v>
      </c>
      <c r="D2817" s="5">
        <v>44937</v>
      </c>
    </row>
    <row r="2818" spans="2:4">
      <c r="B2818" s="6" t="s">
        <v>163</v>
      </c>
      <c r="C2818" s="6" t="s">
        <v>162</v>
      </c>
      <c r="D2818" s="5">
        <v>44937</v>
      </c>
    </row>
    <row r="2819" spans="2:4">
      <c r="B2819" s="6" t="s">
        <v>136</v>
      </c>
      <c r="C2819" s="6" t="s">
        <v>294</v>
      </c>
      <c r="D2819" s="5">
        <v>44938</v>
      </c>
    </row>
    <row r="2820" spans="2:4">
      <c r="B2820" s="6" t="s">
        <v>306</v>
      </c>
      <c r="C2820" s="6" t="s">
        <v>409</v>
      </c>
      <c r="D2820" s="5">
        <v>44938</v>
      </c>
    </row>
    <row r="2821" spans="2:4">
      <c r="B2821" s="6" t="s">
        <v>353</v>
      </c>
      <c r="C2821" s="6" t="s">
        <v>354</v>
      </c>
      <c r="D2821" s="5">
        <v>44938</v>
      </c>
    </row>
    <row r="2822" spans="2:4">
      <c r="B2822" s="6" t="s">
        <v>777</v>
      </c>
      <c r="C2822" s="6" t="s">
        <v>63</v>
      </c>
      <c r="D2822" s="5">
        <v>44938</v>
      </c>
    </row>
    <row r="2823" spans="2:4">
      <c r="B2823" s="6" t="s">
        <v>286</v>
      </c>
      <c r="C2823" s="6" t="s">
        <v>289</v>
      </c>
      <c r="D2823" s="5">
        <v>44938</v>
      </c>
    </row>
    <row r="2824" spans="2:4">
      <c r="B2824" s="6" t="s">
        <v>248</v>
      </c>
      <c r="C2824" s="6" t="s">
        <v>142</v>
      </c>
      <c r="D2824" s="5">
        <v>44938</v>
      </c>
    </row>
    <row r="2825" spans="2:4">
      <c r="B2825" s="6" t="s">
        <v>61</v>
      </c>
      <c r="C2825" s="6" t="s">
        <v>59</v>
      </c>
      <c r="D2825" s="5">
        <v>44938</v>
      </c>
    </row>
    <row r="2826" spans="2:4">
      <c r="B2826" s="6" t="s">
        <v>193</v>
      </c>
      <c r="C2826" s="6" t="s">
        <v>316</v>
      </c>
      <c r="D2826" s="5">
        <v>44938</v>
      </c>
    </row>
    <row r="2827" spans="2:4">
      <c r="B2827" s="6" t="s">
        <v>259</v>
      </c>
      <c r="C2827" s="6" t="s">
        <v>194</v>
      </c>
      <c r="D2827" s="5">
        <v>44938</v>
      </c>
    </row>
    <row r="2828" spans="2:4">
      <c r="B2828" s="6" t="s">
        <v>422</v>
      </c>
      <c r="C2828" s="6" t="s">
        <v>418</v>
      </c>
      <c r="D2828" s="5">
        <v>44938</v>
      </c>
    </row>
    <row r="2829" spans="2:4">
      <c r="B2829" s="6" t="s">
        <v>101</v>
      </c>
      <c r="C2829" s="6" t="s">
        <v>412</v>
      </c>
      <c r="D2829" s="5">
        <v>44938</v>
      </c>
    </row>
    <row r="2830" spans="2:4">
      <c r="B2830" s="6" t="s">
        <v>172</v>
      </c>
      <c r="C2830" s="6" t="s">
        <v>296</v>
      </c>
      <c r="D2830" s="5">
        <v>44938</v>
      </c>
    </row>
    <row r="2831" spans="2:4">
      <c r="B2831" s="6" t="s">
        <v>99</v>
      </c>
      <c r="C2831" s="6" t="s">
        <v>146</v>
      </c>
      <c r="D2831" s="5">
        <v>44938</v>
      </c>
    </row>
    <row r="2832" spans="2:4">
      <c r="B2832" s="6" t="s">
        <v>201</v>
      </c>
      <c r="C2832" s="6" t="s">
        <v>173</v>
      </c>
      <c r="D2832" s="5">
        <v>44938</v>
      </c>
    </row>
    <row r="2833" spans="2:4">
      <c r="B2833" s="6" t="s">
        <v>610</v>
      </c>
      <c r="C2833" s="6" t="s">
        <v>355</v>
      </c>
      <c r="D2833" s="5">
        <v>44938</v>
      </c>
    </row>
    <row r="2834" spans="2:4">
      <c r="B2834" s="6" t="s">
        <v>356</v>
      </c>
      <c r="C2834" s="6" t="s">
        <v>120</v>
      </c>
      <c r="D2834" s="5">
        <v>44938</v>
      </c>
    </row>
    <row r="2835" spans="2:4">
      <c r="B2835" s="6" t="s">
        <v>255</v>
      </c>
      <c r="C2835" s="6" t="s">
        <v>292</v>
      </c>
      <c r="D2835" s="5">
        <v>44938</v>
      </c>
    </row>
    <row r="2836" spans="2:4">
      <c r="B2836" s="6" t="s">
        <v>333</v>
      </c>
      <c r="C2836" s="6" t="s">
        <v>365</v>
      </c>
      <c r="D2836" s="5">
        <v>44938</v>
      </c>
    </row>
    <row r="2837" spans="2:4">
      <c r="B2837" s="6" t="s">
        <v>94</v>
      </c>
      <c r="C2837" s="6" t="s">
        <v>319</v>
      </c>
      <c r="D2837" s="5">
        <v>44938</v>
      </c>
    </row>
    <row r="2838" spans="2:4">
      <c r="B2838" s="6" t="s">
        <v>584</v>
      </c>
      <c r="C2838" s="6" t="s">
        <v>588</v>
      </c>
      <c r="D2838" s="5">
        <v>44938</v>
      </c>
    </row>
    <row r="2839" spans="2:4">
      <c r="B2839" s="6" t="s">
        <v>367</v>
      </c>
      <c r="C2839" s="6" t="s">
        <v>150</v>
      </c>
      <c r="D2839" s="5">
        <v>44938</v>
      </c>
    </row>
    <row r="2840" spans="2:4">
      <c r="B2840" s="6" t="s">
        <v>331</v>
      </c>
      <c r="C2840" s="6" t="s">
        <v>348</v>
      </c>
      <c r="D2840" s="5">
        <v>44938</v>
      </c>
    </row>
    <row r="2841" spans="2:4">
      <c r="B2841" s="6" t="s">
        <v>184</v>
      </c>
      <c r="C2841" s="6" t="s">
        <v>330</v>
      </c>
      <c r="D2841" s="5">
        <v>44938</v>
      </c>
    </row>
    <row r="2842" spans="2:4">
      <c r="B2842" s="6" t="s">
        <v>357</v>
      </c>
      <c r="C2842" s="6" t="s">
        <v>196</v>
      </c>
      <c r="D2842" s="5">
        <v>44938</v>
      </c>
    </row>
    <row r="2843" spans="2:4">
      <c r="B2843" s="6" t="s">
        <v>321</v>
      </c>
      <c r="C2843" s="6" t="s">
        <v>603</v>
      </c>
      <c r="D2843" s="5">
        <v>44938</v>
      </c>
    </row>
    <row r="2844" spans="2:4">
      <c r="B2844" s="6" t="s">
        <v>324</v>
      </c>
      <c r="C2844" s="6" t="s">
        <v>266</v>
      </c>
      <c r="D2844" s="5">
        <v>44938</v>
      </c>
    </row>
    <row r="2845" spans="2:4">
      <c r="B2845" s="6" t="s">
        <v>358</v>
      </c>
      <c r="C2845" s="6" t="s">
        <v>256</v>
      </c>
      <c r="D2845" s="5">
        <v>44938</v>
      </c>
    </row>
    <row r="2846" spans="2:4">
      <c r="B2846" s="6" t="s">
        <v>640</v>
      </c>
      <c r="C2846" s="6" t="s">
        <v>183</v>
      </c>
      <c r="D2846" s="5">
        <v>44938</v>
      </c>
    </row>
    <row r="2847" spans="2:4">
      <c r="B2847" s="6" t="s">
        <v>295</v>
      </c>
      <c r="C2847" s="6" t="s">
        <v>134</v>
      </c>
      <c r="D2847" s="5">
        <v>44938</v>
      </c>
    </row>
    <row r="2848" spans="2:4">
      <c r="B2848" s="6" t="s">
        <v>304</v>
      </c>
      <c r="C2848" s="6" t="s">
        <v>305</v>
      </c>
      <c r="D2848" s="5">
        <v>44938</v>
      </c>
    </row>
    <row r="2849" spans="2:4">
      <c r="B2849" s="6" t="s">
        <v>329</v>
      </c>
      <c r="C2849" s="6" t="s">
        <v>370</v>
      </c>
      <c r="D2849" s="5">
        <v>44938</v>
      </c>
    </row>
    <row r="2850" spans="2:4">
      <c r="B2850" s="6" t="s">
        <v>615</v>
      </c>
      <c r="C2850" s="6" t="s">
        <v>240</v>
      </c>
      <c r="D2850" s="5">
        <v>44938</v>
      </c>
    </row>
    <row r="2851" spans="2:4">
      <c r="B2851" s="6" t="s">
        <v>69</v>
      </c>
      <c r="C2851" s="6" t="s">
        <v>719</v>
      </c>
      <c r="D2851" s="5">
        <v>44938</v>
      </c>
    </row>
    <row r="2852" spans="2:4">
      <c r="B2852" s="6" t="s">
        <v>74</v>
      </c>
      <c r="C2852" s="6" t="s">
        <v>72</v>
      </c>
      <c r="D2852" s="5">
        <v>44938</v>
      </c>
    </row>
    <row r="2853" spans="2:4">
      <c r="B2853" s="6" t="s">
        <v>343</v>
      </c>
      <c r="C2853" s="6" t="s">
        <v>342</v>
      </c>
      <c r="D2853" s="5">
        <v>44938</v>
      </c>
    </row>
    <row r="2854" spans="2:4">
      <c r="B2854" s="6" t="s">
        <v>381</v>
      </c>
      <c r="C2854" s="6" t="s">
        <v>323</v>
      </c>
      <c r="D2854" s="5">
        <v>44938</v>
      </c>
    </row>
    <row r="2855" spans="2:4">
      <c r="B2855" s="6" t="s">
        <v>378</v>
      </c>
      <c r="C2855" s="6" t="s">
        <v>415</v>
      </c>
      <c r="D2855" s="5">
        <v>44938</v>
      </c>
    </row>
    <row r="2856" spans="2:4">
      <c r="B2856" s="6" t="s">
        <v>607</v>
      </c>
      <c r="C2856" s="6" t="s">
        <v>290</v>
      </c>
      <c r="D2856" s="5">
        <v>44938</v>
      </c>
    </row>
    <row r="2857" spans="2:4">
      <c r="B2857" s="6" t="s">
        <v>398</v>
      </c>
      <c r="C2857" s="6" t="s">
        <v>396</v>
      </c>
      <c r="D2857" s="5">
        <v>44938</v>
      </c>
    </row>
    <row r="2858" spans="2:4">
      <c r="B2858" s="6" t="s">
        <v>151</v>
      </c>
      <c r="C2858" s="6" t="s">
        <v>359</v>
      </c>
      <c r="D2858" s="5">
        <v>44938</v>
      </c>
    </row>
    <row r="2859" spans="2:4">
      <c r="B2859" s="6" t="s">
        <v>309</v>
      </c>
      <c r="C2859" s="6" t="s">
        <v>250</v>
      </c>
      <c r="D2859" s="5">
        <v>44938</v>
      </c>
    </row>
    <row r="2860" spans="2:4">
      <c r="B2860" s="6" t="s">
        <v>190</v>
      </c>
      <c r="C2860" s="6" t="s">
        <v>206</v>
      </c>
      <c r="D2860" s="5">
        <v>44938</v>
      </c>
    </row>
    <row r="2861" spans="2:4">
      <c r="B2861" s="6" t="s">
        <v>391</v>
      </c>
      <c r="C2861" s="6" t="s">
        <v>153</v>
      </c>
      <c r="D2861" s="5">
        <v>44938</v>
      </c>
    </row>
    <row r="2862" spans="2:4">
      <c r="B2862" s="6" t="s">
        <v>147</v>
      </c>
      <c r="C2862" s="6" t="s">
        <v>128</v>
      </c>
      <c r="D2862" s="5">
        <v>44938</v>
      </c>
    </row>
    <row r="2863" spans="2:4">
      <c r="B2863" s="6" t="s">
        <v>157</v>
      </c>
      <c r="C2863" s="6" t="s">
        <v>132</v>
      </c>
      <c r="D2863" s="5">
        <v>44938</v>
      </c>
    </row>
    <row r="2864" spans="2:4">
      <c r="B2864" s="6" t="s">
        <v>424</v>
      </c>
      <c r="C2864" s="6" t="s">
        <v>375</v>
      </c>
      <c r="D2864" s="5">
        <v>44938</v>
      </c>
    </row>
    <row r="2865" spans="2:4">
      <c r="B2865" s="6" t="s">
        <v>166</v>
      </c>
      <c r="C2865" s="6" t="s">
        <v>165</v>
      </c>
      <c r="D2865" s="5">
        <v>44938</v>
      </c>
    </row>
    <row r="2866" spans="2:4">
      <c r="B2866" s="6" t="s">
        <v>389</v>
      </c>
      <c r="C2866" s="6" t="s">
        <v>426</v>
      </c>
      <c r="D2866" s="5">
        <v>44938</v>
      </c>
    </row>
    <row r="2867" spans="2:4">
      <c r="B2867" s="6" t="s">
        <v>402</v>
      </c>
      <c r="C2867" s="6" t="s">
        <v>403</v>
      </c>
      <c r="D2867" s="5">
        <v>44938</v>
      </c>
    </row>
    <row r="2868" spans="2:4">
      <c r="B2868" s="6" t="s">
        <v>75</v>
      </c>
      <c r="C2868" s="6" t="s">
        <v>77</v>
      </c>
      <c r="D2868" s="5">
        <v>44938</v>
      </c>
    </row>
    <row r="2869" spans="2:4">
      <c r="B2869" s="6" t="s">
        <v>779</v>
      </c>
      <c r="C2869" s="6" t="s">
        <v>70</v>
      </c>
      <c r="D2869" s="5">
        <v>44938</v>
      </c>
    </row>
    <row r="2870" spans="2:4">
      <c r="B2870" s="6" t="s">
        <v>71</v>
      </c>
      <c r="C2870" s="6" t="s">
        <v>93</v>
      </c>
      <c r="D2870" s="5">
        <v>44938</v>
      </c>
    </row>
    <row r="2871" spans="2:4">
      <c r="B2871" s="6" t="s">
        <v>161</v>
      </c>
      <c r="C2871" s="6" t="s">
        <v>404</v>
      </c>
      <c r="D2871" s="5">
        <v>44938</v>
      </c>
    </row>
    <row r="2872" spans="2:4">
      <c r="B2872" s="6" t="s">
        <v>125</v>
      </c>
      <c r="C2872" s="6" t="s">
        <v>100</v>
      </c>
      <c r="D2872" s="5">
        <v>44939</v>
      </c>
    </row>
    <row r="2873" spans="2:4">
      <c r="B2873" s="6" t="s">
        <v>127</v>
      </c>
      <c r="C2873" s="6" t="s">
        <v>180</v>
      </c>
      <c r="D2873" s="5">
        <v>44939</v>
      </c>
    </row>
    <row r="2874" spans="2:4">
      <c r="B2874" s="6" t="s">
        <v>42</v>
      </c>
      <c r="C2874" s="6" t="s">
        <v>35</v>
      </c>
      <c r="D2874" s="5">
        <v>44939</v>
      </c>
    </row>
    <row r="2875" spans="2:4">
      <c r="B2875" s="6" t="s">
        <v>216</v>
      </c>
      <c r="C2875" s="6" t="s">
        <v>244</v>
      </c>
      <c r="D2875" s="5">
        <v>44939</v>
      </c>
    </row>
    <row r="2876" spans="2:4">
      <c r="B2876" s="6" t="s">
        <v>204</v>
      </c>
      <c r="C2876" s="6" t="s">
        <v>130</v>
      </c>
      <c r="D2876" s="5">
        <v>44939</v>
      </c>
    </row>
    <row r="2877" spans="2:4">
      <c r="B2877" s="6" t="s">
        <v>233</v>
      </c>
      <c r="C2877" s="6" t="s">
        <v>230</v>
      </c>
      <c r="D2877" s="5">
        <v>44939</v>
      </c>
    </row>
    <row r="2878" spans="2:4">
      <c r="B2878" s="6" t="s">
        <v>285</v>
      </c>
      <c r="C2878" s="6" t="s">
        <v>112</v>
      </c>
      <c r="D2878" s="5">
        <v>44939</v>
      </c>
    </row>
    <row r="2879" spans="2:4">
      <c r="B2879" s="6" t="s">
        <v>211</v>
      </c>
      <c r="C2879" s="6" t="s">
        <v>361</v>
      </c>
      <c r="D2879" s="5">
        <v>44939</v>
      </c>
    </row>
    <row r="2880" spans="2:4">
      <c r="B2880" s="6" t="s">
        <v>58</v>
      </c>
      <c r="C2880" s="6" t="s">
        <v>67</v>
      </c>
      <c r="D2880" s="5">
        <v>44939</v>
      </c>
    </row>
    <row r="2881" spans="2:4">
      <c r="B2881" s="6" t="s">
        <v>105</v>
      </c>
      <c r="C2881" s="6" t="s">
        <v>247</v>
      </c>
      <c r="D2881" s="5">
        <v>44939</v>
      </c>
    </row>
    <row r="2882" spans="2:4">
      <c r="B2882" s="6" t="s">
        <v>60</v>
      </c>
      <c r="C2882" s="6" t="s">
        <v>761</v>
      </c>
      <c r="D2882" s="5">
        <v>44939</v>
      </c>
    </row>
    <row r="2883" spans="2:4">
      <c r="B2883" s="6" t="s">
        <v>214</v>
      </c>
      <c r="C2883" s="6" t="s">
        <v>121</v>
      </c>
      <c r="D2883" s="5">
        <v>44939</v>
      </c>
    </row>
    <row r="2884" spans="2:4">
      <c r="B2884" s="6" t="s">
        <v>169</v>
      </c>
      <c r="C2884" s="6" t="s">
        <v>168</v>
      </c>
      <c r="D2884" s="5">
        <v>44939</v>
      </c>
    </row>
    <row r="2885" spans="2:4">
      <c r="B2885" s="6" t="s">
        <v>75</v>
      </c>
      <c r="C2885" s="6" t="s">
        <v>72</v>
      </c>
      <c r="D2885" s="5">
        <v>44940</v>
      </c>
    </row>
    <row r="2886" spans="2:4">
      <c r="B2886" s="6" t="s">
        <v>249</v>
      </c>
      <c r="C2886" s="6" t="s">
        <v>156</v>
      </c>
      <c r="D2886" s="5">
        <v>44940</v>
      </c>
    </row>
    <row r="2887" spans="2:4">
      <c r="B2887" s="6" t="s">
        <v>395</v>
      </c>
      <c r="C2887" s="6" t="s">
        <v>273</v>
      </c>
      <c r="D2887" s="5">
        <v>44940</v>
      </c>
    </row>
    <row r="2888" spans="2:4">
      <c r="B2888" s="6" t="s">
        <v>362</v>
      </c>
      <c r="C2888" s="6" t="s">
        <v>203</v>
      </c>
      <c r="D2888" s="5">
        <v>44940</v>
      </c>
    </row>
    <row r="2889" spans="2:4">
      <c r="B2889" s="6" t="s">
        <v>396</v>
      </c>
      <c r="C2889" s="6" t="s">
        <v>166</v>
      </c>
      <c r="D2889" s="5">
        <v>44940</v>
      </c>
    </row>
    <row r="2890" spans="2:4">
      <c r="B2890" s="6" t="s">
        <v>393</v>
      </c>
      <c r="C2890" s="6" t="s">
        <v>158</v>
      </c>
      <c r="D2890" s="5">
        <v>44940</v>
      </c>
    </row>
    <row r="2891" spans="2:4">
      <c r="B2891" s="6" t="s">
        <v>86</v>
      </c>
      <c r="C2891" s="6" t="s">
        <v>80</v>
      </c>
      <c r="D2891" s="5">
        <v>44940</v>
      </c>
    </row>
    <row r="2892" spans="2:4">
      <c r="B2892" s="6" t="s">
        <v>29</v>
      </c>
      <c r="C2892" s="6" t="s">
        <v>32</v>
      </c>
      <c r="D2892" s="5">
        <v>44940</v>
      </c>
    </row>
    <row r="2893" spans="2:4">
      <c r="B2893" s="6" t="s">
        <v>770</v>
      </c>
      <c r="C2893" s="6" t="s">
        <v>48</v>
      </c>
      <c r="D2893" s="5">
        <v>44940</v>
      </c>
    </row>
    <row r="2894" spans="2:4">
      <c r="B2894" s="6" t="s">
        <v>155</v>
      </c>
      <c r="C2894" s="6" t="s">
        <v>36</v>
      </c>
      <c r="D2894" s="5">
        <v>44940</v>
      </c>
    </row>
    <row r="2895" spans="2:4">
      <c r="B2895" s="6" t="s">
        <v>281</v>
      </c>
      <c r="C2895" s="6" t="s">
        <v>199</v>
      </c>
      <c r="D2895" s="5">
        <v>44940</v>
      </c>
    </row>
    <row r="2896" spans="2:4">
      <c r="B2896" s="6" t="s">
        <v>172</v>
      </c>
      <c r="C2896" s="6" t="s">
        <v>397</v>
      </c>
      <c r="D2896" s="5">
        <v>44940</v>
      </c>
    </row>
    <row r="2897" spans="2:4">
      <c r="B2897" s="6" t="s">
        <v>272</v>
      </c>
      <c r="C2897" s="6" t="s">
        <v>146</v>
      </c>
      <c r="D2897" s="5">
        <v>44940</v>
      </c>
    </row>
    <row r="2898" spans="2:4">
      <c r="B2898" s="6" t="s">
        <v>334</v>
      </c>
      <c r="C2898" s="6" t="s">
        <v>350</v>
      </c>
      <c r="D2898" s="5">
        <v>44940</v>
      </c>
    </row>
    <row r="2899" spans="2:4">
      <c r="B2899" s="6" t="s">
        <v>62</v>
      </c>
      <c r="C2899" s="6" t="s">
        <v>65</v>
      </c>
      <c r="D2899" s="5">
        <v>44940</v>
      </c>
    </row>
    <row r="2900" spans="2:4">
      <c r="B2900" s="6" t="s">
        <v>137</v>
      </c>
      <c r="C2900" s="6" t="s">
        <v>131</v>
      </c>
      <c r="D2900" s="5">
        <v>44940</v>
      </c>
    </row>
    <row r="2901" spans="2:4">
      <c r="B2901" s="6" t="s">
        <v>278</v>
      </c>
      <c r="C2901" s="6" t="s">
        <v>148</v>
      </c>
      <c r="D2901" s="5">
        <v>44940</v>
      </c>
    </row>
    <row r="2902" spans="2:4">
      <c r="B2902" s="6" t="s">
        <v>301</v>
      </c>
      <c r="C2902" s="6" t="s">
        <v>174</v>
      </c>
      <c r="D2902" s="5">
        <v>44940</v>
      </c>
    </row>
    <row r="2903" spans="2:4">
      <c r="B2903" s="6" t="s">
        <v>253</v>
      </c>
      <c r="C2903" s="6" t="s">
        <v>106</v>
      </c>
      <c r="D2903" s="5">
        <v>44940</v>
      </c>
    </row>
    <row r="2904" spans="2:4">
      <c r="B2904" s="6" t="s">
        <v>108</v>
      </c>
      <c r="C2904" s="6" t="s">
        <v>138</v>
      </c>
      <c r="D2904" s="5">
        <v>44940</v>
      </c>
    </row>
    <row r="2905" spans="2:4">
      <c r="B2905" s="6" t="s">
        <v>762</v>
      </c>
      <c r="C2905" s="6" t="s">
        <v>89</v>
      </c>
      <c r="D2905" s="5">
        <v>44940</v>
      </c>
    </row>
    <row r="2906" spans="2:4">
      <c r="B2906" s="6" t="s">
        <v>282</v>
      </c>
      <c r="C2906" s="6" t="s">
        <v>287</v>
      </c>
      <c r="D2906" s="5">
        <v>44940</v>
      </c>
    </row>
    <row r="2907" spans="2:4">
      <c r="B2907" s="6" t="s">
        <v>414</v>
      </c>
      <c r="C2907" s="6" t="s">
        <v>288</v>
      </c>
      <c r="D2907" s="5">
        <v>44940</v>
      </c>
    </row>
    <row r="2908" spans="2:4">
      <c r="B2908" s="6" t="s">
        <v>587</v>
      </c>
      <c r="C2908" s="6" t="s">
        <v>336</v>
      </c>
      <c r="D2908" s="5">
        <v>44940</v>
      </c>
    </row>
    <row r="2909" spans="2:4">
      <c r="B2909" s="6" t="s">
        <v>246</v>
      </c>
      <c r="C2909" s="6" t="s">
        <v>410</v>
      </c>
      <c r="D2909" s="5">
        <v>44940</v>
      </c>
    </row>
    <row r="2910" spans="2:4">
      <c r="B2910" s="6" t="s">
        <v>357</v>
      </c>
      <c r="C2910" s="6" t="s">
        <v>359</v>
      </c>
      <c r="D2910" s="5">
        <v>44940</v>
      </c>
    </row>
    <row r="2911" spans="2:4">
      <c r="B2911" s="6" t="s">
        <v>422</v>
      </c>
      <c r="C2911" s="6" t="s">
        <v>412</v>
      </c>
      <c r="D2911" s="5">
        <v>44940</v>
      </c>
    </row>
    <row r="2912" spans="2:4">
      <c r="B2912" s="6" t="s">
        <v>610</v>
      </c>
      <c r="C2912" s="6" t="s">
        <v>173</v>
      </c>
      <c r="D2912" s="5">
        <v>44940</v>
      </c>
    </row>
    <row r="2913" spans="2:4">
      <c r="B2913" s="6" t="s">
        <v>43</v>
      </c>
      <c r="C2913" s="6" t="s">
        <v>251</v>
      </c>
      <c r="D2913" s="5">
        <v>44940</v>
      </c>
    </row>
    <row r="2914" spans="2:4">
      <c r="B2914" s="6" t="s">
        <v>38</v>
      </c>
      <c r="C2914" s="6" t="s">
        <v>40</v>
      </c>
      <c r="D2914" s="5">
        <v>44940</v>
      </c>
    </row>
    <row r="2915" spans="2:4">
      <c r="B2915" s="6" t="s">
        <v>185</v>
      </c>
      <c r="C2915" s="6" t="s">
        <v>84</v>
      </c>
      <c r="D2915" s="5">
        <v>44940</v>
      </c>
    </row>
    <row r="2916" spans="2:4">
      <c r="B2916" s="6" t="s">
        <v>34</v>
      </c>
      <c r="C2916" s="6" t="s">
        <v>750</v>
      </c>
      <c r="D2916" s="5">
        <v>44940</v>
      </c>
    </row>
    <row r="2917" spans="2:4">
      <c r="B2917" s="6" t="s">
        <v>221</v>
      </c>
      <c r="C2917" s="6" t="s">
        <v>411</v>
      </c>
      <c r="D2917" s="5">
        <v>44940</v>
      </c>
    </row>
    <row r="2918" spans="2:4">
      <c r="B2918" s="6" t="s">
        <v>176</v>
      </c>
      <c r="C2918" s="6" t="s">
        <v>113</v>
      </c>
      <c r="D2918" s="5">
        <v>44940</v>
      </c>
    </row>
    <row r="2919" spans="2:4">
      <c r="B2919" s="6" t="s">
        <v>114</v>
      </c>
      <c r="C2919" s="6" t="s">
        <v>360</v>
      </c>
      <c r="D2919" s="5">
        <v>44940</v>
      </c>
    </row>
    <row r="2920" spans="2:4">
      <c r="B2920" s="6" t="s">
        <v>421</v>
      </c>
      <c r="C2920" s="6" t="s">
        <v>135</v>
      </c>
      <c r="D2920" s="5">
        <v>44940</v>
      </c>
    </row>
    <row r="2921" spans="2:4">
      <c r="B2921" s="6" t="s">
        <v>126</v>
      </c>
      <c r="C2921" s="6" t="s">
        <v>269</v>
      </c>
      <c r="D2921" s="5">
        <v>44940</v>
      </c>
    </row>
    <row r="2922" spans="2:4">
      <c r="B2922" s="6" t="s">
        <v>351</v>
      </c>
      <c r="C2922" s="6" t="s">
        <v>419</v>
      </c>
      <c r="D2922" s="5">
        <v>44940</v>
      </c>
    </row>
    <row r="2923" spans="2:4">
      <c r="B2923" s="6" t="s">
        <v>107</v>
      </c>
      <c r="C2923" s="6" t="s">
        <v>97</v>
      </c>
      <c r="D2923" s="5">
        <v>44940</v>
      </c>
    </row>
    <row r="2924" spans="2:4">
      <c r="B2924" s="6" t="s">
        <v>182</v>
      </c>
      <c r="C2924" s="6" t="s">
        <v>368</v>
      </c>
      <c r="D2924" s="5">
        <v>44940</v>
      </c>
    </row>
    <row r="2925" spans="2:4">
      <c r="B2925" s="6" t="s">
        <v>425</v>
      </c>
      <c r="C2925" s="6" t="s">
        <v>297</v>
      </c>
      <c r="D2925" s="5">
        <v>44940</v>
      </c>
    </row>
    <row r="2926" spans="2:4">
      <c r="B2926" s="6" t="s">
        <v>202</v>
      </c>
      <c r="C2926" s="6" t="s">
        <v>270</v>
      </c>
      <c r="D2926" s="5">
        <v>44940</v>
      </c>
    </row>
    <row r="2927" spans="2:4">
      <c r="B2927" s="6" t="s">
        <v>298</v>
      </c>
      <c r="C2927" s="6" t="s">
        <v>191</v>
      </c>
      <c r="D2927" s="5">
        <v>44940</v>
      </c>
    </row>
    <row r="2928" spans="2:4">
      <c r="B2928" s="6" t="s">
        <v>109</v>
      </c>
      <c r="C2928" s="6" t="s">
        <v>209</v>
      </c>
      <c r="D2928" s="5">
        <v>44940</v>
      </c>
    </row>
    <row r="2929" spans="2:4">
      <c r="B2929" s="6" t="s">
        <v>590</v>
      </c>
      <c r="C2929" s="6" t="s">
        <v>175</v>
      </c>
      <c r="D2929" s="5">
        <v>44940</v>
      </c>
    </row>
    <row r="2930" spans="2:4">
      <c r="B2930" s="6" t="s">
        <v>259</v>
      </c>
      <c r="C2930" s="6" t="s">
        <v>294</v>
      </c>
      <c r="D2930" s="5">
        <v>44940</v>
      </c>
    </row>
    <row r="2931" spans="2:4">
      <c r="B2931" s="6" t="s">
        <v>178</v>
      </c>
      <c r="C2931" s="6" t="s">
        <v>118</v>
      </c>
      <c r="D2931" s="5">
        <v>44940</v>
      </c>
    </row>
    <row r="2932" spans="2:4">
      <c r="B2932" s="6" t="s">
        <v>268</v>
      </c>
      <c r="C2932" s="6" t="s">
        <v>99</v>
      </c>
      <c r="D2932" s="5">
        <v>44940</v>
      </c>
    </row>
    <row r="2933" spans="2:4">
      <c r="B2933" s="6" t="s">
        <v>252</v>
      </c>
      <c r="C2933" s="6" t="s">
        <v>200</v>
      </c>
      <c r="D2933" s="5">
        <v>44940</v>
      </c>
    </row>
    <row r="2934" spans="2:4">
      <c r="B2934" s="6" t="s">
        <v>50</v>
      </c>
      <c r="C2934" s="6" t="s">
        <v>49</v>
      </c>
      <c r="D2934" s="5">
        <v>44940</v>
      </c>
    </row>
    <row r="2935" spans="2:4">
      <c r="B2935" s="6" t="s">
        <v>143</v>
      </c>
      <c r="C2935" s="6" t="s">
        <v>376</v>
      </c>
      <c r="D2935" s="5">
        <v>44940</v>
      </c>
    </row>
    <row r="2936" spans="2:4">
      <c r="B2936" s="6" t="s">
        <v>210</v>
      </c>
      <c r="C2936" s="6" t="s">
        <v>349</v>
      </c>
      <c r="D2936" s="5">
        <v>44940</v>
      </c>
    </row>
    <row r="2937" spans="2:4">
      <c r="B2937" s="6" t="s">
        <v>378</v>
      </c>
      <c r="C2937" s="6" t="s">
        <v>290</v>
      </c>
      <c r="D2937" s="5">
        <v>44940</v>
      </c>
    </row>
    <row r="2938" spans="2:4">
      <c r="B2938" s="6" t="s">
        <v>367</v>
      </c>
      <c r="C2938" s="6" t="s">
        <v>316</v>
      </c>
      <c r="D2938" s="5">
        <v>44940</v>
      </c>
    </row>
    <row r="2939" spans="2:4">
      <c r="B2939" s="6" t="s">
        <v>333</v>
      </c>
      <c r="C2939" s="6" t="s">
        <v>150</v>
      </c>
      <c r="D2939" s="5">
        <v>44940</v>
      </c>
    </row>
    <row r="2940" spans="2:4">
      <c r="B2940" s="6" t="s">
        <v>151</v>
      </c>
      <c r="C2940" s="6" t="s">
        <v>196</v>
      </c>
      <c r="D2940" s="5">
        <v>44940</v>
      </c>
    </row>
    <row r="2941" spans="2:4">
      <c r="B2941" s="6" t="s">
        <v>305</v>
      </c>
      <c r="C2941" s="6" t="s">
        <v>321</v>
      </c>
      <c r="D2941" s="5">
        <v>44940</v>
      </c>
    </row>
    <row r="2942" spans="2:4">
      <c r="B2942" s="6" t="s">
        <v>101</v>
      </c>
      <c r="C2942" s="6" t="s">
        <v>418</v>
      </c>
      <c r="D2942" s="5">
        <v>44940</v>
      </c>
    </row>
    <row r="2943" spans="2:4">
      <c r="B2943" s="6" t="s">
        <v>123</v>
      </c>
      <c r="C2943" s="6" t="s">
        <v>115</v>
      </c>
      <c r="D2943" s="5">
        <v>44940</v>
      </c>
    </row>
    <row r="2944" spans="2:4">
      <c r="B2944" s="6" t="s">
        <v>255</v>
      </c>
      <c r="C2944" s="6" t="s">
        <v>142</v>
      </c>
      <c r="D2944" s="5">
        <v>44940</v>
      </c>
    </row>
    <row r="2945" spans="2:4">
      <c r="B2945" s="6" t="s">
        <v>79</v>
      </c>
      <c r="C2945" s="6" t="s">
        <v>87</v>
      </c>
      <c r="D2945" s="5">
        <v>44940</v>
      </c>
    </row>
    <row r="2946" spans="2:4">
      <c r="B2946" s="6" t="s">
        <v>26</v>
      </c>
      <c r="C2946" s="6" t="s">
        <v>747</v>
      </c>
      <c r="D2946" s="5">
        <v>44940</v>
      </c>
    </row>
    <row r="2947" spans="2:4">
      <c r="B2947" s="6" t="s">
        <v>737</v>
      </c>
      <c r="C2947" s="6" t="s">
        <v>188</v>
      </c>
      <c r="D2947" s="5">
        <v>44940</v>
      </c>
    </row>
    <row r="2948" spans="2:4">
      <c r="B2948" s="6" t="s">
        <v>82</v>
      </c>
      <c r="C2948" s="6" t="s">
        <v>81</v>
      </c>
      <c r="D2948" s="5">
        <v>44940</v>
      </c>
    </row>
    <row r="2949" spans="2:4">
      <c r="B2949" s="6" t="s">
        <v>277</v>
      </c>
      <c r="C2949" s="6" t="s">
        <v>276</v>
      </c>
      <c r="D2949" s="5">
        <v>44940</v>
      </c>
    </row>
    <row r="2950" spans="2:4">
      <c r="B2950" s="6" t="s">
        <v>170</v>
      </c>
      <c r="C2950" s="6" t="s">
        <v>332</v>
      </c>
      <c r="D2950" s="5">
        <v>44940</v>
      </c>
    </row>
    <row r="2951" spans="2:4">
      <c r="B2951" s="6" t="s">
        <v>352</v>
      </c>
      <c r="C2951" s="6" t="s">
        <v>95</v>
      </c>
      <c r="D2951" s="5">
        <v>44940</v>
      </c>
    </row>
    <row r="2952" spans="2:4">
      <c r="B2952" s="6" t="s">
        <v>341</v>
      </c>
      <c r="C2952" s="6" t="s">
        <v>187</v>
      </c>
      <c r="D2952" s="5">
        <v>44940</v>
      </c>
    </row>
    <row r="2953" spans="2:4">
      <c r="B2953" s="6" t="s">
        <v>232</v>
      </c>
      <c r="C2953" s="6" t="s">
        <v>303</v>
      </c>
      <c r="D2953" s="5">
        <v>44940</v>
      </c>
    </row>
    <row r="2954" spans="2:4">
      <c r="B2954" s="6" t="s">
        <v>335</v>
      </c>
      <c r="C2954" s="6" t="s">
        <v>264</v>
      </c>
      <c r="D2954" s="5">
        <v>44940</v>
      </c>
    </row>
    <row r="2955" spans="2:4">
      <c r="B2955" s="6" t="s">
        <v>116</v>
      </c>
      <c r="C2955" s="6" t="s">
        <v>238</v>
      </c>
      <c r="D2955" s="5">
        <v>44940</v>
      </c>
    </row>
    <row r="2956" spans="2:4">
      <c r="B2956" s="6" t="s">
        <v>779</v>
      </c>
      <c r="C2956" s="6" t="s">
        <v>719</v>
      </c>
      <c r="D2956" s="5">
        <v>44940</v>
      </c>
    </row>
    <row r="2957" spans="2:4">
      <c r="B2957" s="6" t="s">
        <v>213</v>
      </c>
      <c r="C2957" s="6" t="s">
        <v>139</v>
      </c>
      <c r="D2957" s="5">
        <v>44940</v>
      </c>
    </row>
    <row r="2958" spans="2:4">
      <c r="B2958" s="6" t="s">
        <v>373</v>
      </c>
      <c r="C2958" s="6" t="s">
        <v>195</v>
      </c>
      <c r="D2958" s="5">
        <v>44940</v>
      </c>
    </row>
    <row r="2959" spans="2:4">
      <c r="B2959" s="6" t="s">
        <v>310</v>
      </c>
      <c r="C2959" s="6" t="s">
        <v>96</v>
      </c>
      <c r="D2959" s="5">
        <v>44940</v>
      </c>
    </row>
    <row r="2960" spans="2:4">
      <c r="B2960" s="6" t="s">
        <v>319</v>
      </c>
      <c r="C2960" s="6" t="s">
        <v>343</v>
      </c>
      <c r="D2960" s="5">
        <v>44940</v>
      </c>
    </row>
    <row r="2961" spans="2:4">
      <c r="B2961" s="6" t="s">
        <v>337</v>
      </c>
      <c r="C2961" s="6" t="s">
        <v>133</v>
      </c>
      <c r="D2961" s="5">
        <v>44940</v>
      </c>
    </row>
    <row r="2962" spans="2:4">
      <c r="B2962" s="6" t="s">
        <v>436</v>
      </c>
      <c r="C2962" s="6" t="s">
        <v>171</v>
      </c>
      <c r="D2962" s="5">
        <v>44940</v>
      </c>
    </row>
    <row r="2963" spans="2:4">
      <c r="B2963" s="6" t="s">
        <v>111</v>
      </c>
      <c r="C2963" s="6" t="s">
        <v>267</v>
      </c>
      <c r="D2963" s="5">
        <v>44940</v>
      </c>
    </row>
    <row r="2964" spans="2:4">
      <c r="B2964" s="6" t="s">
        <v>338</v>
      </c>
      <c r="C2964" s="6" t="s">
        <v>405</v>
      </c>
      <c r="D2964" s="5">
        <v>44940</v>
      </c>
    </row>
    <row r="2965" spans="2:4">
      <c r="B2965" s="6" t="s">
        <v>306</v>
      </c>
      <c r="C2965" s="6" t="s">
        <v>365</v>
      </c>
      <c r="D2965" s="5">
        <v>44940</v>
      </c>
    </row>
    <row r="2966" spans="2:4">
      <c r="B2966" s="6" t="s">
        <v>286</v>
      </c>
      <c r="C2966" s="6" t="s">
        <v>194</v>
      </c>
      <c r="D2966" s="5">
        <v>44940</v>
      </c>
    </row>
    <row r="2967" spans="2:4">
      <c r="B2967" s="6" t="s">
        <v>304</v>
      </c>
      <c r="C2967" s="6" t="s">
        <v>309</v>
      </c>
      <c r="D2967" s="5">
        <v>44940</v>
      </c>
    </row>
    <row r="2968" spans="2:4">
      <c r="B2968" s="6" t="s">
        <v>432</v>
      </c>
      <c r="C2968" s="6" t="s">
        <v>129</v>
      </c>
      <c r="D2968" s="5">
        <v>44940</v>
      </c>
    </row>
    <row r="2969" spans="2:4">
      <c r="B2969" s="6" t="s">
        <v>599</v>
      </c>
      <c r="C2969" s="6" t="s">
        <v>167</v>
      </c>
      <c r="D2969" s="5">
        <v>44940</v>
      </c>
    </row>
    <row r="2970" spans="2:4">
      <c r="B2970" s="6" t="s">
        <v>356</v>
      </c>
      <c r="C2970" s="6" t="s">
        <v>354</v>
      </c>
      <c r="D2970" s="5">
        <v>44940</v>
      </c>
    </row>
    <row r="2971" spans="2:4">
      <c r="B2971" s="6" t="s">
        <v>248</v>
      </c>
      <c r="C2971" s="6" t="s">
        <v>292</v>
      </c>
      <c r="D2971" s="5">
        <v>44940</v>
      </c>
    </row>
    <row r="2972" spans="2:4">
      <c r="B2972" s="6" t="s">
        <v>353</v>
      </c>
      <c r="C2972" s="6" t="s">
        <v>120</v>
      </c>
      <c r="D2972" s="5">
        <v>44940</v>
      </c>
    </row>
    <row r="2973" spans="2:4">
      <c r="B2973" s="6" t="s">
        <v>640</v>
      </c>
      <c r="C2973" s="6" t="s">
        <v>134</v>
      </c>
      <c r="D2973" s="5">
        <v>44940</v>
      </c>
    </row>
    <row r="2974" spans="2:4">
      <c r="B2974" s="6" t="s">
        <v>342</v>
      </c>
      <c r="C2974" s="6" t="s">
        <v>584</v>
      </c>
      <c r="D2974" s="5">
        <v>44940</v>
      </c>
    </row>
    <row r="2975" spans="2:4">
      <c r="B2975" s="6" t="s">
        <v>300</v>
      </c>
      <c r="C2975" s="6" t="s">
        <v>124</v>
      </c>
      <c r="D2975" s="5">
        <v>44940</v>
      </c>
    </row>
    <row r="2976" spans="2:4">
      <c r="B2976" s="6" t="s">
        <v>400</v>
      </c>
      <c r="C2976" s="6" t="s">
        <v>140</v>
      </c>
      <c r="D2976" s="5">
        <v>44940</v>
      </c>
    </row>
    <row r="2977" spans="2:4">
      <c r="B2977" s="6" t="s">
        <v>329</v>
      </c>
      <c r="C2977" s="6" t="s">
        <v>240</v>
      </c>
      <c r="D2977" s="5">
        <v>44940</v>
      </c>
    </row>
    <row r="2978" spans="2:4">
      <c r="B2978" s="6" t="s">
        <v>51</v>
      </c>
      <c r="C2978" s="6" t="s">
        <v>44</v>
      </c>
      <c r="D2978" s="5">
        <v>44940</v>
      </c>
    </row>
    <row r="2979" spans="2:4">
      <c r="B2979" s="6" t="s">
        <v>186</v>
      </c>
      <c r="C2979" s="6" t="s">
        <v>318</v>
      </c>
      <c r="D2979" s="5">
        <v>44940</v>
      </c>
    </row>
    <row r="2980" spans="2:4">
      <c r="B2980" s="6" t="s">
        <v>580</v>
      </c>
      <c r="C2980" s="6" t="s">
        <v>220</v>
      </c>
      <c r="D2980" s="5">
        <v>44940</v>
      </c>
    </row>
    <row r="2981" spans="2:4">
      <c r="B2981" s="6" t="s">
        <v>295</v>
      </c>
      <c r="C2981" s="6" t="s">
        <v>183</v>
      </c>
      <c r="D2981" s="5">
        <v>44940</v>
      </c>
    </row>
    <row r="2982" spans="2:4">
      <c r="B2982" s="6" t="s">
        <v>388</v>
      </c>
      <c r="C2982" s="6" t="s">
        <v>345</v>
      </c>
      <c r="D2982" s="5">
        <v>44940</v>
      </c>
    </row>
    <row r="2983" spans="2:4">
      <c r="B2983" s="6" t="s">
        <v>327</v>
      </c>
      <c r="C2983" s="6" t="s">
        <v>413</v>
      </c>
      <c r="D2983" s="5">
        <v>44940</v>
      </c>
    </row>
    <row r="2984" spans="2:4">
      <c r="B2984" s="6" t="s">
        <v>586</v>
      </c>
      <c r="C2984" s="6" t="s">
        <v>236</v>
      </c>
      <c r="D2984" s="5">
        <v>44940</v>
      </c>
    </row>
    <row r="2985" spans="2:4">
      <c r="B2985" s="6" t="s">
        <v>141</v>
      </c>
      <c r="C2985" s="6" t="s">
        <v>621</v>
      </c>
      <c r="D2985" s="5">
        <v>44940</v>
      </c>
    </row>
    <row r="2986" spans="2:4">
      <c r="B2986" s="6" t="s">
        <v>389</v>
      </c>
      <c r="C2986" s="6" t="s">
        <v>403</v>
      </c>
      <c r="D2986" s="5">
        <v>44940</v>
      </c>
    </row>
    <row r="2987" spans="2:4">
      <c r="B2987" s="6" t="s">
        <v>128</v>
      </c>
      <c r="C2987" s="6" t="s">
        <v>147</v>
      </c>
      <c r="D2987" s="5">
        <v>44940</v>
      </c>
    </row>
    <row r="2988" spans="2:4">
      <c r="B2988" s="6" t="s">
        <v>588</v>
      </c>
      <c r="C2988" s="6" t="s">
        <v>94</v>
      </c>
      <c r="D2988" s="5">
        <v>44940</v>
      </c>
    </row>
    <row r="2989" spans="2:4">
      <c r="B2989" s="6" t="s">
        <v>28</v>
      </c>
      <c r="C2989" s="6" t="s">
        <v>778</v>
      </c>
      <c r="D2989" s="5">
        <v>44940</v>
      </c>
    </row>
    <row r="2990" spans="2:4">
      <c r="B2990" s="6" t="s">
        <v>69</v>
      </c>
      <c r="C2990" s="6" t="s">
        <v>70</v>
      </c>
      <c r="D2990" s="5">
        <v>44940</v>
      </c>
    </row>
    <row r="2991" spans="2:4">
      <c r="B2991" s="6" t="s">
        <v>71</v>
      </c>
      <c r="C2991" s="6" t="s">
        <v>164</v>
      </c>
      <c r="D2991" s="5">
        <v>44940</v>
      </c>
    </row>
    <row r="2992" spans="2:4">
      <c r="B2992" s="6" t="s">
        <v>90</v>
      </c>
      <c r="C2992" s="6" t="s">
        <v>91</v>
      </c>
      <c r="D2992" s="5">
        <v>44940</v>
      </c>
    </row>
    <row r="2993" spans="2:4">
      <c r="B2993" s="6" t="s">
        <v>102</v>
      </c>
      <c r="C2993" s="6" t="s">
        <v>104</v>
      </c>
      <c r="D2993" s="5">
        <v>44940</v>
      </c>
    </row>
    <row r="2994" spans="2:4">
      <c r="B2994" s="6" t="s">
        <v>391</v>
      </c>
      <c r="C2994" s="6" t="s">
        <v>206</v>
      </c>
      <c r="D2994" s="5">
        <v>44940</v>
      </c>
    </row>
    <row r="2995" spans="2:4">
      <c r="B2995" s="6" t="s">
        <v>181</v>
      </c>
      <c r="C2995" s="6" t="s">
        <v>382</v>
      </c>
      <c r="D2995" s="5">
        <v>44940</v>
      </c>
    </row>
    <row r="2996" spans="2:4">
      <c r="B2996" s="6" t="s">
        <v>370</v>
      </c>
      <c r="C2996" s="6" t="s">
        <v>603</v>
      </c>
      <c r="D2996" s="5">
        <v>44940</v>
      </c>
    </row>
    <row r="2997" spans="2:4">
      <c r="B2997" s="6" t="s">
        <v>313</v>
      </c>
      <c r="C2997" s="6" t="s">
        <v>274</v>
      </c>
      <c r="D2997" s="5">
        <v>44940</v>
      </c>
    </row>
    <row r="2998" spans="2:4">
      <c r="B2998" s="6" t="s">
        <v>47</v>
      </c>
      <c r="C2998" s="6" t="s">
        <v>46</v>
      </c>
      <c r="D2998" s="5">
        <v>44940</v>
      </c>
    </row>
    <row r="2999" spans="2:4">
      <c r="B2999" s="6" t="s">
        <v>177</v>
      </c>
      <c r="C2999" s="6" t="s">
        <v>215</v>
      </c>
      <c r="D2999" s="5">
        <v>44940</v>
      </c>
    </row>
    <row r="3000" spans="2:4">
      <c r="B3000" s="6" t="s">
        <v>163</v>
      </c>
      <c r="C3000" s="6" t="s">
        <v>386</v>
      </c>
      <c r="D3000" s="5">
        <v>44940</v>
      </c>
    </row>
    <row r="3001" spans="2:4">
      <c r="B3001" s="6" t="s">
        <v>394</v>
      </c>
      <c r="C3001" s="6" t="s">
        <v>198</v>
      </c>
      <c r="D3001" s="5">
        <v>44940</v>
      </c>
    </row>
    <row r="3002" spans="2:4">
      <c r="B3002" s="6" t="s">
        <v>110</v>
      </c>
      <c r="C3002" s="6" t="s">
        <v>192</v>
      </c>
      <c r="D3002" s="5">
        <v>44940</v>
      </c>
    </row>
    <row r="3003" spans="2:4">
      <c r="B3003" s="6" t="s">
        <v>103</v>
      </c>
      <c r="C3003" s="6" t="s">
        <v>261</v>
      </c>
      <c r="D3003" s="5">
        <v>44940</v>
      </c>
    </row>
    <row r="3004" spans="2:4">
      <c r="B3004" s="6" t="s">
        <v>193</v>
      </c>
      <c r="C3004" s="6" t="s">
        <v>136</v>
      </c>
      <c r="D3004" s="5">
        <v>44940</v>
      </c>
    </row>
    <row r="3005" spans="2:4">
      <c r="B3005" s="6" t="s">
        <v>409</v>
      </c>
      <c r="C3005" s="6" t="s">
        <v>289</v>
      </c>
      <c r="D3005" s="5">
        <v>44940</v>
      </c>
    </row>
    <row r="3006" spans="2:4">
      <c r="B3006" s="6" t="s">
        <v>208</v>
      </c>
      <c r="C3006" s="6" t="s">
        <v>385</v>
      </c>
      <c r="D3006" s="5">
        <v>44940</v>
      </c>
    </row>
    <row r="3007" spans="2:4">
      <c r="B3007" s="6" t="s">
        <v>324</v>
      </c>
      <c r="C3007" s="6" t="s">
        <v>256</v>
      </c>
      <c r="D3007" s="5">
        <v>44940</v>
      </c>
    </row>
    <row r="3008" spans="2:4">
      <c r="B3008" s="6" t="s">
        <v>358</v>
      </c>
      <c r="C3008" s="6" t="s">
        <v>266</v>
      </c>
      <c r="D3008" s="5">
        <v>44940</v>
      </c>
    </row>
    <row r="3009" spans="2:4">
      <c r="B3009" s="6" t="s">
        <v>201</v>
      </c>
      <c r="C3009" s="6" t="s">
        <v>355</v>
      </c>
      <c r="D3009" s="5">
        <v>44940</v>
      </c>
    </row>
    <row r="3010" spans="2:4">
      <c r="B3010" s="6" t="s">
        <v>344</v>
      </c>
      <c r="C3010" s="6" t="s">
        <v>347</v>
      </c>
      <c r="D3010" s="5">
        <v>44940</v>
      </c>
    </row>
    <row r="3011" spans="2:4">
      <c r="B3011" s="6" t="s">
        <v>30</v>
      </c>
      <c r="C3011" s="6" t="s">
        <v>27</v>
      </c>
      <c r="D3011" s="5">
        <v>44940</v>
      </c>
    </row>
    <row r="3012" spans="2:4">
      <c r="B3012" s="6" t="s">
        <v>308</v>
      </c>
      <c r="C3012" s="6" t="s">
        <v>314</v>
      </c>
      <c r="D3012" s="5">
        <v>44940</v>
      </c>
    </row>
    <row r="3013" spans="2:4">
      <c r="B3013" s="6" t="s">
        <v>804</v>
      </c>
      <c r="C3013" s="6" t="s">
        <v>93</v>
      </c>
      <c r="D3013" s="5">
        <v>44940</v>
      </c>
    </row>
    <row r="3014" spans="2:4">
      <c r="B3014" s="6" t="s">
        <v>312</v>
      </c>
      <c r="C3014" s="6" t="s">
        <v>280</v>
      </c>
      <c r="D3014" s="5">
        <v>44940</v>
      </c>
    </row>
    <row r="3015" spans="2:4">
      <c r="B3015" s="6" t="s">
        <v>241</v>
      </c>
      <c r="C3015" s="6" t="s">
        <v>326</v>
      </c>
      <c r="D3015" s="5">
        <v>44940</v>
      </c>
    </row>
    <row r="3016" spans="2:4">
      <c r="B3016" s="6" t="s">
        <v>363</v>
      </c>
      <c r="C3016" s="6" t="s">
        <v>119</v>
      </c>
      <c r="D3016" s="5">
        <v>44940</v>
      </c>
    </row>
    <row r="3017" spans="2:4">
      <c r="B3017" s="6" t="s">
        <v>54</v>
      </c>
      <c r="C3017" s="6" t="s">
        <v>53</v>
      </c>
      <c r="D3017" s="5">
        <v>44940</v>
      </c>
    </row>
    <row r="3018" spans="2:4">
      <c r="B3018" s="6" t="s">
        <v>383</v>
      </c>
      <c r="C3018" s="6" t="s">
        <v>424</v>
      </c>
      <c r="D3018" s="5">
        <v>44940</v>
      </c>
    </row>
    <row r="3019" spans="2:4">
      <c r="B3019" s="6" t="s">
        <v>184</v>
      </c>
      <c r="C3019" s="6" t="s">
        <v>348</v>
      </c>
      <c r="D3019" s="5">
        <v>44940</v>
      </c>
    </row>
    <row r="3020" spans="2:4">
      <c r="B3020" s="6" t="s">
        <v>331</v>
      </c>
      <c r="C3020" s="6" t="s">
        <v>330</v>
      </c>
      <c r="D3020" s="5">
        <v>44940</v>
      </c>
    </row>
    <row r="3021" spans="2:4">
      <c r="B3021" s="6" t="s">
        <v>83</v>
      </c>
      <c r="C3021" s="6" t="s">
        <v>763</v>
      </c>
      <c r="D3021" s="5">
        <v>44940</v>
      </c>
    </row>
    <row r="3022" spans="2:4">
      <c r="B3022" s="6" t="s">
        <v>615</v>
      </c>
      <c r="C3022" s="6" t="s">
        <v>250</v>
      </c>
      <c r="D3022" s="5">
        <v>44940</v>
      </c>
    </row>
    <row r="3023" spans="2:4">
      <c r="B3023" s="6" t="s">
        <v>392</v>
      </c>
      <c r="C3023" s="6" t="s">
        <v>189</v>
      </c>
      <c r="D3023" s="5">
        <v>44940</v>
      </c>
    </row>
    <row r="3024" spans="2:4">
      <c r="B3024" s="6" t="s">
        <v>399</v>
      </c>
      <c r="C3024" s="6" t="s">
        <v>364</v>
      </c>
      <c r="D3024" s="5">
        <v>44940</v>
      </c>
    </row>
    <row r="3025" spans="2:4">
      <c r="B3025" s="6" t="s">
        <v>375</v>
      </c>
      <c r="C3025" s="6" t="s">
        <v>323</v>
      </c>
      <c r="D3025" s="5">
        <v>44940</v>
      </c>
    </row>
    <row r="3026" spans="2:4">
      <c r="B3026" s="6" t="s">
        <v>607</v>
      </c>
      <c r="C3026" s="6" t="s">
        <v>415</v>
      </c>
      <c r="D3026" s="5">
        <v>44940</v>
      </c>
    </row>
    <row r="3027" spans="2:4">
      <c r="B3027" s="6" t="s">
        <v>427</v>
      </c>
      <c r="C3027" s="6" t="s">
        <v>160</v>
      </c>
      <c r="D3027" s="5">
        <v>44940</v>
      </c>
    </row>
    <row r="3028" spans="2:4">
      <c r="B3028" s="6" t="s">
        <v>157</v>
      </c>
      <c r="C3028" s="6" t="s">
        <v>165</v>
      </c>
      <c r="D3028" s="5">
        <v>44940</v>
      </c>
    </row>
    <row r="3029" spans="2:4">
      <c r="B3029" s="6" t="s">
        <v>190</v>
      </c>
      <c r="C3029" s="6" t="s">
        <v>153</v>
      </c>
      <c r="D3029" s="5">
        <v>44940</v>
      </c>
    </row>
    <row r="3030" spans="2:4">
      <c r="B3030" s="6" t="s">
        <v>132</v>
      </c>
      <c r="C3030" s="6" t="s">
        <v>161</v>
      </c>
      <c r="D3030" s="5">
        <v>44940</v>
      </c>
    </row>
    <row r="3031" spans="2:4">
      <c r="B3031" s="6" t="s">
        <v>159</v>
      </c>
      <c r="C3031" s="6" t="s">
        <v>381</v>
      </c>
      <c r="D3031" s="5">
        <v>44940</v>
      </c>
    </row>
    <row r="3032" spans="2:4">
      <c r="B3032" s="6" t="s">
        <v>404</v>
      </c>
      <c r="C3032" s="6" t="s">
        <v>398</v>
      </c>
      <c r="D3032" s="5">
        <v>44940</v>
      </c>
    </row>
    <row r="3033" spans="2:4">
      <c r="B3033" s="6" t="s">
        <v>423</v>
      </c>
      <c r="C3033" s="6" t="s">
        <v>154</v>
      </c>
      <c r="D3033" s="5">
        <v>44940</v>
      </c>
    </row>
    <row r="3034" spans="2:4">
      <c r="B3034" s="6" t="s">
        <v>402</v>
      </c>
      <c r="C3034" s="6" t="s">
        <v>426</v>
      </c>
      <c r="D3034" s="5">
        <v>44940</v>
      </c>
    </row>
    <row r="3035" spans="2:4">
      <c r="B3035" s="6" t="s">
        <v>74</v>
      </c>
      <c r="C3035" s="6" t="s">
        <v>77</v>
      </c>
      <c r="D3035" s="5">
        <v>44940</v>
      </c>
    </row>
    <row r="3036" spans="2:4">
      <c r="B3036" s="6" t="s">
        <v>152</v>
      </c>
      <c r="C3036" s="6" t="s">
        <v>162</v>
      </c>
      <c r="D3036" s="5">
        <v>44940</v>
      </c>
    </row>
    <row r="3037" spans="2:4">
      <c r="B3037" s="6" t="s">
        <v>428</v>
      </c>
      <c r="C3037" s="6" t="s">
        <v>420</v>
      </c>
      <c r="D3037" s="5">
        <v>44940</v>
      </c>
    </row>
    <row r="3038" spans="2:4">
      <c r="B3038" s="6" t="s">
        <v>59</v>
      </c>
      <c r="C3038" s="6" t="s">
        <v>68</v>
      </c>
      <c r="D3038" s="5">
        <v>44941</v>
      </c>
    </row>
    <row r="3039" spans="2:4">
      <c r="B3039" s="6" t="s">
        <v>61</v>
      </c>
      <c r="C3039" s="6" t="s">
        <v>56</v>
      </c>
      <c r="D3039" s="5">
        <v>44941</v>
      </c>
    </row>
    <row r="3040" spans="2:4">
      <c r="B3040" s="6" t="s">
        <v>64</v>
      </c>
      <c r="C3040" s="6" t="s">
        <v>777</v>
      </c>
      <c r="D3040" s="5">
        <v>44941</v>
      </c>
    </row>
    <row r="3041" spans="2:4">
      <c r="B3041" s="6" t="s">
        <v>732</v>
      </c>
      <c r="C3041" s="6" t="s">
        <v>302</v>
      </c>
      <c r="D3041" s="5">
        <v>44941</v>
      </c>
    </row>
    <row r="3042" spans="2:4">
      <c r="B3042" s="6" t="s">
        <v>39</v>
      </c>
      <c r="C3042" s="6" t="s">
        <v>37</v>
      </c>
      <c r="D3042" s="5">
        <v>44941</v>
      </c>
    </row>
    <row r="3043" spans="2:4">
      <c r="B3043" s="6" t="s">
        <v>275</v>
      </c>
      <c r="C3043" s="6" t="s">
        <v>231</v>
      </c>
      <c r="D3043" s="5">
        <v>44941</v>
      </c>
    </row>
    <row r="3044" spans="2:4">
      <c r="B3044" s="6" t="s">
        <v>204</v>
      </c>
      <c r="C3044" s="6" t="s">
        <v>361</v>
      </c>
      <c r="D3044" s="5">
        <v>44941</v>
      </c>
    </row>
    <row r="3045" spans="2:4">
      <c r="B3045" s="6" t="s">
        <v>285</v>
      </c>
      <c r="C3045" s="6" t="s">
        <v>117</v>
      </c>
      <c r="D3045" s="5">
        <v>44941</v>
      </c>
    </row>
    <row r="3046" spans="2:4">
      <c r="B3046" s="6" t="s">
        <v>211</v>
      </c>
      <c r="C3046" s="6" t="s">
        <v>130</v>
      </c>
      <c r="D3046" s="5">
        <v>44941</v>
      </c>
    </row>
    <row r="3047" spans="2:4">
      <c r="B3047" s="6" t="s">
        <v>244</v>
      </c>
      <c r="C3047" s="6" t="s">
        <v>112</v>
      </c>
      <c r="D3047" s="5">
        <v>44941</v>
      </c>
    </row>
    <row r="3048" spans="2:4">
      <c r="B3048" s="6" t="s">
        <v>233</v>
      </c>
      <c r="C3048" s="6" t="s">
        <v>216</v>
      </c>
      <c r="D3048" s="5">
        <v>44941</v>
      </c>
    </row>
    <row r="3049" spans="2:4">
      <c r="B3049" s="6" t="s">
        <v>145</v>
      </c>
      <c r="C3049" s="6" t="s">
        <v>144</v>
      </c>
      <c r="D3049" s="5">
        <v>44941</v>
      </c>
    </row>
    <row r="3050" spans="2:4">
      <c r="B3050" s="6" t="s">
        <v>320</v>
      </c>
      <c r="C3050" s="6" t="s">
        <v>325</v>
      </c>
      <c r="D3050" s="5">
        <v>44941</v>
      </c>
    </row>
    <row r="3051" spans="2:4">
      <c r="B3051" s="6" t="s">
        <v>96</v>
      </c>
      <c r="C3051" s="6" t="s">
        <v>279</v>
      </c>
      <c r="D3051" s="5">
        <v>44942</v>
      </c>
    </row>
    <row r="3052" spans="2:4">
      <c r="B3052" s="6" t="s">
        <v>249</v>
      </c>
      <c r="C3052" s="6" t="s">
        <v>364</v>
      </c>
      <c r="D3052" s="5">
        <v>44942</v>
      </c>
    </row>
    <row r="3053" spans="2:4">
      <c r="B3053" s="6" t="s">
        <v>428</v>
      </c>
      <c r="C3053" s="6" t="s">
        <v>599</v>
      </c>
      <c r="D3053" s="5">
        <v>44942</v>
      </c>
    </row>
    <row r="3054" spans="2:4">
      <c r="B3054" s="6" t="s">
        <v>167</v>
      </c>
      <c r="C3054" s="6" t="s">
        <v>423</v>
      </c>
      <c r="D3054" s="5">
        <v>44942</v>
      </c>
    </row>
    <row r="3055" spans="2:4">
      <c r="B3055" s="6" t="s">
        <v>35</v>
      </c>
      <c r="C3055" s="6" t="s">
        <v>41</v>
      </c>
      <c r="D3055" s="5">
        <v>44942</v>
      </c>
    </row>
    <row r="3056" spans="2:4">
      <c r="B3056" s="6" t="s">
        <v>123</v>
      </c>
      <c r="C3056" s="6" t="s">
        <v>178</v>
      </c>
      <c r="D3056" s="5">
        <v>44942</v>
      </c>
    </row>
    <row r="3057" spans="2:4">
      <c r="B3057" s="6" t="s">
        <v>138</v>
      </c>
      <c r="C3057" s="6" t="s">
        <v>125</v>
      </c>
      <c r="D3057" s="5">
        <v>44942</v>
      </c>
    </row>
    <row r="3058" spans="2:4">
      <c r="B3058" s="6" t="s">
        <v>108</v>
      </c>
      <c r="C3058" s="6" t="s">
        <v>351</v>
      </c>
      <c r="D3058" s="5">
        <v>44942</v>
      </c>
    </row>
    <row r="3059" spans="2:4">
      <c r="B3059" s="6" t="s">
        <v>210</v>
      </c>
      <c r="C3059" s="6" t="s">
        <v>334</v>
      </c>
      <c r="D3059" s="5">
        <v>44942</v>
      </c>
    </row>
    <row r="3060" spans="2:4">
      <c r="B3060" s="6" t="s">
        <v>336</v>
      </c>
      <c r="C3060" s="6" t="s">
        <v>338</v>
      </c>
      <c r="D3060" s="5">
        <v>44942</v>
      </c>
    </row>
    <row r="3061" spans="2:4">
      <c r="B3061" s="6" t="s">
        <v>761</v>
      </c>
      <c r="C3061" s="6" t="s">
        <v>58</v>
      </c>
      <c r="D3061" s="5">
        <v>44942</v>
      </c>
    </row>
    <row r="3062" spans="2:4">
      <c r="B3062" s="6" t="s">
        <v>182</v>
      </c>
      <c r="C3062" s="6" t="s">
        <v>376</v>
      </c>
      <c r="D3062" s="5">
        <v>44942</v>
      </c>
    </row>
    <row r="3063" spans="2:4">
      <c r="B3063" s="6" t="s">
        <v>281</v>
      </c>
      <c r="C3063" s="6" t="s">
        <v>337</v>
      </c>
      <c r="D3063" s="5">
        <v>44942</v>
      </c>
    </row>
    <row r="3064" spans="2:4">
      <c r="B3064" s="6" t="s">
        <v>301</v>
      </c>
      <c r="C3064" s="6" t="s">
        <v>122</v>
      </c>
      <c r="D3064" s="5">
        <v>44942</v>
      </c>
    </row>
    <row r="3065" spans="2:4">
      <c r="B3065" s="6" t="s">
        <v>100</v>
      </c>
      <c r="C3065" s="6" t="s">
        <v>107</v>
      </c>
      <c r="D3065" s="5">
        <v>44942</v>
      </c>
    </row>
    <row r="3066" spans="2:4">
      <c r="B3066" s="6" t="s">
        <v>432</v>
      </c>
      <c r="C3066" s="6" t="s">
        <v>413</v>
      </c>
      <c r="D3066" s="5">
        <v>44942</v>
      </c>
    </row>
    <row r="3067" spans="2:4">
      <c r="B3067" s="6" t="s">
        <v>63</v>
      </c>
      <c r="C3067" s="6" t="s">
        <v>60</v>
      </c>
      <c r="D3067" s="5">
        <v>44942</v>
      </c>
    </row>
    <row r="3068" spans="2:4">
      <c r="B3068" s="6" t="s">
        <v>272</v>
      </c>
      <c r="C3068" s="6" t="s">
        <v>118</v>
      </c>
      <c r="D3068" s="5">
        <v>44942</v>
      </c>
    </row>
    <row r="3069" spans="2:4">
      <c r="B3069" s="6" t="s">
        <v>236</v>
      </c>
      <c r="C3069" s="6" t="s">
        <v>141</v>
      </c>
      <c r="D3069" s="5">
        <v>44942</v>
      </c>
    </row>
    <row r="3070" spans="2:4">
      <c r="B3070" s="6" t="s">
        <v>580</v>
      </c>
      <c r="C3070" s="6" t="s">
        <v>114</v>
      </c>
      <c r="D3070" s="5">
        <v>44942</v>
      </c>
    </row>
    <row r="3071" spans="2:4">
      <c r="B3071" s="6" t="s">
        <v>274</v>
      </c>
      <c r="C3071" s="6" t="s">
        <v>135</v>
      </c>
      <c r="D3071" s="5">
        <v>44942</v>
      </c>
    </row>
    <row r="3072" spans="2:4">
      <c r="B3072" s="6" t="s">
        <v>313</v>
      </c>
      <c r="C3072" s="6" t="s">
        <v>421</v>
      </c>
      <c r="D3072" s="5">
        <v>44942</v>
      </c>
    </row>
    <row r="3073" spans="2:4">
      <c r="B3073" s="6" t="s">
        <v>48</v>
      </c>
      <c r="C3073" s="6" t="s">
        <v>47</v>
      </c>
      <c r="D3073" s="5">
        <v>44942</v>
      </c>
    </row>
    <row r="3074" spans="2:4">
      <c r="B3074" s="6" t="s">
        <v>419</v>
      </c>
      <c r="C3074" s="6" t="s">
        <v>97</v>
      </c>
      <c r="D3074" s="5">
        <v>44942</v>
      </c>
    </row>
    <row r="3075" spans="2:4">
      <c r="B3075" s="6" t="s">
        <v>590</v>
      </c>
      <c r="C3075" s="6" t="s">
        <v>410</v>
      </c>
      <c r="D3075" s="5">
        <v>44942</v>
      </c>
    </row>
    <row r="3076" spans="2:4">
      <c r="B3076" s="6" t="s">
        <v>175</v>
      </c>
      <c r="C3076" s="6" t="s">
        <v>98</v>
      </c>
      <c r="D3076" s="5">
        <v>44942</v>
      </c>
    </row>
    <row r="3077" spans="2:4">
      <c r="B3077" s="6" t="s">
        <v>405</v>
      </c>
      <c r="C3077" s="6" t="s">
        <v>587</v>
      </c>
      <c r="D3077" s="5">
        <v>44942</v>
      </c>
    </row>
    <row r="3078" spans="2:4">
      <c r="B3078" s="6" t="s">
        <v>296</v>
      </c>
      <c r="C3078" s="6" t="s">
        <v>397</v>
      </c>
      <c r="D3078" s="5">
        <v>44942</v>
      </c>
    </row>
    <row r="3079" spans="2:4">
      <c r="B3079" s="6" t="s">
        <v>179</v>
      </c>
      <c r="C3079" s="6" t="s">
        <v>268</v>
      </c>
      <c r="D3079" s="5">
        <v>44942</v>
      </c>
    </row>
    <row r="3080" spans="2:4">
      <c r="B3080" s="6" t="s">
        <v>327</v>
      </c>
      <c r="C3080" s="6" t="s">
        <v>129</v>
      </c>
      <c r="D3080" s="5">
        <v>44942</v>
      </c>
    </row>
    <row r="3081" spans="2:4">
      <c r="B3081" s="6" t="s">
        <v>170</v>
      </c>
      <c r="C3081" s="6" t="s">
        <v>303</v>
      </c>
      <c r="D3081" s="5">
        <v>44942</v>
      </c>
    </row>
    <row r="3082" spans="2:4">
      <c r="B3082" s="6" t="s">
        <v>232</v>
      </c>
      <c r="C3082" s="6" t="s">
        <v>332</v>
      </c>
      <c r="D3082" s="5">
        <v>44942</v>
      </c>
    </row>
    <row r="3083" spans="2:4">
      <c r="B3083" s="6" t="s">
        <v>368</v>
      </c>
      <c r="C3083" s="6" t="s">
        <v>143</v>
      </c>
      <c r="D3083" s="5">
        <v>44942</v>
      </c>
    </row>
    <row r="3084" spans="2:4">
      <c r="B3084" s="6" t="s">
        <v>154</v>
      </c>
      <c r="C3084" s="6" t="s">
        <v>207</v>
      </c>
      <c r="D3084" s="5">
        <v>44942</v>
      </c>
    </row>
    <row r="3085" spans="2:4">
      <c r="B3085" s="6" t="s">
        <v>399</v>
      </c>
      <c r="C3085" s="6" t="s">
        <v>156</v>
      </c>
      <c r="D3085" s="5">
        <v>44942</v>
      </c>
    </row>
    <row r="3086" spans="2:4">
      <c r="B3086" s="6" t="s">
        <v>242</v>
      </c>
      <c r="C3086" s="6" t="s">
        <v>195</v>
      </c>
      <c r="D3086" s="5">
        <v>44942</v>
      </c>
    </row>
    <row r="3087" spans="2:4">
      <c r="B3087" s="6" t="s">
        <v>158</v>
      </c>
      <c r="C3087" s="6" t="s">
        <v>391</v>
      </c>
      <c r="D3087" s="5">
        <v>44942</v>
      </c>
    </row>
    <row r="3088" spans="2:4">
      <c r="B3088" s="6" t="s">
        <v>393</v>
      </c>
      <c r="C3088" s="6" t="s">
        <v>190</v>
      </c>
      <c r="D3088" s="5">
        <v>44942</v>
      </c>
    </row>
    <row r="3089" spans="2:4">
      <c r="B3089" s="6" t="s">
        <v>621</v>
      </c>
      <c r="C3089" s="6" t="s">
        <v>586</v>
      </c>
      <c r="D3089" s="5">
        <v>44942</v>
      </c>
    </row>
    <row r="3090" spans="2:4">
      <c r="B3090" s="6" t="s">
        <v>203</v>
      </c>
      <c r="C3090" s="6" t="s">
        <v>288</v>
      </c>
      <c r="D3090" s="5">
        <v>44943</v>
      </c>
    </row>
    <row r="3091" spans="2:4">
      <c r="B3091" s="6" t="s">
        <v>90</v>
      </c>
      <c r="C3091" s="6" t="s">
        <v>762</v>
      </c>
      <c r="D3091" s="5">
        <v>44943</v>
      </c>
    </row>
    <row r="3092" spans="2:4">
      <c r="B3092" s="6" t="s">
        <v>251</v>
      </c>
      <c r="C3092" s="6" t="s">
        <v>54</v>
      </c>
      <c r="D3092" s="5">
        <v>44943</v>
      </c>
    </row>
    <row r="3093" spans="2:4">
      <c r="B3093" s="6" t="s">
        <v>221</v>
      </c>
      <c r="C3093" s="6" t="s">
        <v>212</v>
      </c>
      <c r="D3093" s="5">
        <v>44943</v>
      </c>
    </row>
    <row r="3094" spans="2:4">
      <c r="B3094" s="6" t="s">
        <v>750</v>
      </c>
      <c r="C3094" s="6" t="s">
        <v>26</v>
      </c>
      <c r="D3094" s="5">
        <v>44943</v>
      </c>
    </row>
    <row r="3095" spans="2:4">
      <c r="B3095" s="6" t="s">
        <v>42</v>
      </c>
      <c r="C3095" s="6" t="s">
        <v>38</v>
      </c>
      <c r="D3095" s="5">
        <v>44943</v>
      </c>
    </row>
    <row r="3096" spans="2:4">
      <c r="B3096" s="6" t="s">
        <v>763</v>
      </c>
      <c r="C3096" s="6" t="s">
        <v>86</v>
      </c>
      <c r="D3096" s="5">
        <v>44943</v>
      </c>
    </row>
    <row r="3097" spans="2:4">
      <c r="B3097" s="6" t="s">
        <v>214</v>
      </c>
      <c r="C3097" s="6" t="s">
        <v>199</v>
      </c>
      <c r="D3097" s="5">
        <v>44943</v>
      </c>
    </row>
    <row r="3098" spans="2:4">
      <c r="B3098" s="6" t="s">
        <v>139</v>
      </c>
      <c r="C3098" s="6" t="s">
        <v>280</v>
      </c>
      <c r="D3098" s="5">
        <v>44943</v>
      </c>
    </row>
    <row r="3099" spans="2:4">
      <c r="B3099" s="6" t="s">
        <v>50</v>
      </c>
      <c r="C3099" s="6" t="s">
        <v>770</v>
      </c>
      <c r="D3099" s="5">
        <v>44943</v>
      </c>
    </row>
    <row r="3100" spans="2:4">
      <c r="B3100" s="6" t="s">
        <v>46</v>
      </c>
      <c r="C3100" s="6" t="s">
        <v>737</v>
      </c>
      <c r="D3100" s="5">
        <v>44943</v>
      </c>
    </row>
    <row r="3101" spans="2:4">
      <c r="B3101" s="6" t="s">
        <v>200</v>
      </c>
      <c r="C3101" s="6" t="s">
        <v>124</v>
      </c>
      <c r="D3101" s="5">
        <v>44943</v>
      </c>
    </row>
    <row r="3102" spans="2:4">
      <c r="B3102" s="6" t="s">
        <v>121</v>
      </c>
      <c r="C3102" s="6" t="s">
        <v>300</v>
      </c>
      <c r="D3102" s="5">
        <v>44943</v>
      </c>
    </row>
    <row r="3103" spans="2:4">
      <c r="B3103" s="6" t="s">
        <v>140</v>
      </c>
      <c r="C3103" s="6" t="s">
        <v>127</v>
      </c>
      <c r="D3103" s="5">
        <v>44943</v>
      </c>
    </row>
    <row r="3104" spans="2:4">
      <c r="B3104" s="6" t="s">
        <v>247</v>
      </c>
      <c r="C3104" s="6" t="s">
        <v>180</v>
      </c>
      <c r="D3104" s="5">
        <v>44943</v>
      </c>
    </row>
    <row r="3105" spans="2:4">
      <c r="B3105" s="6" t="s">
        <v>362</v>
      </c>
      <c r="C3105" s="6" t="s">
        <v>105</v>
      </c>
      <c r="D3105" s="5">
        <v>44943</v>
      </c>
    </row>
    <row r="3106" spans="2:4">
      <c r="B3106" s="6" t="s">
        <v>109</v>
      </c>
      <c r="C3106" s="6" t="s">
        <v>414</v>
      </c>
      <c r="D3106" s="5">
        <v>44943</v>
      </c>
    </row>
    <row r="3107" spans="2:4">
      <c r="B3107" s="6" t="s">
        <v>209</v>
      </c>
      <c r="C3107" s="6" t="s">
        <v>400</v>
      </c>
      <c r="D3107" s="5">
        <v>44943</v>
      </c>
    </row>
    <row r="3108" spans="2:4">
      <c r="B3108" s="6" t="s">
        <v>747</v>
      </c>
      <c r="C3108" s="6" t="s">
        <v>30</v>
      </c>
      <c r="D3108" s="5">
        <v>44943</v>
      </c>
    </row>
    <row r="3109" spans="2:4">
      <c r="B3109" s="6" t="s">
        <v>241</v>
      </c>
      <c r="C3109" s="6" t="s">
        <v>213</v>
      </c>
      <c r="D3109" s="5">
        <v>44943</v>
      </c>
    </row>
    <row r="3110" spans="2:4">
      <c r="B3110" s="6" t="s">
        <v>185</v>
      </c>
      <c r="C3110" s="6" t="s">
        <v>82</v>
      </c>
      <c r="D3110" s="5">
        <v>44943</v>
      </c>
    </row>
    <row r="3111" spans="2:4">
      <c r="B3111" s="6" t="s">
        <v>65</v>
      </c>
      <c r="C3111" s="6" t="s">
        <v>781</v>
      </c>
      <c r="D3111" s="5">
        <v>44943</v>
      </c>
    </row>
    <row r="3112" spans="2:4">
      <c r="B3112" s="6" t="s">
        <v>80</v>
      </c>
      <c r="C3112" s="6" t="s">
        <v>89</v>
      </c>
      <c r="D3112" s="5">
        <v>44943</v>
      </c>
    </row>
    <row r="3113" spans="2:4">
      <c r="B3113" s="6" t="s">
        <v>27</v>
      </c>
      <c r="C3113" s="6" t="s">
        <v>28</v>
      </c>
      <c r="D3113" s="5">
        <v>44943</v>
      </c>
    </row>
    <row r="3114" spans="2:4">
      <c r="B3114" s="6" t="s">
        <v>186</v>
      </c>
      <c r="C3114" s="6" t="s">
        <v>312</v>
      </c>
      <c r="D3114" s="5">
        <v>44943</v>
      </c>
    </row>
    <row r="3115" spans="2:4">
      <c r="B3115" s="6" t="s">
        <v>53</v>
      </c>
      <c r="C3115" s="6" t="s">
        <v>51</v>
      </c>
      <c r="D3115" s="5">
        <v>44943</v>
      </c>
    </row>
    <row r="3116" spans="2:4">
      <c r="B3116" s="6" t="s">
        <v>198</v>
      </c>
      <c r="C3116" s="6" t="s">
        <v>152</v>
      </c>
      <c r="D3116" s="5">
        <v>44943</v>
      </c>
    </row>
    <row r="3117" spans="2:4">
      <c r="B3117" s="6" t="s">
        <v>168</v>
      </c>
      <c r="C3117" s="6" t="s">
        <v>163</v>
      </c>
      <c r="D3117" s="5">
        <v>44943</v>
      </c>
    </row>
    <row r="3118" spans="2:4">
      <c r="B3118" s="6" t="s">
        <v>189</v>
      </c>
      <c r="C3118" s="6" t="s">
        <v>433</v>
      </c>
      <c r="D3118" s="5">
        <v>44943</v>
      </c>
    </row>
    <row r="3119" spans="2:4">
      <c r="B3119" s="6" t="s">
        <v>162</v>
      </c>
      <c r="C3119" s="6" t="s">
        <v>169</v>
      </c>
      <c r="D3119" s="5">
        <v>44943</v>
      </c>
    </row>
    <row r="3120" spans="2:4">
      <c r="B3120" s="6" t="s">
        <v>131</v>
      </c>
      <c r="C3120" s="6" t="s">
        <v>176</v>
      </c>
      <c r="D3120" s="5">
        <v>44944</v>
      </c>
    </row>
    <row r="3121" spans="2:4">
      <c r="B3121" s="6" t="s">
        <v>395</v>
      </c>
      <c r="C3121" s="6" t="s">
        <v>425</v>
      </c>
      <c r="D3121" s="5">
        <v>44944</v>
      </c>
    </row>
    <row r="3122" spans="2:4">
      <c r="B3122" s="6" t="s">
        <v>238</v>
      </c>
      <c r="C3122" s="6" t="s">
        <v>122</v>
      </c>
      <c r="D3122" s="5">
        <v>44944</v>
      </c>
    </row>
    <row r="3123" spans="2:4">
      <c r="B3123" s="6" t="s">
        <v>148</v>
      </c>
      <c r="C3123" s="6" t="s">
        <v>113</v>
      </c>
      <c r="D3123" s="5">
        <v>44944</v>
      </c>
    </row>
    <row r="3124" spans="2:4">
      <c r="B3124" s="6" t="s">
        <v>36</v>
      </c>
      <c r="C3124" s="6" t="s">
        <v>732</v>
      </c>
      <c r="D3124" s="5">
        <v>44944</v>
      </c>
    </row>
    <row r="3125" spans="2:4">
      <c r="B3125" s="6" t="s">
        <v>32</v>
      </c>
      <c r="C3125" s="6" t="s">
        <v>34</v>
      </c>
      <c r="D3125" s="5">
        <v>44944</v>
      </c>
    </row>
    <row r="3126" spans="2:4">
      <c r="B3126" s="6" t="s">
        <v>81</v>
      </c>
      <c r="C3126" s="6" t="s">
        <v>83</v>
      </c>
      <c r="D3126" s="5">
        <v>44944</v>
      </c>
    </row>
    <row r="3127" spans="2:4">
      <c r="B3127" s="6" t="s">
        <v>188</v>
      </c>
      <c r="C3127" s="6" t="s">
        <v>52</v>
      </c>
      <c r="D3127" s="5">
        <v>44944</v>
      </c>
    </row>
    <row r="3128" spans="2:4">
      <c r="B3128" s="6" t="s">
        <v>231</v>
      </c>
      <c r="C3128" s="6" t="s">
        <v>187</v>
      </c>
      <c r="D3128" s="5">
        <v>44944</v>
      </c>
    </row>
    <row r="3129" spans="2:4">
      <c r="B3129" s="6" t="s">
        <v>145</v>
      </c>
      <c r="C3129" s="6" t="s">
        <v>275</v>
      </c>
      <c r="D3129" s="5">
        <v>44944</v>
      </c>
    </row>
    <row r="3130" spans="2:4">
      <c r="B3130" s="6" t="s">
        <v>360</v>
      </c>
      <c r="C3130" s="6" t="s">
        <v>137</v>
      </c>
      <c r="D3130" s="5">
        <v>44944</v>
      </c>
    </row>
    <row r="3131" spans="2:4">
      <c r="B3131" s="6" t="s">
        <v>325</v>
      </c>
      <c r="C3131" s="6" t="s">
        <v>119</v>
      </c>
      <c r="D3131" s="5">
        <v>44944</v>
      </c>
    </row>
    <row r="3132" spans="2:4">
      <c r="B3132" s="6" t="s">
        <v>43</v>
      </c>
      <c r="C3132" s="6" t="s">
        <v>49</v>
      </c>
      <c r="D3132" s="5">
        <v>44944</v>
      </c>
    </row>
    <row r="3133" spans="2:4">
      <c r="B3133" s="6" t="s">
        <v>220</v>
      </c>
      <c r="C3133" s="6" t="s">
        <v>278</v>
      </c>
      <c r="D3133" s="5">
        <v>44944</v>
      </c>
    </row>
    <row r="3134" spans="2:4">
      <c r="B3134" s="6" t="s">
        <v>67</v>
      </c>
      <c r="C3134" s="6" t="s">
        <v>777</v>
      </c>
      <c r="D3134" s="5">
        <v>44944</v>
      </c>
    </row>
    <row r="3135" spans="2:4">
      <c r="B3135" s="6" t="s">
        <v>91</v>
      </c>
      <c r="C3135" s="6" t="s">
        <v>79</v>
      </c>
      <c r="D3135" s="5">
        <v>44944</v>
      </c>
    </row>
    <row r="3136" spans="2:4">
      <c r="B3136" s="6" t="s">
        <v>350</v>
      </c>
      <c r="C3136" s="6" t="s">
        <v>133</v>
      </c>
      <c r="D3136" s="5">
        <v>44944</v>
      </c>
    </row>
    <row r="3137" spans="2:4">
      <c r="B3137" s="6" t="s">
        <v>252</v>
      </c>
      <c r="C3137" s="6" t="s">
        <v>284</v>
      </c>
      <c r="D3137" s="5">
        <v>44944</v>
      </c>
    </row>
    <row r="3138" spans="2:4">
      <c r="B3138" s="6" t="s">
        <v>273</v>
      </c>
      <c r="C3138" s="6" t="s">
        <v>192</v>
      </c>
      <c r="D3138" s="5">
        <v>44944</v>
      </c>
    </row>
    <row r="3139" spans="2:4">
      <c r="B3139" s="6" t="s">
        <v>110</v>
      </c>
      <c r="C3139" s="6" t="s">
        <v>191</v>
      </c>
      <c r="D3139" s="5">
        <v>44944</v>
      </c>
    </row>
    <row r="3140" spans="2:4">
      <c r="B3140" s="6" t="s">
        <v>270</v>
      </c>
      <c r="C3140" s="6" t="s">
        <v>297</v>
      </c>
      <c r="D3140" s="5">
        <v>44944</v>
      </c>
    </row>
    <row r="3141" spans="2:4">
      <c r="B3141" s="6" t="s">
        <v>298</v>
      </c>
      <c r="C3141" s="6" t="s">
        <v>202</v>
      </c>
      <c r="D3141" s="5">
        <v>44944</v>
      </c>
    </row>
    <row r="3142" spans="2:4">
      <c r="B3142" s="6" t="s">
        <v>287</v>
      </c>
      <c r="C3142" s="6" t="s">
        <v>103</v>
      </c>
      <c r="D3142" s="5">
        <v>44944</v>
      </c>
    </row>
    <row r="3143" spans="2:4">
      <c r="B3143" s="6" t="s">
        <v>436</v>
      </c>
      <c r="C3143" s="6" t="s">
        <v>102</v>
      </c>
      <c r="D3143" s="5">
        <v>44944</v>
      </c>
    </row>
    <row r="3144" spans="2:4">
      <c r="B3144" s="6" t="s">
        <v>104</v>
      </c>
      <c r="C3144" s="6" t="s">
        <v>111</v>
      </c>
      <c r="D3144" s="5">
        <v>44944</v>
      </c>
    </row>
    <row r="3145" spans="2:4">
      <c r="B3145" s="6" t="s">
        <v>95</v>
      </c>
      <c r="C3145" s="6" t="s">
        <v>341</v>
      </c>
      <c r="D3145" s="5">
        <v>44944</v>
      </c>
    </row>
    <row r="3146" spans="2:4">
      <c r="B3146" s="6" t="s">
        <v>318</v>
      </c>
      <c r="C3146" s="6" t="s">
        <v>326</v>
      </c>
      <c r="D3146" s="5">
        <v>44944</v>
      </c>
    </row>
    <row r="3147" spans="2:4">
      <c r="B3147" s="6" t="s">
        <v>363</v>
      </c>
      <c r="C3147" s="6" t="s">
        <v>320</v>
      </c>
      <c r="D3147" s="5">
        <v>44944</v>
      </c>
    </row>
    <row r="3148" spans="2:4">
      <c r="B3148" s="6" t="s">
        <v>383</v>
      </c>
      <c r="C3148" s="6" t="s">
        <v>345</v>
      </c>
      <c r="D3148" s="5">
        <v>44944</v>
      </c>
    </row>
    <row r="3149" spans="2:4">
      <c r="B3149" s="6" t="s">
        <v>355</v>
      </c>
      <c r="C3149" s="6" t="s">
        <v>173</v>
      </c>
      <c r="D3149" s="5">
        <v>44944</v>
      </c>
    </row>
    <row r="3150" spans="2:4">
      <c r="B3150" s="6" t="s">
        <v>155</v>
      </c>
      <c r="C3150" s="6" t="s">
        <v>39</v>
      </c>
      <c r="D3150" s="5">
        <v>44944</v>
      </c>
    </row>
    <row r="3151" spans="2:4">
      <c r="B3151" s="6" t="s">
        <v>87</v>
      </c>
      <c r="C3151" s="6" t="s">
        <v>84</v>
      </c>
      <c r="D3151" s="5">
        <v>44944</v>
      </c>
    </row>
    <row r="3152" spans="2:4">
      <c r="B3152" s="6" t="s">
        <v>778</v>
      </c>
      <c r="C3152" s="6" t="s">
        <v>29</v>
      </c>
      <c r="D3152" s="5">
        <v>44944</v>
      </c>
    </row>
    <row r="3153" spans="2:4">
      <c r="B3153" s="6" t="s">
        <v>37</v>
      </c>
      <c r="C3153" s="6" t="s">
        <v>40</v>
      </c>
      <c r="D3153" s="5">
        <v>44944</v>
      </c>
    </row>
    <row r="3154" spans="2:4">
      <c r="B3154" s="6" t="s">
        <v>61</v>
      </c>
      <c r="C3154" s="6" t="s">
        <v>68</v>
      </c>
      <c r="D3154" s="5">
        <v>44944</v>
      </c>
    </row>
    <row r="3155" spans="2:4">
      <c r="B3155" s="6" t="s">
        <v>381</v>
      </c>
      <c r="C3155" s="6" t="s">
        <v>607</v>
      </c>
      <c r="D3155" s="5">
        <v>44944</v>
      </c>
    </row>
    <row r="3156" spans="2:4">
      <c r="B3156" s="6" t="s">
        <v>164</v>
      </c>
      <c r="C3156" s="6" t="s">
        <v>69</v>
      </c>
      <c r="D3156" s="5">
        <v>44944</v>
      </c>
    </row>
    <row r="3157" spans="2:4">
      <c r="B3157" s="6" t="s">
        <v>386</v>
      </c>
      <c r="C3157" s="6" t="s">
        <v>392</v>
      </c>
      <c r="D3157" s="5">
        <v>44944</v>
      </c>
    </row>
    <row r="3158" spans="2:4">
      <c r="B3158" s="6" t="s">
        <v>132</v>
      </c>
      <c r="C3158" s="6" t="s">
        <v>396</v>
      </c>
      <c r="D3158" s="5">
        <v>44945</v>
      </c>
    </row>
    <row r="3159" spans="2:4">
      <c r="B3159" s="6" t="s">
        <v>269</v>
      </c>
      <c r="C3159" s="6" t="s">
        <v>301</v>
      </c>
      <c r="D3159" s="5">
        <v>44945</v>
      </c>
    </row>
    <row r="3160" spans="2:4">
      <c r="B3160" s="6" t="s">
        <v>292</v>
      </c>
      <c r="C3160" s="6" t="s">
        <v>353</v>
      </c>
      <c r="D3160" s="5">
        <v>44945</v>
      </c>
    </row>
    <row r="3161" spans="2:4">
      <c r="B3161" s="6" t="s">
        <v>761</v>
      </c>
      <c r="C3161" s="6" t="s">
        <v>64</v>
      </c>
      <c r="D3161" s="5">
        <v>44945</v>
      </c>
    </row>
    <row r="3162" spans="2:4">
      <c r="B3162" s="6" t="s">
        <v>56</v>
      </c>
      <c r="C3162" s="6" t="s">
        <v>59</v>
      </c>
      <c r="D3162" s="5">
        <v>44945</v>
      </c>
    </row>
    <row r="3163" spans="2:4">
      <c r="B3163" s="6" t="s">
        <v>144</v>
      </c>
      <c r="C3163" s="6" t="s">
        <v>352</v>
      </c>
      <c r="D3163" s="5">
        <v>44945</v>
      </c>
    </row>
    <row r="3164" spans="2:4">
      <c r="B3164" s="6" t="s">
        <v>205</v>
      </c>
      <c r="C3164" s="6" t="s">
        <v>174</v>
      </c>
      <c r="D3164" s="5">
        <v>44945</v>
      </c>
    </row>
    <row r="3165" spans="2:4">
      <c r="B3165" s="6" t="s">
        <v>106</v>
      </c>
      <c r="C3165" s="6" t="s">
        <v>177</v>
      </c>
      <c r="D3165" s="5">
        <v>44945</v>
      </c>
    </row>
    <row r="3166" spans="2:4">
      <c r="B3166" s="6" t="s">
        <v>215</v>
      </c>
      <c r="C3166" s="6" t="s">
        <v>126</v>
      </c>
      <c r="D3166" s="5">
        <v>44945</v>
      </c>
    </row>
    <row r="3167" spans="2:4">
      <c r="B3167" s="6" t="s">
        <v>242</v>
      </c>
      <c r="C3167" s="6" t="s">
        <v>182</v>
      </c>
      <c r="D3167" s="5">
        <v>44945</v>
      </c>
    </row>
    <row r="3168" spans="2:4">
      <c r="B3168" s="6" t="s">
        <v>63</v>
      </c>
      <c r="C3168" s="6" t="s">
        <v>58</v>
      </c>
      <c r="D3168" s="5">
        <v>44945</v>
      </c>
    </row>
    <row r="3169" spans="2:4">
      <c r="B3169" s="6" t="s">
        <v>267</v>
      </c>
      <c r="C3169" s="6" t="s">
        <v>282</v>
      </c>
      <c r="D3169" s="5">
        <v>44945</v>
      </c>
    </row>
    <row r="3170" spans="2:4">
      <c r="B3170" s="6" t="s">
        <v>261</v>
      </c>
      <c r="C3170" s="6" t="s">
        <v>171</v>
      </c>
      <c r="D3170" s="5">
        <v>44945</v>
      </c>
    </row>
    <row r="3171" spans="2:4">
      <c r="B3171" s="6" t="s">
        <v>194</v>
      </c>
      <c r="C3171" s="6" t="s">
        <v>409</v>
      </c>
      <c r="D3171" s="5">
        <v>44945</v>
      </c>
    </row>
    <row r="3172" spans="2:4">
      <c r="B3172" s="6" t="s">
        <v>289</v>
      </c>
      <c r="C3172" s="6" t="s">
        <v>333</v>
      </c>
      <c r="D3172" s="5">
        <v>44945</v>
      </c>
    </row>
    <row r="3173" spans="2:4">
      <c r="B3173" s="6" t="s">
        <v>136</v>
      </c>
      <c r="C3173" s="6" t="s">
        <v>259</v>
      </c>
      <c r="D3173" s="5">
        <v>44945</v>
      </c>
    </row>
    <row r="3174" spans="2:4">
      <c r="B3174" s="6" t="s">
        <v>294</v>
      </c>
      <c r="C3174" s="6" t="s">
        <v>286</v>
      </c>
      <c r="D3174" s="5">
        <v>44945</v>
      </c>
    </row>
    <row r="3175" spans="2:4">
      <c r="B3175" s="6" t="s">
        <v>172</v>
      </c>
      <c r="C3175" s="6" t="s">
        <v>101</v>
      </c>
      <c r="D3175" s="5">
        <v>44945</v>
      </c>
    </row>
    <row r="3176" spans="2:4">
      <c r="B3176" s="6" t="s">
        <v>266</v>
      </c>
      <c r="C3176" s="6" t="s">
        <v>296</v>
      </c>
      <c r="D3176" s="5">
        <v>44945</v>
      </c>
    </row>
    <row r="3177" spans="2:4">
      <c r="B3177" s="6" t="s">
        <v>256</v>
      </c>
      <c r="C3177" s="6" t="s">
        <v>397</v>
      </c>
      <c r="D3177" s="5">
        <v>44945</v>
      </c>
    </row>
    <row r="3178" spans="2:4">
      <c r="B3178" s="6" t="s">
        <v>99</v>
      </c>
      <c r="C3178" s="6" t="s">
        <v>272</v>
      </c>
      <c r="D3178" s="5">
        <v>44945</v>
      </c>
    </row>
    <row r="3179" spans="2:4">
      <c r="B3179" s="6" t="s">
        <v>178</v>
      </c>
      <c r="C3179" s="6" t="s">
        <v>327</v>
      </c>
      <c r="D3179" s="5">
        <v>44945</v>
      </c>
    </row>
    <row r="3180" spans="2:4">
      <c r="B3180" s="6" t="s">
        <v>115</v>
      </c>
      <c r="C3180" s="6" t="s">
        <v>432</v>
      </c>
      <c r="D3180" s="5">
        <v>44945</v>
      </c>
    </row>
    <row r="3181" spans="2:4">
      <c r="B3181" s="6" t="s">
        <v>118</v>
      </c>
      <c r="C3181" s="6" t="s">
        <v>413</v>
      </c>
      <c r="D3181" s="5">
        <v>44945</v>
      </c>
    </row>
    <row r="3182" spans="2:4">
      <c r="B3182" s="6" t="s">
        <v>146</v>
      </c>
      <c r="C3182" s="6" t="s">
        <v>179</v>
      </c>
      <c r="D3182" s="5">
        <v>44945</v>
      </c>
    </row>
    <row r="3183" spans="2:4">
      <c r="B3183" s="6" t="s">
        <v>268</v>
      </c>
      <c r="C3183" s="6" t="s">
        <v>123</v>
      </c>
      <c r="D3183" s="5">
        <v>44945</v>
      </c>
    </row>
    <row r="3184" spans="2:4">
      <c r="B3184" s="6" t="s">
        <v>142</v>
      </c>
      <c r="C3184" s="6" t="s">
        <v>356</v>
      </c>
      <c r="D3184" s="5">
        <v>44945</v>
      </c>
    </row>
    <row r="3185" spans="2:4">
      <c r="B3185" s="6" t="s">
        <v>354</v>
      </c>
      <c r="C3185" s="6" t="s">
        <v>610</v>
      </c>
      <c r="D3185" s="5">
        <v>44945</v>
      </c>
    </row>
    <row r="3186" spans="2:4">
      <c r="B3186" s="6" t="s">
        <v>120</v>
      </c>
      <c r="C3186" s="6" t="s">
        <v>201</v>
      </c>
      <c r="D3186" s="5">
        <v>44945</v>
      </c>
    </row>
    <row r="3187" spans="2:4">
      <c r="B3187" s="6" t="s">
        <v>147</v>
      </c>
      <c r="C3187" s="6" t="s">
        <v>248</v>
      </c>
      <c r="D3187" s="5">
        <v>44945</v>
      </c>
    </row>
    <row r="3188" spans="2:4">
      <c r="B3188" s="6" t="s">
        <v>415</v>
      </c>
      <c r="C3188" s="6" t="s">
        <v>290</v>
      </c>
      <c r="D3188" s="5">
        <v>44945</v>
      </c>
    </row>
    <row r="3189" spans="2:4">
      <c r="B3189" s="6" t="s">
        <v>368</v>
      </c>
      <c r="C3189" s="6" t="s">
        <v>421</v>
      </c>
      <c r="D3189" s="5">
        <v>44945</v>
      </c>
    </row>
    <row r="3190" spans="2:4">
      <c r="B3190" s="6" t="s">
        <v>135</v>
      </c>
      <c r="C3190" s="6" t="s">
        <v>143</v>
      </c>
      <c r="D3190" s="5">
        <v>44945</v>
      </c>
    </row>
    <row r="3191" spans="2:4">
      <c r="B3191" s="6" t="s">
        <v>319</v>
      </c>
      <c r="C3191" s="6" t="s">
        <v>342</v>
      </c>
      <c r="D3191" s="5">
        <v>44945</v>
      </c>
    </row>
    <row r="3192" spans="2:4">
      <c r="B3192" s="6" t="s">
        <v>134</v>
      </c>
      <c r="C3192" s="6" t="s">
        <v>588</v>
      </c>
      <c r="D3192" s="5">
        <v>44945</v>
      </c>
    </row>
    <row r="3193" spans="2:4">
      <c r="B3193" s="6" t="s">
        <v>94</v>
      </c>
      <c r="C3193" s="6" t="s">
        <v>640</v>
      </c>
      <c r="D3193" s="5">
        <v>44945</v>
      </c>
    </row>
    <row r="3194" spans="2:4">
      <c r="B3194" s="6" t="s">
        <v>584</v>
      </c>
      <c r="C3194" s="6" t="s">
        <v>295</v>
      </c>
      <c r="D3194" s="5">
        <v>44945</v>
      </c>
    </row>
    <row r="3195" spans="2:4">
      <c r="B3195" s="6" t="s">
        <v>323</v>
      </c>
      <c r="C3195" s="6" t="s">
        <v>344</v>
      </c>
      <c r="D3195" s="5">
        <v>44945</v>
      </c>
    </row>
    <row r="3196" spans="2:4">
      <c r="B3196" s="6" t="s">
        <v>316</v>
      </c>
      <c r="C3196" s="6" t="s">
        <v>306</v>
      </c>
      <c r="D3196" s="5">
        <v>44945</v>
      </c>
    </row>
    <row r="3197" spans="2:4">
      <c r="B3197" s="6" t="s">
        <v>367</v>
      </c>
      <c r="C3197" s="6" t="s">
        <v>365</v>
      </c>
      <c r="D3197" s="5">
        <v>44945</v>
      </c>
    </row>
    <row r="3198" spans="2:4">
      <c r="B3198" s="6" t="s">
        <v>150</v>
      </c>
      <c r="C3198" s="6" t="s">
        <v>193</v>
      </c>
      <c r="D3198" s="5">
        <v>44945</v>
      </c>
    </row>
    <row r="3199" spans="2:4">
      <c r="B3199" s="6" t="s">
        <v>359</v>
      </c>
      <c r="C3199" s="6" t="s">
        <v>184</v>
      </c>
      <c r="D3199" s="5">
        <v>44945</v>
      </c>
    </row>
    <row r="3200" spans="2:4">
      <c r="B3200" s="6" t="s">
        <v>196</v>
      </c>
      <c r="C3200" s="6" t="s">
        <v>331</v>
      </c>
      <c r="D3200" s="5">
        <v>44945</v>
      </c>
    </row>
    <row r="3201" spans="2:4">
      <c r="B3201" s="6" t="s">
        <v>385</v>
      </c>
      <c r="C3201" s="6" t="s">
        <v>357</v>
      </c>
      <c r="D3201" s="5">
        <v>44945</v>
      </c>
    </row>
    <row r="3202" spans="2:4">
      <c r="B3202" s="6" t="s">
        <v>208</v>
      </c>
      <c r="C3202" s="6" t="s">
        <v>151</v>
      </c>
      <c r="D3202" s="5">
        <v>44945</v>
      </c>
    </row>
    <row r="3203" spans="2:4">
      <c r="B3203" s="6" t="s">
        <v>321</v>
      </c>
      <c r="C3203" s="6" t="s">
        <v>250</v>
      </c>
      <c r="D3203" s="5">
        <v>44945</v>
      </c>
    </row>
    <row r="3204" spans="2:4">
      <c r="B3204" s="6" t="s">
        <v>324</v>
      </c>
      <c r="C3204" s="6" t="s">
        <v>418</v>
      </c>
      <c r="D3204" s="5">
        <v>44945</v>
      </c>
    </row>
    <row r="3205" spans="2:4">
      <c r="B3205" s="6" t="s">
        <v>358</v>
      </c>
      <c r="C3205" s="6" t="s">
        <v>412</v>
      </c>
      <c r="D3205" s="5">
        <v>44945</v>
      </c>
    </row>
    <row r="3206" spans="2:4">
      <c r="B3206" s="6" t="s">
        <v>403</v>
      </c>
      <c r="C3206" s="6" t="s">
        <v>158</v>
      </c>
      <c r="D3206" s="5">
        <v>44945</v>
      </c>
    </row>
    <row r="3207" spans="2:4">
      <c r="B3207" s="6" t="s">
        <v>426</v>
      </c>
      <c r="C3207" s="6" t="s">
        <v>393</v>
      </c>
      <c r="D3207" s="5">
        <v>44945</v>
      </c>
    </row>
    <row r="3208" spans="2:4">
      <c r="B3208" s="6" t="s">
        <v>128</v>
      </c>
      <c r="C3208" s="6" t="s">
        <v>255</v>
      </c>
      <c r="D3208" s="5">
        <v>44945</v>
      </c>
    </row>
    <row r="3209" spans="2:4">
      <c r="B3209" s="6" t="s">
        <v>60</v>
      </c>
      <c r="C3209" s="6" t="s">
        <v>62</v>
      </c>
      <c r="D3209" s="5">
        <v>44945</v>
      </c>
    </row>
    <row r="3210" spans="2:4">
      <c r="B3210" s="6" t="s">
        <v>183</v>
      </c>
      <c r="C3210" s="6" t="s">
        <v>343</v>
      </c>
      <c r="D3210" s="5">
        <v>44945</v>
      </c>
    </row>
    <row r="3211" spans="2:4">
      <c r="B3211" s="6" t="s">
        <v>370</v>
      </c>
      <c r="C3211" s="6" t="s">
        <v>305</v>
      </c>
      <c r="D3211" s="5">
        <v>44945</v>
      </c>
    </row>
    <row r="3212" spans="2:4">
      <c r="B3212" s="6" t="s">
        <v>240</v>
      </c>
      <c r="C3212" s="6" t="s">
        <v>304</v>
      </c>
      <c r="D3212" s="5">
        <v>44945</v>
      </c>
    </row>
    <row r="3213" spans="2:4">
      <c r="B3213" s="6" t="s">
        <v>70</v>
      </c>
      <c r="C3213" s="6" t="s">
        <v>74</v>
      </c>
      <c r="D3213" s="5">
        <v>44945</v>
      </c>
    </row>
    <row r="3214" spans="2:4">
      <c r="B3214" s="6" t="s">
        <v>373</v>
      </c>
      <c r="C3214" s="6" t="s">
        <v>313</v>
      </c>
      <c r="D3214" s="5">
        <v>44945</v>
      </c>
    </row>
    <row r="3215" spans="2:4">
      <c r="B3215" s="6" t="s">
        <v>77</v>
      </c>
      <c r="C3215" s="6" t="s">
        <v>804</v>
      </c>
      <c r="D3215" s="5">
        <v>44945</v>
      </c>
    </row>
    <row r="3216" spans="2:4">
      <c r="B3216" s="6" t="s">
        <v>72</v>
      </c>
      <c r="C3216" s="6" t="s">
        <v>71</v>
      </c>
      <c r="D3216" s="5">
        <v>44945</v>
      </c>
    </row>
    <row r="3217" spans="2:4">
      <c r="B3217" s="6" t="s">
        <v>376</v>
      </c>
      <c r="C3217" s="6" t="s">
        <v>274</v>
      </c>
      <c r="D3217" s="5">
        <v>44945</v>
      </c>
    </row>
    <row r="3218" spans="2:4">
      <c r="B3218" s="6" t="s">
        <v>378</v>
      </c>
      <c r="C3218" s="6" t="s">
        <v>375</v>
      </c>
      <c r="D3218" s="5">
        <v>44945</v>
      </c>
    </row>
    <row r="3219" spans="2:4">
      <c r="B3219" s="6" t="s">
        <v>161</v>
      </c>
      <c r="C3219" s="6" t="s">
        <v>166</v>
      </c>
      <c r="D3219" s="5">
        <v>44945</v>
      </c>
    </row>
    <row r="3220" spans="2:4">
      <c r="B3220" s="6" t="s">
        <v>309</v>
      </c>
      <c r="C3220" s="6" t="s">
        <v>329</v>
      </c>
      <c r="D3220" s="5">
        <v>44945</v>
      </c>
    </row>
    <row r="3221" spans="2:4">
      <c r="B3221" s="6" t="s">
        <v>603</v>
      </c>
      <c r="C3221" s="6" t="s">
        <v>615</v>
      </c>
      <c r="D3221" s="5">
        <v>44945</v>
      </c>
    </row>
    <row r="3222" spans="2:4">
      <c r="B3222" s="6" t="s">
        <v>141</v>
      </c>
      <c r="C3222" s="6" t="s">
        <v>154</v>
      </c>
      <c r="D3222" s="5">
        <v>44945</v>
      </c>
    </row>
    <row r="3223" spans="2:4">
      <c r="B3223" s="6" t="s">
        <v>206</v>
      </c>
      <c r="C3223" s="6" t="s">
        <v>402</v>
      </c>
      <c r="D3223" s="5">
        <v>44945</v>
      </c>
    </row>
    <row r="3224" spans="2:4">
      <c r="B3224" s="6" t="s">
        <v>153</v>
      </c>
      <c r="C3224" s="6" t="s">
        <v>389</v>
      </c>
      <c r="D3224" s="5">
        <v>44945</v>
      </c>
    </row>
    <row r="3225" spans="2:4">
      <c r="B3225" s="6" t="s">
        <v>424</v>
      </c>
      <c r="C3225" s="6" t="s">
        <v>388</v>
      </c>
      <c r="D3225" s="5">
        <v>44945</v>
      </c>
    </row>
    <row r="3226" spans="2:4">
      <c r="B3226" s="6" t="s">
        <v>423</v>
      </c>
      <c r="C3226" s="6" t="s">
        <v>599</v>
      </c>
      <c r="D3226" s="5">
        <v>44945</v>
      </c>
    </row>
    <row r="3227" spans="2:4">
      <c r="B3227" s="6" t="s">
        <v>207</v>
      </c>
      <c r="C3227" s="6" t="s">
        <v>236</v>
      </c>
      <c r="D3227" s="5">
        <v>44945</v>
      </c>
    </row>
    <row r="3228" spans="2:4">
      <c r="B3228" s="6" t="s">
        <v>167</v>
      </c>
      <c r="C3228" s="6" t="s">
        <v>428</v>
      </c>
      <c r="D3228" s="5">
        <v>44945</v>
      </c>
    </row>
    <row r="3229" spans="2:4">
      <c r="B3229" s="6" t="s">
        <v>420</v>
      </c>
      <c r="C3229" s="6" t="s">
        <v>621</v>
      </c>
      <c r="D3229" s="5">
        <v>44945</v>
      </c>
    </row>
    <row r="3230" spans="2:4">
      <c r="B3230" s="6" t="s">
        <v>719</v>
      </c>
      <c r="C3230" s="6" t="s">
        <v>75</v>
      </c>
      <c r="D3230" s="5">
        <v>44945</v>
      </c>
    </row>
    <row r="3231" spans="2:4">
      <c r="B3231" s="6" t="s">
        <v>93</v>
      </c>
      <c r="C3231" s="6" t="s">
        <v>779</v>
      </c>
      <c r="D3231" s="5">
        <v>44945</v>
      </c>
    </row>
    <row r="3232" spans="2:4">
      <c r="B3232" s="6" t="s">
        <v>404</v>
      </c>
      <c r="C3232" s="6" t="s">
        <v>427</v>
      </c>
      <c r="D3232" s="5">
        <v>44945</v>
      </c>
    </row>
    <row r="3233" spans="2:4">
      <c r="B3233" s="6" t="s">
        <v>165</v>
      </c>
      <c r="C3233" s="6" t="s">
        <v>398</v>
      </c>
      <c r="D3233" s="5">
        <v>44945</v>
      </c>
    </row>
    <row r="3234" spans="2:4">
      <c r="B3234" s="6" t="s">
        <v>160</v>
      </c>
      <c r="C3234" s="6" t="s">
        <v>157</v>
      </c>
      <c r="D3234" s="5">
        <v>44945</v>
      </c>
    </row>
    <row r="3235" spans="2:4">
      <c r="B3235" s="6" t="s">
        <v>180</v>
      </c>
      <c r="C3235" s="6" t="s">
        <v>109</v>
      </c>
      <c r="D3235" s="5">
        <v>44946</v>
      </c>
    </row>
    <row r="3236" spans="2:4">
      <c r="B3236" s="6" t="s">
        <v>302</v>
      </c>
      <c r="C3236" s="6" t="s">
        <v>35</v>
      </c>
      <c r="D3236" s="5">
        <v>44946</v>
      </c>
    </row>
    <row r="3237" spans="2:4">
      <c r="B3237" s="6" t="s">
        <v>130</v>
      </c>
      <c r="C3237" s="6" t="s">
        <v>233</v>
      </c>
      <c r="D3237" s="5">
        <v>44946</v>
      </c>
    </row>
    <row r="3238" spans="2:4">
      <c r="B3238" s="6" t="s">
        <v>117</v>
      </c>
      <c r="C3238" s="6" t="s">
        <v>204</v>
      </c>
      <c r="D3238" s="5">
        <v>44946</v>
      </c>
    </row>
    <row r="3239" spans="2:4">
      <c r="B3239" s="6" t="s">
        <v>361</v>
      </c>
      <c r="C3239" s="6" t="s">
        <v>244</v>
      </c>
      <c r="D3239" s="5">
        <v>44946</v>
      </c>
    </row>
    <row r="3240" spans="2:4">
      <c r="B3240" s="6" t="s">
        <v>230</v>
      </c>
      <c r="C3240" s="6" t="s">
        <v>285</v>
      </c>
      <c r="D3240" s="5">
        <v>44946</v>
      </c>
    </row>
    <row r="3241" spans="2:4">
      <c r="B3241" s="6" t="s">
        <v>112</v>
      </c>
      <c r="C3241" s="6" t="s">
        <v>211</v>
      </c>
      <c r="D3241" s="5">
        <v>44946</v>
      </c>
    </row>
    <row r="3242" spans="2:4">
      <c r="B3242" s="6" t="s">
        <v>200</v>
      </c>
      <c r="C3242" s="6" t="s">
        <v>121</v>
      </c>
      <c r="D3242" s="5">
        <v>44946</v>
      </c>
    </row>
    <row r="3243" spans="2:4">
      <c r="B3243" s="6" t="s">
        <v>338</v>
      </c>
      <c r="C3243" s="6" t="s">
        <v>587</v>
      </c>
      <c r="D3243" s="5">
        <v>44946</v>
      </c>
    </row>
    <row r="3244" spans="2:4">
      <c r="B3244" s="6" t="s">
        <v>405</v>
      </c>
      <c r="C3244" s="6" t="s">
        <v>590</v>
      </c>
      <c r="D3244" s="5">
        <v>44946</v>
      </c>
    </row>
    <row r="3245" spans="2:4">
      <c r="B3245" s="6" t="s">
        <v>98</v>
      </c>
      <c r="C3245" s="6" t="s">
        <v>246</v>
      </c>
      <c r="D3245" s="5">
        <v>44946</v>
      </c>
    </row>
    <row r="3246" spans="2:4">
      <c r="B3246" s="6" t="s">
        <v>410</v>
      </c>
      <c r="C3246" s="6" t="s">
        <v>336</v>
      </c>
      <c r="D3246" s="5">
        <v>44946</v>
      </c>
    </row>
    <row r="3247" spans="2:4">
      <c r="B3247" s="6" t="s">
        <v>203</v>
      </c>
      <c r="C3247" s="6" t="s">
        <v>140</v>
      </c>
      <c r="D3247" s="5">
        <v>44946</v>
      </c>
    </row>
    <row r="3248" spans="2:4">
      <c r="B3248" s="6" t="s">
        <v>189</v>
      </c>
      <c r="C3248" s="6" t="s">
        <v>162</v>
      </c>
      <c r="D3248" s="5">
        <v>44946</v>
      </c>
    </row>
    <row r="3249" spans="2:4">
      <c r="B3249" s="6" t="s">
        <v>156</v>
      </c>
      <c r="C3249" s="6" t="s">
        <v>170</v>
      </c>
      <c r="D3249" s="5">
        <v>44947</v>
      </c>
    </row>
    <row r="3250" spans="2:4">
      <c r="B3250" s="6" t="s">
        <v>36</v>
      </c>
      <c r="C3250" s="6" t="s">
        <v>37</v>
      </c>
      <c r="D3250" s="5">
        <v>44947</v>
      </c>
    </row>
    <row r="3251" spans="2:4">
      <c r="B3251" s="6" t="s">
        <v>777</v>
      </c>
      <c r="C3251" s="6" t="s">
        <v>61</v>
      </c>
      <c r="D3251" s="5">
        <v>44947</v>
      </c>
    </row>
    <row r="3252" spans="2:4">
      <c r="B3252" s="6" t="s">
        <v>44</v>
      </c>
      <c r="C3252" s="6" t="s">
        <v>48</v>
      </c>
      <c r="D3252" s="5">
        <v>44947</v>
      </c>
    </row>
    <row r="3253" spans="2:4">
      <c r="B3253" s="6" t="s">
        <v>84</v>
      </c>
      <c r="C3253" s="6" t="s">
        <v>762</v>
      </c>
      <c r="D3253" s="5">
        <v>44947</v>
      </c>
    </row>
    <row r="3254" spans="2:4">
      <c r="B3254" s="6" t="s">
        <v>231</v>
      </c>
      <c r="C3254" s="6" t="s">
        <v>411</v>
      </c>
      <c r="D3254" s="5">
        <v>44947</v>
      </c>
    </row>
    <row r="3255" spans="2:4">
      <c r="B3255" s="6" t="s">
        <v>50</v>
      </c>
      <c r="C3255" s="6" t="s">
        <v>47</v>
      </c>
      <c r="D3255" s="5">
        <v>44947</v>
      </c>
    </row>
    <row r="3256" spans="2:4">
      <c r="B3256" s="6" t="s">
        <v>39</v>
      </c>
      <c r="C3256" s="6" t="s">
        <v>41</v>
      </c>
      <c r="D3256" s="5">
        <v>44947</v>
      </c>
    </row>
    <row r="3257" spans="2:4">
      <c r="B3257" s="6" t="s">
        <v>68</v>
      </c>
      <c r="C3257" s="6" t="s">
        <v>65</v>
      </c>
      <c r="D3257" s="5">
        <v>44947</v>
      </c>
    </row>
    <row r="3258" spans="2:4">
      <c r="B3258" s="6" t="s">
        <v>124</v>
      </c>
      <c r="C3258" s="6" t="s">
        <v>281</v>
      </c>
      <c r="D3258" s="5">
        <v>44947</v>
      </c>
    </row>
    <row r="3259" spans="2:4">
      <c r="B3259" s="6" t="s">
        <v>172</v>
      </c>
      <c r="C3259" s="6" t="s">
        <v>422</v>
      </c>
      <c r="D3259" s="5">
        <v>44947</v>
      </c>
    </row>
    <row r="3260" spans="2:4">
      <c r="B3260" s="6" t="s">
        <v>272</v>
      </c>
      <c r="C3260" s="6" t="s">
        <v>432</v>
      </c>
      <c r="D3260" s="5">
        <v>44947</v>
      </c>
    </row>
    <row r="3261" spans="2:4">
      <c r="B3261" s="6" t="s">
        <v>337</v>
      </c>
      <c r="C3261" s="6" t="s">
        <v>214</v>
      </c>
      <c r="D3261" s="5">
        <v>44947</v>
      </c>
    </row>
    <row r="3262" spans="2:4">
      <c r="B3262" s="6" t="s">
        <v>26</v>
      </c>
      <c r="C3262" s="6" t="s">
        <v>34</v>
      </c>
      <c r="D3262" s="5">
        <v>44947</v>
      </c>
    </row>
    <row r="3263" spans="2:4">
      <c r="B3263" s="6" t="s">
        <v>278</v>
      </c>
      <c r="C3263" s="6" t="s">
        <v>580</v>
      </c>
      <c r="D3263" s="5">
        <v>44947</v>
      </c>
    </row>
    <row r="3264" spans="2:4">
      <c r="B3264" s="6" t="s">
        <v>301</v>
      </c>
      <c r="C3264" s="6" t="s">
        <v>253</v>
      </c>
      <c r="D3264" s="5">
        <v>44947</v>
      </c>
    </row>
    <row r="3265" spans="2:4">
      <c r="B3265" s="6" t="s">
        <v>89</v>
      </c>
      <c r="C3265" s="6" t="s">
        <v>185</v>
      </c>
      <c r="D3265" s="5">
        <v>44947</v>
      </c>
    </row>
    <row r="3266" spans="2:4">
      <c r="B3266" s="6" t="s">
        <v>334</v>
      </c>
      <c r="C3266" s="6" t="s">
        <v>300</v>
      </c>
      <c r="D3266" s="5">
        <v>44947</v>
      </c>
    </row>
    <row r="3267" spans="2:4">
      <c r="B3267" s="6" t="s">
        <v>261</v>
      </c>
      <c r="C3267" s="6" t="s">
        <v>282</v>
      </c>
      <c r="D3267" s="5">
        <v>44947</v>
      </c>
    </row>
    <row r="3268" spans="2:4">
      <c r="B3268" s="6" t="s">
        <v>99</v>
      </c>
      <c r="C3268" s="6" t="s">
        <v>327</v>
      </c>
      <c r="D3268" s="5">
        <v>44947</v>
      </c>
    </row>
    <row r="3269" spans="2:4">
      <c r="B3269" s="6" t="s">
        <v>142</v>
      </c>
      <c r="C3269" s="6" t="s">
        <v>353</v>
      </c>
      <c r="D3269" s="5">
        <v>44947</v>
      </c>
    </row>
    <row r="3270" spans="2:4">
      <c r="B3270" s="6" t="s">
        <v>148</v>
      </c>
      <c r="C3270" s="6" t="s">
        <v>220</v>
      </c>
      <c r="D3270" s="5">
        <v>44947</v>
      </c>
    </row>
    <row r="3271" spans="2:4">
      <c r="B3271" s="6" t="s">
        <v>80</v>
      </c>
      <c r="C3271" s="6" t="s">
        <v>91</v>
      </c>
      <c r="D3271" s="5">
        <v>44947</v>
      </c>
    </row>
    <row r="3272" spans="2:4">
      <c r="B3272" s="6" t="s">
        <v>70</v>
      </c>
      <c r="C3272" s="6" t="s">
        <v>75</v>
      </c>
      <c r="D3272" s="5">
        <v>44947</v>
      </c>
    </row>
    <row r="3273" spans="2:4">
      <c r="B3273" s="6" t="s">
        <v>53</v>
      </c>
      <c r="C3273" s="6" t="s">
        <v>188</v>
      </c>
      <c r="D3273" s="5">
        <v>44947</v>
      </c>
    </row>
    <row r="3274" spans="2:4">
      <c r="B3274" s="6" t="s">
        <v>750</v>
      </c>
      <c r="C3274" s="6" t="s">
        <v>27</v>
      </c>
      <c r="D3274" s="5">
        <v>44947</v>
      </c>
    </row>
    <row r="3275" spans="2:4">
      <c r="B3275" s="6" t="s">
        <v>778</v>
      </c>
      <c r="C3275" s="6" t="s">
        <v>747</v>
      </c>
      <c r="D3275" s="5">
        <v>44947</v>
      </c>
    </row>
    <row r="3276" spans="2:4">
      <c r="B3276" s="6" t="s">
        <v>113</v>
      </c>
      <c r="C3276" s="6" t="s">
        <v>131</v>
      </c>
      <c r="D3276" s="5">
        <v>44947</v>
      </c>
    </row>
    <row r="3277" spans="2:4">
      <c r="B3277" s="6" t="s">
        <v>176</v>
      </c>
      <c r="C3277" s="6" t="s">
        <v>360</v>
      </c>
      <c r="D3277" s="5">
        <v>44947</v>
      </c>
    </row>
    <row r="3278" spans="2:4">
      <c r="B3278" s="6" t="s">
        <v>46</v>
      </c>
      <c r="C3278" s="6" t="s">
        <v>54</v>
      </c>
      <c r="D3278" s="5">
        <v>44947</v>
      </c>
    </row>
    <row r="3279" spans="2:4">
      <c r="B3279" s="6" t="s">
        <v>108</v>
      </c>
      <c r="C3279" s="6" t="s">
        <v>125</v>
      </c>
      <c r="D3279" s="5">
        <v>44947</v>
      </c>
    </row>
    <row r="3280" spans="2:4">
      <c r="B3280" s="6" t="s">
        <v>97</v>
      </c>
      <c r="C3280" s="6" t="s">
        <v>351</v>
      </c>
      <c r="D3280" s="5">
        <v>44947</v>
      </c>
    </row>
    <row r="3281" spans="2:4">
      <c r="B3281" s="6" t="s">
        <v>40</v>
      </c>
      <c r="C3281" s="6" t="s">
        <v>155</v>
      </c>
      <c r="D3281" s="5">
        <v>44947</v>
      </c>
    </row>
    <row r="3282" spans="2:4">
      <c r="B3282" s="6" t="s">
        <v>284</v>
      </c>
      <c r="C3282" s="6" t="s">
        <v>349</v>
      </c>
      <c r="D3282" s="5">
        <v>44947</v>
      </c>
    </row>
    <row r="3283" spans="2:4">
      <c r="B3283" s="6" t="s">
        <v>297</v>
      </c>
      <c r="C3283" s="6" t="s">
        <v>273</v>
      </c>
      <c r="D3283" s="5">
        <v>44947</v>
      </c>
    </row>
    <row r="3284" spans="2:4">
      <c r="B3284" s="6" t="s">
        <v>192</v>
      </c>
      <c r="C3284" s="6" t="s">
        <v>395</v>
      </c>
      <c r="D3284" s="5">
        <v>44947</v>
      </c>
    </row>
    <row r="3285" spans="2:4">
      <c r="B3285" s="6" t="s">
        <v>202</v>
      </c>
      <c r="C3285" s="6" t="s">
        <v>110</v>
      </c>
      <c r="D3285" s="5">
        <v>44947</v>
      </c>
    </row>
    <row r="3286" spans="2:4">
      <c r="B3286" s="6" t="s">
        <v>191</v>
      </c>
      <c r="C3286" s="6" t="s">
        <v>425</v>
      </c>
      <c r="D3286" s="5">
        <v>44947</v>
      </c>
    </row>
    <row r="3287" spans="2:4">
      <c r="B3287" s="6" t="s">
        <v>127</v>
      </c>
      <c r="C3287" s="6" t="s">
        <v>362</v>
      </c>
      <c r="D3287" s="5">
        <v>44947</v>
      </c>
    </row>
    <row r="3288" spans="2:4">
      <c r="B3288" s="6" t="s">
        <v>294</v>
      </c>
      <c r="C3288" s="6" t="s">
        <v>306</v>
      </c>
      <c r="D3288" s="5">
        <v>44947</v>
      </c>
    </row>
    <row r="3289" spans="2:4">
      <c r="B3289" s="6" t="s">
        <v>196</v>
      </c>
      <c r="C3289" s="6" t="s">
        <v>184</v>
      </c>
      <c r="D3289" s="5">
        <v>44947</v>
      </c>
    </row>
    <row r="3290" spans="2:4">
      <c r="B3290" s="6" t="s">
        <v>359</v>
      </c>
      <c r="C3290" s="6" t="s">
        <v>331</v>
      </c>
      <c r="D3290" s="5">
        <v>44947</v>
      </c>
    </row>
    <row r="3291" spans="2:4">
      <c r="B3291" s="6" t="s">
        <v>208</v>
      </c>
      <c r="C3291" s="6" t="s">
        <v>357</v>
      </c>
      <c r="D3291" s="5">
        <v>44947</v>
      </c>
    </row>
    <row r="3292" spans="2:4">
      <c r="B3292" s="6" t="s">
        <v>413</v>
      </c>
      <c r="C3292" s="6" t="s">
        <v>268</v>
      </c>
      <c r="D3292" s="5">
        <v>44947</v>
      </c>
    </row>
    <row r="3293" spans="2:4">
      <c r="B3293" s="6" t="s">
        <v>146</v>
      </c>
      <c r="C3293" s="6" t="s">
        <v>118</v>
      </c>
      <c r="D3293" s="5">
        <v>44947</v>
      </c>
    </row>
    <row r="3294" spans="2:4">
      <c r="B3294" s="6" t="s">
        <v>354</v>
      </c>
      <c r="C3294" s="6" t="s">
        <v>201</v>
      </c>
      <c r="D3294" s="5">
        <v>44947</v>
      </c>
    </row>
    <row r="3295" spans="2:4">
      <c r="B3295" s="6" t="s">
        <v>781</v>
      </c>
      <c r="C3295" s="6" t="s">
        <v>67</v>
      </c>
      <c r="D3295" s="5">
        <v>44947</v>
      </c>
    </row>
    <row r="3296" spans="2:4">
      <c r="B3296" s="6" t="s">
        <v>133</v>
      </c>
      <c r="C3296" s="6" t="s">
        <v>210</v>
      </c>
      <c r="D3296" s="5">
        <v>44947</v>
      </c>
    </row>
    <row r="3297" spans="2:4">
      <c r="B3297" s="6" t="s">
        <v>414</v>
      </c>
      <c r="C3297" s="6" t="s">
        <v>105</v>
      </c>
      <c r="D3297" s="5">
        <v>44947</v>
      </c>
    </row>
    <row r="3298" spans="2:4">
      <c r="B3298" s="6" t="s">
        <v>115</v>
      </c>
      <c r="C3298" s="6" t="s">
        <v>179</v>
      </c>
      <c r="D3298" s="5">
        <v>44947</v>
      </c>
    </row>
    <row r="3299" spans="2:4">
      <c r="B3299" s="6" t="s">
        <v>49</v>
      </c>
      <c r="C3299" s="6" t="s">
        <v>737</v>
      </c>
      <c r="D3299" s="5">
        <v>44947</v>
      </c>
    </row>
    <row r="3300" spans="2:4">
      <c r="B3300" s="6" t="s">
        <v>367</v>
      </c>
      <c r="C3300" s="6" t="s">
        <v>193</v>
      </c>
      <c r="D3300" s="5">
        <v>44947</v>
      </c>
    </row>
    <row r="3301" spans="2:4">
      <c r="B3301" s="6" t="s">
        <v>316</v>
      </c>
      <c r="C3301" s="6" t="s">
        <v>409</v>
      </c>
      <c r="D3301" s="5">
        <v>44947</v>
      </c>
    </row>
    <row r="3302" spans="2:4">
      <c r="B3302" s="6" t="s">
        <v>289</v>
      </c>
      <c r="C3302" s="6" t="s">
        <v>259</v>
      </c>
      <c r="D3302" s="5">
        <v>44947</v>
      </c>
    </row>
    <row r="3303" spans="2:4">
      <c r="B3303" s="6" t="s">
        <v>330</v>
      </c>
      <c r="C3303" s="6" t="s">
        <v>348</v>
      </c>
      <c r="D3303" s="5">
        <v>44947</v>
      </c>
    </row>
    <row r="3304" spans="2:4">
      <c r="B3304" s="6" t="s">
        <v>385</v>
      </c>
      <c r="C3304" s="6" t="s">
        <v>151</v>
      </c>
      <c r="D3304" s="5">
        <v>44947</v>
      </c>
    </row>
    <row r="3305" spans="2:4">
      <c r="B3305" s="6" t="s">
        <v>90</v>
      </c>
      <c r="C3305" s="6" t="s">
        <v>83</v>
      </c>
      <c r="D3305" s="5">
        <v>44947</v>
      </c>
    </row>
    <row r="3306" spans="2:4">
      <c r="B3306" s="6" t="s">
        <v>247</v>
      </c>
      <c r="C3306" s="6" t="s">
        <v>400</v>
      </c>
      <c r="D3306" s="5">
        <v>44947</v>
      </c>
    </row>
    <row r="3307" spans="2:4">
      <c r="B3307" s="6" t="s">
        <v>29</v>
      </c>
      <c r="C3307" s="6" t="s">
        <v>28</v>
      </c>
      <c r="D3307" s="5">
        <v>44947</v>
      </c>
    </row>
    <row r="3308" spans="2:4">
      <c r="B3308" s="6" t="s">
        <v>81</v>
      </c>
      <c r="C3308" s="6" t="s">
        <v>86</v>
      </c>
      <c r="D3308" s="5">
        <v>44947</v>
      </c>
    </row>
    <row r="3309" spans="2:4">
      <c r="B3309" s="6" t="s">
        <v>96</v>
      </c>
      <c r="C3309" s="6" t="s">
        <v>238</v>
      </c>
      <c r="D3309" s="5">
        <v>44947</v>
      </c>
    </row>
    <row r="3310" spans="2:4">
      <c r="B3310" s="6" t="s">
        <v>276</v>
      </c>
      <c r="C3310" s="6" t="s">
        <v>335</v>
      </c>
      <c r="D3310" s="5">
        <v>44947</v>
      </c>
    </row>
    <row r="3311" spans="2:4">
      <c r="B3311" s="6" t="s">
        <v>277</v>
      </c>
      <c r="C3311" s="6" t="s">
        <v>264</v>
      </c>
      <c r="D3311" s="5">
        <v>44947</v>
      </c>
    </row>
    <row r="3312" spans="2:4">
      <c r="B3312" s="6" t="s">
        <v>320</v>
      </c>
      <c r="C3312" s="6" t="s">
        <v>241</v>
      </c>
      <c r="D3312" s="5">
        <v>44947</v>
      </c>
    </row>
    <row r="3313" spans="2:4">
      <c r="B3313" s="6" t="s">
        <v>213</v>
      </c>
      <c r="C3313" s="6" t="s">
        <v>363</v>
      </c>
      <c r="D3313" s="5">
        <v>44947</v>
      </c>
    </row>
    <row r="3314" spans="2:4">
      <c r="B3314" s="6" t="s">
        <v>107</v>
      </c>
      <c r="C3314" s="6" t="s">
        <v>138</v>
      </c>
      <c r="D3314" s="5">
        <v>44947</v>
      </c>
    </row>
    <row r="3315" spans="2:4">
      <c r="B3315" s="6" t="s">
        <v>368</v>
      </c>
      <c r="C3315" s="6" t="s">
        <v>274</v>
      </c>
      <c r="D3315" s="5">
        <v>44947</v>
      </c>
    </row>
    <row r="3316" spans="2:4">
      <c r="B3316" s="6" t="s">
        <v>195</v>
      </c>
      <c r="C3316" s="6" t="s">
        <v>135</v>
      </c>
      <c r="D3316" s="5">
        <v>44947</v>
      </c>
    </row>
    <row r="3317" spans="2:4">
      <c r="B3317" s="6" t="s">
        <v>116</v>
      </c>
      <c r="C3317" s="6" t="s">
        <v>310</v>
      </c>
      <c r="D3317" s="5">
        <v>44947</v>
      </c>
    </row>
    <row r="3318" spans="2:4">
      <c r="B3318" s="6" t="s">
        <v>350</v>
      </c>
      <c r="C3318" s="6" t="s">
        <v>252</v>
      </c>
      <c r="D3318" s="5">
        <v>44947</v>
      </c>
    </row>
    <row r="3319" spans="2:4">
      <c r="B3319" s="6" t="s">
        <v>152</v>
      </c>
      <c r="C3319" s="6" t="s">
        <v>386</v>
      </c>
      <c r="D3319" s="5">
        <v>44947</v>
      </c>
    </row>
    <row r="3320" spans="2:4">
      <c r="B3320" s="6" t="s">
        <v>102</v>
      </c>
      <c r="C3320" s="6" t="s">
        <v>287</v>
      </c>
      <c r="D3320" s="5">
        <v>44947</v>
      </c>
    </row>
    <row r="3321" spans="2:4">
      <c r="B3321" s="6" t="s">
        <v>267</v>
      </c>
      <c r="C3321" s="6" t="s">
        <v>171</v>
      </c>
      <c r="D3321" s="5">
        <v>44947</v>
      </c>
    </row>
    <row r="3322" spans="2:4">
      <c r="B3322" s="6" t="s">
        <v>129</v>
      </c>
      <c r="C3322" s="6" t="s">
        <v>123</v>
      </c>
      <c r="D3322" s="5">
        <v>44947</v>
      </c>
    </row>
    <row r="3323" spans="2:4">
      <c r="B3323" s="6" t="s">
        <v>403</v>
      </c>
      <c r="C3323" s="6" t="s">
        <v>393</v>
      </c>
      <c r="D3323" s="5">
        <v>44947</v>
      </c>
    </row>
    <row r="3324" spans="2:4">
      <c r="B3324" s="6" t="s">
        <v>120</v>
      </c>
      <c r="C3324" s="6" t="s">
        <v>610</v>
      </c>
      <c r="D3324" s="5">
        <v>44947</v>
      </c>
    </row>
    <row r="3325" spans="2:4">
      <c r="B3325" s="6" t="s">
        <v>128</v>
      </c>
      <c r="C3325" s="6" t="s">
        <v>248</v>
      </c>
      <c r="D3325" s="5">
        <v>44947</v>
      </c>
    </row>
    <row r="3326" spans="2:4">
      <c r="B3326" s="6" t="s">
        <v>147</v>
      </c>
      <c r="C3326" s="6" t="s">
        <v>255</v>
      </c>
      <c r="D3326" s="5">
        <v>44947</v>
      </c>
    </row>
    <row r="3327" spans="2:4">
      <c r="B3327" s="6" t="s">
        <v>364</v>
      </c>
      <c r="C3327" s="6" t="s">
        <v>232</v>
      </c>
      <c r="D3327" s="5">
        <v>44947</v>
      </c>
    </row>
    <row r="3328" spans="2:4">
      <c r="B3328" s="6" t="s">
        <v>183</v>
      </c>
      <c r="C3328" s="6" t="s">
        <v>588</v>
      </c>
      <c r="D3328" s="5">
        <v>44947</v>
      </c>
    </row>
    <row r="3329" spans="2:4">
      <c r="B3329" s="6" t="s">
        <v>342</v>
      </c>
      <c r="C3329" s="6" t="s">
        <v>319</v>
      </c>
      <c r="D3329" s="5">
        <v>44947</v>
      </c>
    </row>
    <row r="3330" spans="2:4">
      <c r="B3330" s="6" t="s">
        <v>370</v>
      </c>
      <c r="C3330" s="6" t="s">
        <v>615</v>
      </c>
      <c r="D3330" s="5">
        <v>44947</v>
      </c>
    </row>
    <row r="3331" spans="2:4">
      <c r="B3331" s="6" t="s">
        <v>250</v>
      </c>
      <c r="C3331" s="6" t="s">
        <v>329</v>
      </c>
      <c r="D3331" s="5">
        <v>44947</v>
      </c>
    </row>
    <row r="3332" spans="2:4">
      <c r="B3332" s="6" t="s">
        <v>240</v>
      </c>
      <c r="C3332" s="6" t="s">
        <v>309</v>
      </c>
      <c r="D3332" s="5">
        <v>44947</v>
      </c>
    </row>
    <row r="3333" spans="2:4">
      <c r="B3333" s="6" t="s">
        <v>603</v>
      </c>
      <c r="C3333" s="6" t="s">
        <v>305</v>
      </c>
      <c r="D3333" s="5">
        <v>44947</v>
      </c>
    </row>
    <row r="3334" spans="2:4">
      <c r="B3334" s="6" t="s">
        <v>251</v>
      </c>
      <c r="C3334" s="6" t="s">
        <v>770</v>
      </c>
      <c r="D3334" s="5">
        <v>44947</v>
      </c>
    </row>
    <row r="3335" spans="2:4">
      <c r="B3335" s="6" t="s">
        <v>373</v>
      </c>
      <c r="C3335" s="6" t="s">
        <v>242</v>
      </c>
      <c r="D3335" s="5">
        <v>44947</v>
      </c>
    </row>
    <row r="3336" spans="2:4">
      <c r="B3336" s="6" t="s">
        <v>134</v>
      </c>
      <c r="C3336" s="6" t="s">
        <v>343</v>
      </c>
      <c r="D3336" s="5">
        <v>44947</v>
      </c>
    </row>
    <row r="3337" spans="2:4">
      <c r="B3337" s="6" t="s">
        <v>288</v>
      </c>
      <c r="C3337" s="6" t="s">
        <v>209</v>
      </c>
      <c r="D3337" s="5">
        <v>44947</v>
      </c>
    </row>
    <row r="3338" spans="2:4">
      <c r="B3338" s="6" t="s">
        <v>194</v>
      </c>
      <c r="C3338" s="6" t="s">
        <v>333</v>
      </c>
      <c r="D3338" s="5">
        <v>44947</v>
      </c>
    </row>
    <row r="3339" spans="2:4">
      <c r="B3339" s="6" t="s">
        <v>150</v>
      </c>
      <c r="C3339" s="6" t="s">
        <v>365</v>
      </c>
      <c r="D3339" s="5">
        <v>44947</v>
      </c>
    </row>
    <row r="3340" spans="2:4">
      <c r="B3340" s="6" t="s">
        <v>321</v>
      </c>
      <c r="C3340" s="6" t="s">
        <v>304</v>
      </c>
      <c r="D3340" s="5">
        <v>44947</v>
      </c>
    </row>
    <row r="3341" spans="2:4">
      <c r="B3341" s="6" t="s">
        <v>415</v>
      </c>
      <c r="C3341" s="6" t="s">
        <v>344</v>
      </c>
      <c r="D3341" s="5">
        <v>44947</v>
      </c>
    </row>
    <row r="3342" spans="2:4">
      <c r="B3342" s="6" t="s">
        <v>270</v>
      </c>
      <c r="C3342" s="6" t="s">
        <v>298</v>
      </c>
      <c r="D3342" s="5">
        <v>44947</v>
      </c>
    </row>
    <row r="3343" spans="2:4">
      <c r="B3343" s="6" t="s">
        <v>32</v>
      </c>
      <c r="C3343" s="6" t="s">
        <v>30</v>
      </c>
      <c r="D3343" s="5">
        <v>44947</v>
      </c>
    </row>
    <row r="3344" spans="2:4">
      <c r="B3344" s="6" t="s">
        <v>87</v>
      </c>
      <c r="C3344" s="6" t="s">
        <v>82</v>
      </c>
      <c r="D3344" s="5">
        <v>44947</v>
      </c>
    </row>
    <row r="3345" spans="2:4">
      <c r="B3345" s="6" t="s">
        <v>280</v>
      </c>
      <c r="C3345" s="6" t="s">
        <v>318</v>
      </c>
      <c r="D3345" s="5">
        <v>44947</v>
      </c>
    </row>
    <row r="3346" spans="2:4">
      <c r="B3346" s="6" t="s">
        <v>312</v>
      </c>
      <c r="C3346" s="6" t="s">
        <v>325</v>
      </c>
      <c r="D3346" s="5">
        <v>44947</v>
      </c>
    </row>
    <row r="3347" spans="2:4">
      <c r="B3347" s="6" t="s">
        <v>326</v>
      </c>
      <c r="C3347" s="6" t="s">
        <v>139</v>
      </c>
      <c r="D3347" s="5">
        <v>44947</v>
      </c>
    </row>
    <row r="3348" spans="2:4">
      <c r="B3348" s="6" t="s">
        <v>119</v>
      </c>
      <c r="C3348" s="6" t="s">
        <v>186</v>
      </c>
      <c r="D3348" s="5">
        <v>44947</v>
      </c>
    </row>
    <row r="3349" spans="2:4">
      <c r="B3349" s="6" t="s">
        <v>51</v>
      </c>
      <c r="C3349" s="6" t="s">
        <v>52</v>
      </c>
      <c r="D3349" s="5">
        <v>44947</v>
      </c>
    </row>
    <row r="3350" spans="2:4">
      <c r="B3350" s="6" t="s">
        <v>100</v>
      </c>
      <c r="C3350" s="6" t="s">
        <v>419</v>
      </c>
      <c r="D3350" s="5">
        <v>44947</v>
      </c>
    </row>
    <row r="3351" spans="2:4">
      <c r="B3351" s="6" t="s">
        <v>394</v>
      </c>
      <c r="C3351" s="6" t="s">
        <v>163</v>
      </c>
      <c r="D3351" s="5">
        <v>44947</v>
      </c>
    </row>
    <row r="3352" spans="2:4">
      <c r="B3352" s="6" t="s">
        <v>168</v>
      </c>
      <c r="C3352" s="6" t="s">
        <v>433</v>
      </c>
      <c r="D3352" s="5">
        <v>44947</v>
      </c>
    </row>
    <row r="3353" spans="2:4">
      <c r="B3353" s="6" t="s">
        <v>424</v>
      </c>
      <c r="C3353" s="6" t="s">
        <v>378</v>
      </c>
      <c r="D3353" s="5">
        <v>44947</v>
      </c>
    </row>
    <row r="3354" spans="2:4">
      <c r="B3354" s="6" t="s">
        <v>161</v>
      </c>
      <c r="C3354" s="6" t="s">
        <v>165</v>
      </c>
      <c r="D3354" s="5">
        <v>44947</v>
      </c>
    </row>
    <row r="3355" spans="2:4">
      <c r="B3355" s="6" t="s">
        <v>256</v>
      </c>
      <c r="C3355" s="6" t="s">
        <v>296</v>
      </c>
      <c r="D3355" s="5">
        <v>44947</v>
      </c>
    </row>
    <row r="3356" spans="2:4">
      <c r="B3356" s="6" t="s">
        <v>141</v>
      </c>
      <c r="C3356" s="6" t="s">
        <v>207</v>
      </c>
      <c r="D3356" s="5">
        <v>44947</v>
      </c>
    </row>
    <row r="3357" spans="2:4">
      <c r="B3357" s="6" t="s">
        <v>314</v>
      </c>
      <c r="C3357" s="6" t="s">
        <v>399</v>
      </c>
      <c r="D3357" s="5">
        <v>44947</v>
      </c>
    </row>
    <row r="3358" spans="2:4">
      <c r="B3358" s="6" t="s">
        <v>114</v>
      </c>
      <c r="C3358" s="6" t="s">
        <v>137</v>
      </c>
      <c r="D3358" s="5">
        <v>44947</v>
      </c>
    </row>
    <row r="3359" spans="2:4">
      <c r="B3359" s="6" t="s">
        <v>303</v>
      </c>
      <c r="C3359" s="6" t="s">
        <v>382</v>
      </c>
      <c r="D3359" s="5">
        <v>44947</v>
      </c>
    </row>
    <row r="3360" spans="2:4">
      <c r="B3360" s="6" t="s">
        <v>313</v>
      </c>
      <c r="C3360" s="6" t="s">
        <v>182</v>
      </c>
      <c r="D3360" s="5">
        <v>44947</v>
      </c>
    </row>
    <row r="3361" spans="2:4">
      <c r="B3361" s="6" t="s">
        <v>94</v>
      </c>
      <c r="C3361" s="6" t="s">
        <v>295</v>
      </c>
      <c r="D3361" s="5">
        <v>44947</v>
      </c>
    </row>
    <row r="3362" spans="2:4">
      <c r="B3362" s="6" t="s">
        <v>345</v>
      </c>
      <c r="C3362" s="6" t="s">
        <v>323</v>
      </c>
      <c r="D3362" s="5">
        <v>44947</v>
      </c>
    </row>
    <row r="3363" spans="2:4">
      <c r="B3363" s="6" t="s">
        <v>104</v>
      </c>
      <c r="C3363" s="6" t="s">
        <v>436</v>
      </c>
      <c r="D3363" s="5">
        <v>44947</v>
      </c>
    </row>
    <row r="3364" spans="2:4">
      <c r="B3364" s="6" t="s">
        <v>136</v>
      </c>
      <c r="C3364" s="6" t="s">
        <v>286</v>
      </c>
      <c r="D3364" s="5">
        <v>44947</v>
      </c>
    </row>
    <row r="3365" spans="2:4">
      <c r="B3365" s="6" t="s">
        <v>324</v>
      </c>
      <c r="C3365" s="6" t="s">
        <v>412</v>
      </c>
      <c r="D3365" s="5">
        <v>44947</v>
      </c>
    </row>
    <row r="3366" spans="2:4">
      <c r="B3366" s="6" t="s">
        <v>358</v>
      </c>
      <c r="C3366" s="6" t="s">
        <v>418</v>
      </c>
      <c r="D3366" s="5">
        <v>44947</v>
      </c>
    </row>
    <row r="3367" spans="2:4">
      <c r="B3367" s="6" t="s">
        <v>266</v>
      </c>
      <c r="C3367" s="6" t="s">
        <v>397</v>
      </c>
      <c r="D3367" s="5">
        <v>44947</v>
      </c>
    </row>
    <row r="3368" spans="2:4">
      <c r="B3368" s="6" t="s">
        <v>292</v>
      </c>
      <c r="C3368" s="6" t="s">
        <v>356</v>
      </c>
      <c r="D3368" s="5">
        <v>44947</v>
      </c>
    </row>
    <row r="3369" spans="2:4">
      <c r="B3369" s="6" t="s">
        <v>308</v>
      </c>
      <c r="C3369" s="6" t="s">
        <v>249</v>
      </c>
      <c r="D3369" s="5">
        <v>44947</v>
      </c>
    </row>
    <row r="3370" spans="2:4">
      <c r="B3370" s="6" t="s">
        <v>95</v>
      </c>
      <c r="C3370" s="6" t="s">
        <v>221</v>
      </c>
      <c r="D3370" s="5">
        <v>44947</v>
      </c>
    </row>
    <row r="3371" spans="2:4">
      <c r="B3371" s="6" t="s">
        <v>77</v>
      </c>
      <c r="C3371" s="6" t="s">
        <v>71</v>
      </c>
      <c r="D3371" s="5">
        <v>44947</v>
      </c>
    </row>
    <row r="3372" spans="2:4">
      <c r="B3372" s="6" t="s">
        <v>584</v>
      </c>
      <c r="C3372" s="6" t="s">
        <v>640</v>
      </c>
      <c r="D3372" s="5">
        <v>44947</v>
      </c>
    </row>
    <row r="3373" spans="2:4">
      <c r="B3373" s="6" t="s">
        <v>381</v>
      </c>
      <c r="C3373" s="6" t="s">
        <v>383</v>
      </c>
      <c r="D3373" s="5">
        <v>44947</v>
      </c>
    </row>
    <row r="3374" spans="2:4">
      <c r="B3374" s="6" t="s">
        <v>398</v>
      </c>
      <c r="C3374" s="6" t="s">
        <v>160</v>
      </c>
      <c r="D3374" s="5">
        <v>44947</v>
      </c>
    </row>
    <row r="3375" spans="2:4">
      <c r="B3375" s="6" t="s">
        <v>404</v>
      </c>
      <c r="C3375" s="6" t="s">
        <v>157</v>
      </c>
      <c r="D3375" s="5">
        <v>44947</v>
      </c>
    </row>
    <row r="3376" spans="2:4">
      <c r="B3376" s="6" t="s">
        <v>154</v>
      </c>
      <c r="C3376" s="6" t="s">
        <v>428</v>
      </c>
      <c r="D3376" s="5">
        <v>44947</v>
      </c>
    </row>
    <row r="3377" spans="2:4">
      <c r="B3377" s="6" t="s">
        <v>153</v>
      </c>
      <c r="C3377" s="6" t="s">
        <v>402</v>
      </c>
      <c r="D3377" s="5">
        <v>44947</v>
      </c>
    </row>
    <row r="3378" spans="2:4">
      <c r="B3378" s="6" t="s">
        <v>426</v>
      </c>
      <c r="C3378" s="6" t="s">
        <v>158</v>
      </c>
      <c r="D3378" s="5">
        <v>44947</v>
      </c>
    </row>
    <row r="3379" spans="2:4">
      <c r="B3379" s="6" t="s">
        <v>173</v>
      </c>
      <c r="C3379" s="6" t="s">
        <v>355</v>
      </c>
      <c r="D3379" s="5">
        <v>44947</v>
      </c>
    </row>
    <row r="3380" spans="2:4">
      <c r="B3380" s="6" t="s">
        <v>332</v>
      </c>
      <c r="C3380" s="6" t="s">
        <v>181</v>
      </c>
      <c r="D3380" s="5">
        <v>44947</v>
      </c>
    </row>
    <row r="3381" spans="2:4">
      <c r="B3381" s="6" t="s">
        <v>763</v>
      </c>
      <c r="C3381" s="6" t="s">
        <v>79</v>
      </c>
      <c r="D3381" s="5">
        <v>44947</v>
      </c>
    </row>
    <row r="3382" spans="2:4">
      <c r="B3382" s="6" t="s">
        <v>376</v>
      </c>
      <c r="C3382" s="6" t="s">
        <v>421</v>
      </c>
      <c r="D3382" s="5">
        <v>44947</v>
      </c>
    </row>
    <row r="3383" spans="2:4">
      <c r="B3383" s="6" t="s">
        <v>607</v>
      </c>
      <c r="C3383" s="6" t="s">
        <v>375</v>
      </c>
      <c r="D3383" s="5">
        <v>44947</v>
      </c>
    </row>
    <row r="3384" spans="2:4">
      <c r="B3384" s="6" t="s">
        <v>206</v>
      </c>
      <c r="C3384" s="6" t="s">
        <v>389</v>
      </c>
      <c r="D3384" s="5">
        <v>44947</v>
      </c>
    </row>
    <row r="3385" spans="2:4">
      <c r="B3385" s="6" t="s">
        <v>190</v>
      </c>
      <c r="C3385" s="6" t="s">
        <v>391</v>
      </c>
      <c r="D3385" s="5">
        <v>44947</v>
      </c>
    </row>
    <row r="3386" spans="2:4">
      <c r="B3386" s="6" t="s">
        <v>427</v>
      </c>
      <c r="C3386" s="6" t="s">
        <v>132</v>
      </c>
      <c r="D3386" s="5">
        <v>44947</v>
      </c>
    </row>
    <row r="3387" spans="2:4">
      <c r="B3387" s="6" t="s">
        <v>198</v>
      </c>
      <c r="C3387" s="6" t="s">
        <v>392</v>
      </c>
      <c r="D3387" s="5">
        <v>44947</v>
      </c>
    </row>
    <row r="3388" spans="2:4">
      <c r="B3388" s="6" t="s">
        <v>719</v>
      </c>
      <c r="C3388" s="6" t="s">
        <v>74</v>
      </c>
      <c r="D3388" s="5">
        <v>44947</v>
      </c>
    </row>
    <row r="3389" spans="2:4">
      <c r="B3389" s="6" t="s">
        <v>159</v>
      </c>
      <c r="C3389" s="6" t="s">
        <v>388</v>
      </c>
      <c r="D3389" s="5">
        <v>44947</v>
      </c>
    </row>
    <row r="3390" spans="2:4">
      <c r="B3390" s="6" t="s">
        <v>236</v>
      </c>
      <c r="C3390" s="6" t="s">
        <v>420</v>
      </c>
      <c r="D3390" s="5">
        <v>44947</v>
      </c>
    </row>
    <row r="3391" spans="2:4">
      <c r="B3391" s="6" t="s">
        <v>423</v>
      </c>
      <c r="C3391" s="6" t="s">
        <v>586</v>
      </c>
      <c r="D3391" s="5">
        <v>44947</v>
      </c>
    </row>
    <row r="3392" spans="2:4">
      <c r="B3392" s="6" t="s">
        <v>599</v>
      </c>
      <c r="C3392" s="6" t="s">
        <v>621</v>
      </c>
      <c r="D3392" s="5">
        <v>44947</v>
      </c>
    </row>
    <row r="3393" spans="2:4">
      <c r="B3393" s="6" t="s">
        <v>93</v>
      </c>
      <c r="C3393" s="6" t="s">
        <v>69</v>
      </c>
      <c r="D3393" s="5">
        <v>44947</v>
      </c>
    </row>
    <row r="3394" spans="2:4">
      <c r="B3394" s="6" t="s">
        <v>62</v>
      </c>
      <c r="C3394" s="6" t="s">
        <v>761</v>
      </c>
      <c r="D3394" s="5">
        <v>44948</v>
      </c>
    </row>
    <row r="3395" spans="2:4">
      <c r="B3395" s="6" t="s">
        <v>59</v>
      </c>
      <c r="C3395" s="6" t="s">
        <v>63</v>
      </c>
      <c r="D3395" s="5">
        <v>44948</v>
      </c>
    </row>
    <row r="3396" spans="2:4">
      <c r="B3396" s="6" t="s">
        <v>58</v>
      </c>
      <c r="C3396" s="6" t="s">
        <v>56</v>
      </c>
      <c r="D3396" s="5">
        <v>44948</v>
      </c>
    </row>
    <row r="3397" spans="2:4">
      <c r="B3397" s="6" t="s">
        <v>732</v>
      </c>
      <c r="C3397" s="6" t="s">
        <v>42</v>
      </c>
      <c r="D3397" s="5">
        <v>44948</v>
      </c>
    </row>
    <row r="3398" spans="2:4">
      <c r="B3398" s="6" t="s">
        <v>405</v>
      </c>
      <c r="C3398" s="6" t="s">
        <v>246</v>
      </c>
      <c r="D3398" s="5">
        <v>44948</v>
      </c>
    </row>
    <row r="3399" spans="2:4">
      <c r="B3399" s="6" t="s">
        <v>187</v>
      </c>
      <c r="C3399" s="6" t="s">
        <v>144</v>
      </c>
      <c r="D3399" s="5">
        <v>44948</v>
      </c>
    </row>
    <row r="3400" spans="2:4">
      <c r="B3400" s="6" t="s">
        <v>205</v>
      </c>
      <c r="C3400" s="6" t="s">
        <v>177</v>
      </c>
      <c r="D3400" s="5">
        <v>44948</v>
      </c>
    </row>
    <row r="3401" spans="2:4">
      <c r="B3401" s="6" t="s">
        <v>269</v>
      </c>
      <c r="C3401" s="6" t="s">
        <v>106</v>
      </c>
      <c r="D3401" s="5">
        <v>44948</v>
      </c>
    </row>
    <row r="3402" spans="2:4">
      <c r="B3402" s="6" t="s">
        <v>587</v>
      </c>
      <c r="C3402" s="6" t="s">
        <v>175</v>
      </c>
      <c r="D3402" s="5">
        <v>44948</v>
      </c>
    </row>
    <row r="3403" spans="2:4">
      <c r="B3403" s="6" t="s">
        <v>98</v>
      </c>
      <c r="C3403" s="6" t="s">
        <v>336</v>
      </c>
      <c r="D3403" s="5">
        <v>44948</v>
      </c>
    </row>
    <row r="3404" spans="2:4">
      <c r="B3404" s="6" t="s">
        <v>174</v>
      </c>
      <c r="C3404" s="6" t="s">
        <v>126</v>
      </c>
      <c r="D3404" s="5">
        <v>44948</v>
      </c>
    </row>
    <row r="3405" spans="2:4">
      <c r="B3405" s="6" t="s">
        <v>130</v>
      </c>
      <c r="C3405" s="6" t="s">
        <v>112</v>
      </c>
      <c r="D3405" s="5">
        <v>44948</v>
      </c>
    </row>
    <row r="3406" spans="2:4">
      <c r="B3406" s="6" t="s">
        <v>244</v>
      </c>
      <c r="C3406" s="6" t="s">
        <v>204</v>
      </c>
      <c r="D3406" s="5">
        <v>44948</v>
      </c>
    </row>
    <row r="3407" spans="2:4">
      <c r="B3407" s="6" t="s">
        <v>117</v>
      </c>
      <c r="C3407" s="6" t="s">
        <v>230</v>
      </c>
      <c r="D3407" s="5">
        <v>44948</v>
      </c>
    </row>
    <row r="3408" spans="2:4">
      <c r="B3408" s="6" t="s">
        <v>216</v>
      </c>
      <c r="C3408" s="6" t="s">
        <v>211</v>
      </c>
      <c r="D3408" s="5">
        <v>44948</v>
      </c>
    </row>
    <row r="3409" spans="2:4">
      <c r="B3409" s="6" t="s">
        <v>233</v>
      </c>
      <c r="C3409" s="6" t="s">
        <v>361</v>
      </c>
      <c r="D3409" s="5">
        <v>44948</v>
      </c>
    </row>
    <row r="3410" spans="2:4">
      <c r="B3410" s="6" t="s">
        <v>212</v>
      </c>
      <c r="C3410" s="6" t="s">
        <v>145</v>
      </c>
      <c r="D3410" s="5">
        <v>44948</v>
      </c>
    </row>
    <row r="3411" spans="2:4">
      <c r="B3411" s="6" t="s">
        <v>341</v>
      </c>
      <c r="C3411" s="6" t="s">
        <v>352</v>
      </c>
      <c r="D3411" s="5">
        <v>44948</v>
      </c>
    </row>
    <row r="3412" spans="2:4">
      <c r="B3412" s="6" t="s">
        <v>164</v>
      </c>
      <c r="C3412" s="6" t="s">
        <v>779</v>
      </c>
      <c r="D3412" s="5">
        <v>44948</v>
      </c>
    </row>
    <row r="3413" spans="2:4">
      <c r="B3413" s="6" t="s">
        <v>103</v>
      </c>
      <c r="C3413" s="6" t="s">
        <v>111</v>
      </c>
      <c r="D3413" s="5">
        <v>44948</v>
      </c>
    </row>
    <row r="3414" spans="2:4">
      <c r="B3414" s="6" t="s">
        <v>72</v>
      </c>
      <c r="C3414" s="6" t="s">
        <v>804</v>
      </c>
      <c r="D3414" s="5">
        <v>44948</v>
      </c>
    </row>
    <row r="3415" spans="2:4">
      <c r="B3415" s="6" t="s">
        <v>410</v>
      </c>
      <c r="C3415" s="6" t="s">
        <v>590</v>
      </c>
      <c r="D3415" s="5">
        <v>44948</v>
      </c>
    </row>
    <row r="3416" spans="2:4">
      <c r="B3416" s="6" t="s">
        <v>314</v>
      </c>
      <c r="C3416" s="6" t="s">
        <v>249</v>
      </c>
      <c r="D3416" s="5">
        <v>44949</v>
      </c>
    </row>
    <row r="3417" spans="2:4">
      <c r="B3417" s="6" t="s">
        <v>52</v>
      </c>
      <c r="C3417" s="6" t="s">
        <v>44</v>
      </c>
      <c r="D3417" s="5">
        <v>44949</v>
      </c>
    </row>
    <row r="3418" spans="2:4">
      <c r="B3418" s="6" t="s">
        <v>294</v>
      </c>
      <c r="C3418" s="6" t="s">
        <v>347</v>
      </c>
      <c r="D3418" s="5">
        <v>44949</v>
      </c>
    </row>
    <row r="3419" spans="2:4">
      <c r="B3419" s="6" t="s">
        <v>278</v>
      </c>
      <c r="C3419" s="6" t="s">
        <v>176</v>
      </c>
      <c r="D3419" s="5">
        <v>44949</v>
      </c>
    </row>
    <row r="3420" spans="2:4">
      <c r="B3420" s="6" t="s">
        <v>122</v>
      </c>
      <c r="C3420" s="6" t="s">
        <v>419</v>
      </c>
      <c r="D3420" s="5">
        <v>44949</v>
      </c>
    </row>
    <row r="3421" spans="2:4">
      <c r="B3421" s="6" t="s">
        <v>422</v>
      </c>
      <c r="C3421" s="6" t="s">
        <v>101</v>
      </c>
      <c r="D3421" s="5">
        <v>44949</v>
      </c>
    </row>
    <row r="3422" spans="2:4">
      <c r="B3422" s="6" t="s">
        <v>277</v>
      </c>
      <c r="C3422" s="6" t="s">
        <v>335</v>
      </c>
      <c r="D3422" s="5">
        <v>44949</v>
      </c>
    </row>
    <row r="3423" spans="2:4">
      <c r="B3423" s="6" t="s">
        <v>276</v>
      </c>
      <c r="C3423" s="6" t="s">
        <v>264</v>
      </c>
      <c r="D3423" s="5">
        <v>44949</v>
      </c>
    </row>
    <row r="3424" spans="2:4">
      <c r="B3424" s="6" t="s">
        <v>96</v>
      </c>
      <c r="C3424" s="6" t="s">
        <v>116</v>
      </c>
      <c r="D3424" s="5">
        <v>44949</v>
      </c>
    </row>
    <row r="3425" spans="2:4">
      <c r="B3425" s="6" t="s">
        <v>238</v>
      </c>
      <c r="C3425" s="6" t="s">
        <v>310</v>
      </c>
      <c r="D3425" s="5">
        <v>44949</v>
      </c>
    </row>
    <row r="3426" spans="2:4">
      <c r="B3426" s="6" t="s">
        <v>308</v>
      </c>
      <c r="C3426" s="6" t="s">
        <v>399</v>
      </c>
      <c r="D3426" s="5">
        <v>44949</v>
      </c>
    </row>
    <row r="3427" spans="2:4">
      <c r="B3427" s="6" t="s">
        <v>156</v>
      </c>
      <c r="C3427" s="6" t="s">
        <v>232</v>
      </c>
      <c r="D3427" s="5">
        <v>44949</v>
      </c>
    </row>
    <row r="3428" spans="2:4">
      <c r="B3428" s="6" t="s">
        <v>364</v>
      </c>
      <c r="C3428" s="6" t="s">
        <v>170</v>
      </c>
      <c r="D3428" s="5">
        <v>44949</v>
      </c>
    </row>
    <row r="3429" spans="2:4">
      <c r="B3429" s="6" t="s">
        <v>303</v>
      </c>
      <c r="C3429" s="6" t="s">
        <v>181</v>
      </c>
      <c r="D3429" s="5">
        <v>44949</v>
      </c>
    </row>
    <row r="3430" spans="2:4">
      <c r="B3430" s="6" t="s">
        <v>332</v>
      </c>
      <c r="C3430" s="6" t="s">
        <v>382</v>
      </c>
      <c r="D3430" s="5">
        <v>44949</v>
      </c>
    </row>
    <row r="3431" spans="2:4">
      <c r="B3431" s="6" t="s">
        <v>28</v>
      </c>
      <c r="C3431" s="6" t="s">
        <v>26</v>
      </c>
      <c r="D3431" s="5">
        <v>44949</v>
      </c>
    </row>
    <row r="3432" spans="2:4">
      <c r="B3432" s="6" t="s">
        <v>169</v>
      </c>
      <c r="C3432" s="6" t="s">
        <v>189</v>
      </c>
      <c r="D3432" s="5">
        <v>44949</v>
      </c>
    </row>
    <row r="3433" spans="2:4">
      <c r="B3433" s="6" t="s">
        <v>433</v>
      </c>
      <c r="C3433" s="6" t="s">
        <v>198</v>
      </c>
      <c r="D3433" s="5">
        <v>44950</v>
      </c>
    </row>
    <row r="3434" spans="2:4">
      <c r="B3434" s="6" t="s">
        <v>64</v>
      </c>
      <c r="C3434" s="6" t="s">
        <v>781</v>
      </c>
      <c r="D3434" s="5">
        <v>44950</v>
      </c>
    </row>
    <row r="3435" spans="2:4">
      <c r="B3435" s="6" t="s">
        <v>84</v>
      </c>
      <c r="C3435" s="6" t="s">
        <v>81</v>
      </c>
      <c r="D3435" s="5">
        <v>44950</v>
      </c>
    </row>
    <row r="3436" spans="2:4">
      <c r="B3436" s="6" t="s">
        <v>60</v>
      </c>
      <c r="C3436" s="6" t="s">
        <v>777</v>
      </c>
      <c r="D3436" s="5">
        <v>44950</v>
      </c>
    </row>
    <row r="3437" spans="2:4">
      <c r="B3437" s="6" t="s">
        <v>275</v>
      </c>
      <c r="C3437" s="6" t="s">
        <v>95</v>
      </c>
      <c r="D3437" s="5">
        <v>44950</v>
      </c>
    </row>
    <row r="3438" spans="2:4">
      <c r="B3438" s="6" t="s">
        <v>770</v>
      </c>
      <c r="C3438" s="6" t="s">
        <v>46</v>
      </c>
      <c r="D3438" s="5">
        <v>44950</v>
      </c>
    </row>
    <row r="3439" spans="2:4">
      <c r="B3439" s="6" t="s">
        <v>737</v>
      </c>
      <c r="C3439" s="6" t="s">
        <v>48</v>
      </c>
      <c r="D3439" s="5">
        <v>44950</v>
      </c>
    </row>
    <row r="3440" spans="2:4">
      <c r="B3440" s="6" t="s">
        <v>41</v>
      </c>
      <c r="C3440" s="6" t="s">
        <v>155</v>
      </c>
      <c r="D3440" s="5">
        <v>44950</v>
      </c>
    </row>
    <row r="3441" spans="2:4">
      <c r="B3441" s="6" t="s">
        <v>762</v>
      </c>
      <c r="C3441" s="6" t="s">
        <v>87</v>
      </c>
      <c r="D3441" s="5">
        <v>44950</v>
      </c>
    </row>
    <row r="3442" spans="2:4">
      <c r="B3442" s="6" t="s">
        <v>210</v>
      </c>
      <c r="C3442" s="6" t="s">
        <v>199</v>
      </c>
      <c r="D3442" s="5">
        <v>44950</v>
      </c>
    </row>
    <row r="3443" spans="2:4">
      <c r="B3443" s="6" t="s">
        <v>140</v>
      </c>
      <c r="C3443" s="6" t="s">
        <v>247</v>
      </c>
      <c r="D3443" s="5">
        <v>44950</v>
      </c>
    </row>
    <row r="3444" spans="2:4">
      <c r="B3444" s="6" t="s">
        <v>362</v>
      </c>
      <c r="C3444" s="6" t="s">
        <v>288</v>
      </c>
      <c r="D3444" s="5">
        <v>44950</v>
      </c>
    </row>
    <row r="3445" spans="2:4">
      <c r="B3445" s="6" t="s">
        <v>105</v>
      </c>
      <c r="C3445" s="6" t="s">
        <v>209</v>
      </c>
      <c r="D3445" s="5">
        <v>44950</v>
      </c>
    </row>
    <row r="3446" spans="2:4">
      <c r="B3446" s="6" t="s">
        <v>109</v>
      </c>
      <c r="C3446" s="6" t="s">
        <v>203</v>
      </c>
      <c r="D3446" s="5">
        <v>44950</v>
      </c>
    </row>
    <row r="3447" spans="2:4">
      <c r="B3447" s="6" t="s">
        <v>127</v>
      </c>
      <c r="C3447" s="6" t="s">
        <v>414</v>
      </c>
      <c r="D3447" s="5">
        <v>44950</v>
      </c>
    </row>
    <row r="3448" spans="2:4">
      <c r="B3448" s="6" t="s">
        <v>34</v>
      </c>
      <c r="C3448" s="6" t="s">
        <v>29</v>
      </c>
      <c r="D3448" s="5">
        <v>44950</v>
      </c>
    </row>
    <row r="3449" spans="2:4">
      <c r="B3449" s="6" t="s">
        <v>400</v>
      </c>
      <c r="C3449" s="6" t="s">
        <v>180</v>
      </c>
      <c r="D3449" s="5">
        <v>44950</v>
      </c>
    </row>
    <row r="3450" spans="2:4">
      <c r="B3450" s="6" t="s">
        <v>320</v>
      </c>
      <c r="C3450" s="6" t="s">
        <v>280</v>
      </c>
      <c r="D3450" s="5">
        <v>44950</v>
      </c>
    </row>
    <row r="3451" spans="2:4">
      <c r="B3451" s="6" t="s">
        <v>241</v>
      </c>
      <c r="C3451" s="6" t="s">
        <v>312</v>
      </c>
      <c r="D3451" s="5">
        <v>44950</v>
      </c>
    </row>
    <row r="3452" spans="2:4">
      <c r="B3452" s="6" t="s">
        <v>67</v>
      </c>
      <c r="C3452" s="6" t="s">
        <v>68</v>
      </c>
      <c r="D3452" s="5">
        <v>44950</v>
      </c>
    </row>
    <row r="3453" spans="2:4">
      <c r="B3453" s="6" t="s">
        <v>47</v>
      </c>
      <c r="C3453" s="6" t="s">
        <v>251</v>
      </c>
      <c r="D3453" s="5">
        <v>44950</v>
      </c>
    </row>
    <row r="3454" spans="2:4">
      <c r="B3454" s="6" t="s">
        <v>185</v>
      </c>
      <c r="C3454" s="6" t="s">
        <v>80</v>
      </c>
      <c r="D3454" s="5">
        <v>44950</v>
      </c>
    </row>
    <row r="3455" spans="2:4">
      <c r="B3455" s="6" t="s">
        <v>30</v>
      </c>
      <c r="C3455" s="6" t="s">
        <v>778</v>
      </c>
      <c r="D3455" s="5">
        <v>44950</v>
      </c>
    </row>
    <row r="3456" spans="2:4">
      <c r="B3456" s="6" t="s">
        <v>747</v>
      </c>
      <c r="C3456" s="6" t="s">
        <v>750</v>
      </c>
      <c r="D3456" s="5">
        <v>44950</v>
      </c>
    </row>
    <row r="3457" spans="2:4">
      <c r="B3457" s="6" t="s">
        <v>363</v>
      </c>
      <c r="C3457" s="6" t="s">
        <v>325</v>
      </c>
      <c r="D3457" s="5">
        <v>44950</v>
      </c>
    </row>
    <row r="3458" spans="2:4">
      <c r="B3458" s="6" t="s">
        <v>51</v>
      </c>
      <c r="C3458" s="6" t="s">
        <v>50</v>
      </c>
      <c r="D3458" s="5">
        <v>44950</v>
      </c>
    </row>
    <row r="3459" spans="2:4">
      <c r="B3459" s="6" t="s">
        <v>162</v>
      </c>
      <c r="C3459" s="6" t="s">
        <v>394</v>
      </c>
      <c r="D3459" s="5">
        <v>44950</v>
      </c>
    </row>
    <row r="3460" spans="2:4">
      <c r="B3460" s="6" t="s">
        <v>163</v>
      </c>
      <c r="C3460" s="6" t="s">
        <v>152</v>
      </c>
      <c r="D3460" s="5">
        <v>44950</v>
      </c>
    </row>
    <row r="3461" spans="2:4">
      <c r="B3461" s="6" t="s">
        <v>131</v>
      </c>
      <c r="C3461" s="6" t="s">
        <v>114</v>
      </c>
      <c r="D3461" s="5">
        <v>44951</v>
      </c>
    </row>
    <row r="3462" spans="2:4">
      <c r="B3462" s="6" t="s">
        <v>732</v>
      </c>
      <c r="C3462" s="6" t="s">
        <v>39</v>
      </c>
      <c r="D3462" s="5">
        <v>44951</v>
      </c>
    </row>
    <row r="3463" spans="2:4">
      <c r="B3463" s="6" t="s">
        <v>297</v>
      </c>
      <c r="C3463" s="6" t="s">
        <v>192</v>
      </c>
      <c r="D3463" s="5">
        <v>44951</v>
      </c>
    </row>
    <row r="3464" spans="2:4">
      <c r="B3464" s="6" t="s">
        <v>411</v>
      </c>
      <c r="C3464" s="6" t="s">
        <v>212</v>
      </c>
      <c r="D3464" s="5">
        <v>44951</v>
      </c>
    </row>
    <row r="3465" spans="2:4">
      <c r="B3465" s="6" t="s">
        <v>86</v>
      </c>
      <c r="C3465" s="6" t="s">
        <v>89</v>
      </c>
      <c r="D3465" s="5">
        <v>44951</v>
      </c>
    </row>
    <row r="3466" spans="2:4">
      <c r="B3466" s="6" t="s">
        <v>124</v>
      </c>
      <c r="C3466" s="6" t="s">
        <v>214</v>
      </c>
      <c r="D3466" s="5">
        <v>44951</v>
      </c>
    </row>
    <row r="3467" spans="2:4">
      <c r="B3467" s="6" t="s">
        <v>27</v>
      </c>
      <c r="C3467" s="6" t="s">
        <v>32</v>
      </c>
      <c r="D3467" s="5">
        <v>44951</v>
      </c>
    </row>
    <row r="3468" spans="2:4">
      <c r="B3468" s="6" t="s">
        <v>122</v>
      </c>
      <c r="C3468" s="6" t="s">
        <v>590</v>
      </c>
      <c r="D3468" s="5">
        <v>44951</v>
      </c>
    </row>
    <row r="3469" spans="2:4">
      <c r="B3469" s="6" t="s">
        <v>145</v>
      </c>
      <c r="C3469" s="6" t="s">
        <v>231</v>
      </c>
      <c r="D3469" s="5">
        <v>44951</v>
      </c>
    </row>
    <row r="3470" spans="2:4">
      <c r="B3470" s="6" t="s">
        <v>137</v>
      </c>
      <c r="C3470" s="6" t="s">
        <v>580</v>
      </c>
      <c r="D3470" s="5">
        <v>44951</v>
      </c>
    </row>
    <row r="3471" spans="2:4">
      <c r="B3471" s="6" t="s">
        <v>360</v>
      </c>
      <c r="C3471" s="6" t="s">
        <v>148</v>
      </c>
      <c r="D3471" s="5">
        <v>44951</v>
      </c>
    </row>
    <row r="3472" spans="2:4">
      <c r="B3472" s="6" t="s">
        <v>49</v>
      </c>
      <c r="C3472" s="6" t="s">
        <v>53</v>
      </c>
      <c r="D3472" s="5">
        <v>44951</v>
      </c>
    </row>
    <row r="3473" spans="2:4">
      <c r="B3473" s="6" t="s">
        <v>126</v>
      </c>
      <c r="C3473" s="6" t="s">
        <v>205</v>
      </c>
      <c r="D3473" s="5">
        <v>44951</v>
      </c>
    </row>
    <row r="3474" spans="2:4">
      <c r="B3474" s="6" t="s">
        <v>174</v>
      </c>
      <c r="C3474" s="6" t="s">
        <v>269</v>
      </c>
      <c r="D3474" s="5">
        <v>44951</v>
      </c>
    </row>
    <row r="3475" spans="2:4">
      <c r="B3475" s="6" t="s">
        <v>177</v>
      </c>
      <c r="C3475" s="6" t="s">
        <v>301</v>
      </c>
      <c r="D3475" s="5">
        <v>44951</v>
      </c>
    </row>
    <row r="3476" spans="2:4">
      <c r="B3476" s="6" t="s">
        <v>253</v>
      </c>
      <c r="C3476" s="6" t="s">
        <v>215</v>
      </c>
      <c r="D3476" s="5">
        <v>44951</v>
      </c>
    </row>
    <row r="3477" spans="2:4">
      <c r="B3477" s="6" t="s">
        <v>113</v>
      </c>
      <c r="C3477" s="6" t="s">
        <v>220</v>
      </c>
      <c r="D3477" s="5">
        <v>44951</v>
      </c>
    </row>
    <row r="3478" spans="2:4">
      <c r="B3478" s="6" t="s">
        <v>56</v>
      </c>
      <c r="C3478" s="6" t="s">
        <v>65</v>
      </c>
      <c r="D3478" s="5">
        <v>44951</v>
      </c>
    </row>
    <row r="3479" spans="2:4">
      <c r="B3479" s="6" t="s">
        <v>79</v>
      </c>
      <c r="C3479" s="6" t="s">
        <v>90</v>
      </c>
      <c r="D3479" s="5">
        <v>44951</v>
      </c>
    </row>
    <row r="3480" spans="2:4">
      <c r="B3480" s="6" t="s">
        <v>337</v>
      </c>
      <c r="C3480" s="6" t="s">
        <v>334</v>
      </c>
      <c r="D3480" s="5">
        <v>44951</v>
      </c>
    </row>
    <row r="3481" spans="2:4">
      <c r="B3481" s="6" t="s">
        <v>300</v>
      </c>
      <c r="C3481" s="6" t="s">
        <v>200</v>
      </c>
      <c r="D3481" s="5">
        <v>44951</v>
      </c>
    </row>
    <row r="3482" spans="2:4">
      <c r="B3482" s="6" t="s">
        <v>284</v>
      </c>
      <c r="C3482" s="6" t="s">
        <v>350</v>
      </c>
      <c r="D3482" s="5">
        <v>44951</v>
      </c>
    </row>
    <row r="3483" spans="2:4">
      <c r="B3483" s="6" t="s">
        <v>121</v>
      </c>
      <c r="C3483" s="6" t="s">
        <v>281</v>
      </c>
      <c r="D3483" s="5">
        <v>44951</v>
      </c>
    </row>
    <row r="3484" spans="2:4">
      <c r="B3484" s="6" t="s">
        <v>252</v>
      </c>
      <c r="C3484" s="6" t="s">
        <v>349</v>
      </c>
      <c r="D3484" s="5">
        <v>44951</v>
      </c>
    </row>
    <row r="3485" spans="2:4">
      <c r="B3485" s="6" t="s">
        <v>202</v>
      </c>
      <c r="C3485" s="6" t="s">
        <v>395</v>
      </c>
      <c r="D3485" s="5">
        <v>44951</v>
      </c>
    </row>
    <row r="3486" spans="2:4">
      <c r="B3486" s="6" t="s">
        <v>425</v>
      </c>
      <c r="C3486" s="6" t="s">
        <v>273</v>
      </c>
      <c r="D3486" s="5">
        <v>44951</v>
      </c>
    </row>
    <row r="3487" spans="2:4">
      <c r="B3487" s="6" t="s">
        <v>191</v>
      </c>
      <c r="C3487" s="6" t="s">
        <v>270</v>
      </c>
      <c r="D3487" s="5">
        <v>44951</v>
      </c>
    </row>
    <row r="3488" spans="2:4">
      <c r="B3488" s="6" t="s">
        <v>110</v>
      </c>
      <c r="C3488" s="6" t="s">
        <v>298</v>
      </c>
      <c r="D3488" s="5">
        <v>44951</v>
      </c>
    </row>
    <row r="3489" spans="2:4">
      <c r="B3489" s="6" t="s">
        <v>287</v>
      </c>
      <c r="C3489" s="6" t="s">
        <v>282</v>
      </c>
      <c r="D3489" s="5">
        <v>44951</v>
      </c>
    </row>
    <row r="3490" spans="2:4">
      <c r="B3490" s="6" t="s">
        <v>104</v>
      </c>
      <c r="C3490" s="6" t="s">
        <v>103</v>
      </c>
      <c r="D3490" s="5">
        <v>44951</v>
      </c>
    </row>
    <row r="3491" spans="2:4">
      <c r="B3491" s="6" t="s">
        <v>267</v>
      </c>
      <c r="C3491" s="6" t="s">
        <v>261</v>
      </c>
      <c r="D3491" s="5">
        <v>44951</v>
      </c>
    </row>
    <row r="3492" spans="2:4">
      <c r="B3492" s="6" t="s">
        <v>171</v>
      </c>
      <c r="C3492" s="6" t="s">
        <v>436</v>
      </c>
      <c r="D3492" s="5">
        <v>44951</v>
      </c>
    </row>
    <row r="3493" spans="2:4">
      <c r="B3493" s="6" t="s">
        <v>111</v>
      </c>
      <c r="C3493" s="6" t="s">
        <v>102</v>
      </c>
      <c r="D3493" s="5">
        <v>44951</v>
      </c>
    </row>
    <row r="3494" spans="2:4">
      <c r="B3494" s="6" t="s">
        <v>296</v>
      </c>
      <c r="C3494" s="6" t="s">
        <v>172</v>
      </c>
      <c r="D3494" s="5">
        <v>44951</v>
      </c>
    </row>
    <row r="3495" spans="2:4">
      <c r="B3495" s="6" t="s">
        <v>290</v>
      </c>
      <c r="C3495" s="6" t="s">
        <v>344</v>
      </c>
      <c r="D3495" s="5">
        <v>44951</v>
      </c>
    </row>
    <row r="3496" spans="2:4">
      <c r="B3496" s="6" t="s">
        <v>318</v>
      </c>
      <c r="C3496" s="6" t="s">
        <v>139</v>
      </c>
      <c r="D3496" s="5">
        <v>44951</v>
      </c>
    </row>
    <row r="3497" spans="2:4">
      <c r="B3497" s="6" t="s">
        <v>213</v>
      </c>
      <c r="C3497" s="6" t="s">
        <v>186</v>
      </c>
      <c r="D3497" s="5">
        <v>44951</v>
      </c>
    </row>
    <row r="3498" spans="2:4">
      <c r="B3498" s="6" t="s">
        <v>119</v>
      </c>
      <c r="C3498" s="6" t="s">
        <v>326</v>
      </c>
      <c r="D3498" s="5">
        <v>44951</v>
      </c>
    </row>
    <row r="3499" spans="2:4">
      <c r="B3499" s="6" t="s">
        <v>323</v>
      </c>
      <c r="C3499" s="6" t="s">
        <v>159</v>
      </c>
      <c r="D3499" s="5">
        <v>44951</v>
      </c>
    </row>
    <row r="3500" spans="2:4">
      <c r="B3500" s="6" t="s">
        <v>40</v>
      </c>
      <c r="C3500" s="6" t="s">
        <v>42</v>
      </c>
      <c r="D3500" s="5">
        <v>44951</v>
      </c>
    </row>
    <row r="3501" spans="2:4">
      <c r="B3501" s="6" t="s">
        <v>38</v>
      </c>
      <c r="C3501" s="6" t="s">
        <v>302</v>
      </c>
      <c r="D3501" s="5">
        <v>44951</v>
      </c>
    </row>
    <row r="3502" spans="2:4">
      <c r="B3502" s="6" t="s">
        <v>63</v>
      </c>
      <c r="C3502" s="6" t="s">
        <v>62</v>
      </c>
      <c r="D3502" s="5">
        <v>44951</v>
      </c>
    </row>
    <row r="3503" spans="2:4">
      <c r="B3503" s="6" t="s">
        <v>83</v>
      </c>
      <c r="C3503" s="6" t="s">
        <v>91</v>
      </c>
      <c r="D3503" s="5">
        <v>44951</v>
      </c>
    </row>
    <row r="3504" spans="2:4">
      <c r="B3504" s="6" t="s">
        <v>82</v>
      </c>
      <c r="C3504" s="6" t="s">
        <v>763</v>
      </c>
      <c r="D3504" s="5">
        <v>44951</v>
      </c>
    </row>
    <row r="3505" spans="2:4">
      <c r="B3505" s="6" t="s">
        <v>352</v>
      </c>
      <c r="C3505" s="6" t="s">
        <v>221</v>
      </c>
      <c r="D3505" s="5">
        <v>44951</v>
      </c>
    </row>
    <row r="3506" spans="2:4">
      <c r="B3506" s="6" t="s">
        <v>54</v>
      </c>
      <c r="C3506" s="6" t="s">
        <v>43</v>
      </c>
      <c r="D3506" s="5">
        <v>44951</v>
      </c>
    </row>
    <row r="3507" spans="2:4">
      <c r="B3507" s="6" t="s">
        <v>93</v>
      </c>
      <c r="C3507" s="6" t="s">
        <v>347</v>
      </c>
      <c r="D3507" s="5">
        <v>44951</v>
      </c>
    </row>
    <row r="3508" spans="2:4">
      <c r="B3508" s="6" t="s">
        <v>392</v>
      </c>
      <c r="C3508" s="6" t="s">
        <v>168</v>
      </c>
      <c r="D3508" s="5">
        <v>44951</v>
      </c>
    </row>
    <row r="3509" spans="2:4">
      <c r="B3509" s="6" t="s">
        <v>165</v>
      </c>
      <c r="C3509" s="6" t="s">
        <v>166</v>
      </c>
      <c r="D3509" s="5">
        <v>44952</v>
      </c>
    </row>
    <row r="3510" spans="2:4">
      <c r="B3510" s="6" t="s">
        <v>98</v>
      </c>
      <c r="C3510" s="6" t="s">
        <v>587</v>
      </c>
      <c r="D3510" s="5">
        <v>44952</v>
      </c>
    </row>
    <row r="3511" spans="2:4">
      <c r="B3511" s="6" t="s">
        <v>286</v>
      </c>
      <c r="C3511" s="6" t="s">
        <v>259</v>
      </c>
      <c r="D3511" s="5">
        <v>44952</v>
      </c>
    </row>
    <row r="3512" spans="2:4">
      <c r="B3512" s="6" t="s">
        <v>248</v>
      </c>
      <c r="C3512" s="6" t="s">
        <v>255</v>
      </c>
      <c r="D3512" s="5">
        <v>44952</v>
      </c>
    </row>
    <row r="3513" spans="2:4">
      <c r="B3513" s="6" t="s">
        <v>144</v>
      </c>
      <c r="C3513" s="6" t="s">
        <v>341</v>
      </c>
      <c r="D3513" s="5">
        <v>44952</v>
      </c>
    </row>
    <row r="3514" spans="2:4">
      <c r="B3514" s="6" t="s">
        <v>274</v>
      </c>
      <c r="C3514" s="6" t="s">
        <v>313</v>
      </c>
      <c r="D3514" s="5">
        <v>44952</v>
      </c>
    </row>
    <row r="3515" spans="2:4">
      <c r="B3515" s="6" t="s">
        <v>421</v>
      </c>
      <c r="C3515" s="6" t="s">
        <v>242</v>
      </c>
      <c r="D3515" s="5">
        <v>44952</v>
      </c>
    </row>
    <row r="3516" spans="2:4">
      <c r="B3516" s="6" t="s">
        <v>233</v>
      </c>
      <c r="C3516" s="6" t="s">
        <v>112</v>
      </c>
      <c r="D3516" s="5">
        <v>44952</v>
      </c>
    </row>
    <row r="3517" spans="2:4">
      <c r="B3517" s="6" t="s">
        <v>761</v>
      </c>
      <c r="C3517" s="6" t="s">
        <v>61</v>
      </c>
      <c r="D3517" s="5">
        <v>44952</v>
      </c>
    </row>
    <row r="3518" spans="2:4">
      <c r="B3518" s="6" t="s">
        <v>336</v>
      </c>
      <c r="C3518" s="6" t="s">
        <v>405</v>
      </c>
      <c r="D3518" s="5">
        <v>44952</v>
      </c>
    </row>
    <row r="3519" spans="2:4">
      <c r="B3519" s="6" t="s">
        <v>246</v>
      </c>
      <c r="C3519" s="6" t="s">
        <v>175</v>
      </c>
      <c r="D3519" s="5">
        <v>44952</v>
      </c>
    </row>
    <row r="3520" spans="2:4">
      <c r="B3520" s="6" t="s">
        <v>410</v>
      </c>
      <c r="C3520" s="6" t="s">
        <v>338</v>
      </c>
      <c r="D3520" s="5">
        <v>44952</v>
      </c>
    </row>
    <row r="3521" spans="2:4">
      <c r="B3521" s="6" t="s">
        <v>193</v>
      </c>
      <c r="C3521" s="6" t="s">
        <v>333</v>
      </c>
      <c r="D3521" s="5">
        <v>44952</v>
      </c>
    </row>
    <row r="3522" spans="2:4">
      <c r="B3522" s="6" t="s">
        <v>409</v>
      </c>
      <c r="C3522" s="6" t="s">
        <v>294</v>
      </c>
      <c r="D3522" s="5">
        <v>44952</v>
      </c>
    </row>
    <row r="3523" spans="2:4">
      <c r="B3523" s="6" t="s">
        <v>330</v>
      </c>
      <c r="C3523" s="6" t="s">
        <v>208</v>
      </c>
      <c r="D3523" s="5">
        <v>44952</v>
      </c>
    </row>
    <row r="3524" spans="2:4">
      <c r="B3524" s="6" t="s">
        <v>305</v>
      </c>
      <c r="C3524" s="6" t="s">
        <v>240</v>
      </c>
      <c r="D3524" s="5">
        <v>44952</v>
      </c>
    </row>
    <row r="3525" spans="2:4">
      <c r="B3525" s="6" t="s">
        <v>266</v>
      </c>
      <c r="C3525" s="6" t="s">
        <v>358</v>
      </c>
      <c r="D3525" s="5">
        <v>44952</v>
      </c>
    </row>
    <row r="3526" spans="2:4">
      <c r="B3526" s="6" t="s">
        <v>256</v>
      </c>
      <c r="C3526" s="6" t="s">
        <v>324</v>
      </c>
      <c r="D3526" s="5">
        <v>44952</v>
      </c>
    </row>
    <row r="3527" spans="2:4">
      <c r="B3527" s="6" t="s">
        <v>179</v>
      </c>
      <c r="C3527" s="6" t="s">
        <v>118</v>
      </c>
      <c r="D3527" s="5">
        <v>44952</v>
      </c>
    </row>
    <row r="3528" spans="2:4">
      <c r="B3528" s="6" t="s">
        <v>268</v>
      </c>
      <c r="C3528" s="6" t="s">
        <v>146</v>
      </c>
      <c r="D3528" s="5">
        <v>44952</v>
      </c>
    </row>
    <row r="3529" spans="2:4">
      <c r="B3529" s="6" t="s">
        <v>327</v>
      </c>
      <c r="C3529" s="6" t="s">
        <v>115</v>
      </c>
      <c r="D3529" s="5">
        <v>44952</v>
      </c>
    </row>
    <row r="3530" spans="2:4">
      <c r="B3530" s="6" t="s">
        <v>129</v>
      </c>
      <c r="C3530" s="6" t="s">
        <v>178</v>
      </c>
      <c r="D3530" s="5">
        <v>44952</v>
      </c>
    </row>
    <row r="3531" spans="2:4">
      <c r="B3531" s="6" t="s">
        <v>413</v>
      </c>
      <c r="C3531" s="6" t="s">
        <v>99</v>
      </c>
      <c r="D3531" s="5">
        <v>44952</v>
      </c>
    </row>
    <row r="3532" spans="2:4">
      <c r="B3532" s="6" t="s">
        <v>123</v>
      </c>
      <c r="C3532" s="6" t="s">
        <v>272</v>
      </c>
      <c r="D3532" s="5">
        <v>44952</v>
      </c>
    </row>
    <row r="3533" spans="2:4">
      <c r="B3533" s="6" t="s">
        <v>610</v>
      </c>
      <c r="C3533" s="6" t="s">
        <v>292</v>
      </c>
      <c r="D3533" s="5">
        <v>44952</v>
      </c>
    </row>
    <row r="3534" spans="2:4">
      <c r="B3534" s="6" t="s">
        <v>173</v>
      </c>
      <c r="C3534" s="6" t="s">
        <v>120</v>
      </c>
      <c r="D3534" s="5">
        <v>44952</v>
      </c>
    </row>
    <row r="3535" spans="2:4">
      <c r="B3535" s="6" t="s">
        <v>201</v>
      </c>
      <c r="C3535" s="6" t="s">
        <v>142</v>
      </c>
      <c r="D3535" s="5">
        <v>44952</v>
      </c>
    </row>
    <row r="3536" spans="2:4">
      <c r="B3536" s="6" t="s">
        <v>356</v>
      </c>
      <c r="C3536" s="6" t="s">
        <v>147</v>
      </c>
      <c r="D3536" s="5">
        <v>44952</v>
      </c>
    </row>
    <row r="3537" spans="2:4">
      <c r="B3537" s="6" t="s">
        <v>143</v>
      </c>
      <c r="C3537" s="6" t="s">
        <v>182</v>
      </c>
      <c r="D3537" s="5">
        <v>44952</v>
      </c>
    </row>
    <row r="3538" spans="2:4">
      <c r="B3538" s="6" t="s">
        <v>94</v>
      </c>
      <c r="C3538" s="6" t="s">
        <v>588</v>
      </c>
      <c r="D3538" s="5">
        <v>44952</v>
      </c>
    </row>
    <row r="3539" spans="2:4">
      <c r="B3539" s="6" t="s">
        <v>388</v>
      </c>
      <c r="C3539" s="6" t="s">
        <v>607</v>
      </c>
      <c r="D3539" s="5">
        <v>44952</v>
      </c>
    </row>
    <row r="3540" spans="2:4">
      <c r="B3540" s="6" t="s">
        <v>345</v>
      </c>
      <c r="C3540" s="6" t="s">
        <v>381</v>
      </c>
      <c r="D3540" s="5">
        <v>44952</v>
      </c>
    </row>
    <row r="3541" spans="2:4">
      <c r="B3541" s="6" t="s">
        <v>365</v>
      </c>
      <c r="C3541" s="6" t="s">
        <v>194</v>
      </c>
      <c r="D3541" s="5">
        <v>44952</v>
      </c>
    </row>
    <row r="3542" spans="2:4">
      <c r="B3542" s="6" t="s">
        <v>316</v>
      </c>
      <c r="C3542" s="6" t="s">
        <v>367</v>
      </c>
      <c r="D3542" s="5">
        <v>44952</v>
      </c>
    </row>
    <row r="3543" spans="2:4">
      <c r="B3543" s="6" t="s">
        <v>306</v>
      </c>
      <c r="C3543" s="6" t="s">
        <v>136</v>
      </c>
      <c r="D3543" s="5">
        <v>44952</v>
      </c>
    </row>
    <row r="3544" spans="2:4">
      <c r="B3544" s="6" t="s">
        <v>150</v>
      </c>
      <c r="C3544" s="6" t="s">
        <v>289</v>
      </c>
      <c r="D3544" s="5">
        <v>44952</v>
      </c>
    </row>
    <row r="3545" spans="2:4">
      <c r="B3545" s="6" t="s">
        <v>348</v>
      </c>
      <c r="C3545" s="6" t="s">
        <v>385</v>
      </c>
      <c r="D3545" s="5">
        <v>44952</v>
      </c>
    </row>
    <row r="3546" spans="2:4">
      <c r="B3546" s="6" t="s">
        <v>331</v>
      </c>
      <c r="C3546" s="6" t="s">
        <v>357</v>
      </c>
      <c r="D3546" s="5">
        <v>44952</v>
      </c>
    </row>
    <row r="3547" spans="2:4">
      <c r="B3547" s="6" t="s">
        <v>184</v>
      </c>
      <c r="C3547" s="6" t="s">
        <v>151</v>
      </c>
      <c r="D3547" s="5">
        <v>44952</v>
      </c>
    </row>
    <row r="3548" spans="2:4">
      <c r="B3548" s="6" t="s">
        <v>321</v>
      </c>
      <c r="C3548" s="6" t="s">
        <v>309</v>
      </c>
      <c r="D3548" s="5">
        <v>44952</v>
      </c>
    </row>
    <row r="3549" spans="2:4">
      <c r="B3549" s="6" t="s">
        <v>353</v>
      </c>
      <c r="C3549" s="6" t="s">
        <v>128</v>
      </c>
      <c r="D3549" s="5">
        <v>44952</v>
      </c>
    </row>
    <row r="3550" spans="2:4">
      <c r="B3550" s="6" t="s">
        <v>355</v>
      </c>
      <c r="C3550" s="6" t="s">
        <v>354</v>
      </c>
      <c r="D3550" s="5">
        <v>44952</v>
      </c>
    </row>
    <row r="3551" spans="2:4">
      <c r="B3551" s="6" t="s">
        <v>295</v>
      </c>
      <c r="C3551" s="6" t="s">
        <v>342</v>
      </c>
      <c r="D3551" s="5">
        <v>44952</v>
      </c>
    </row>
    <row r="3552" spans="2:4">
      <c r="B3552" s="6" t="s">
        <v>640</v>
      </c>
      <c r="C3552" s="6" t="s">
        <v>319</v>
      </c>
      <c r="D3552" s="5">
        <v>44952</v>
      </c>
    </row>
    <row r="3553" spans="2:4">
      <c r="B3553" s="6" t="s">
        <v>183</v>
      </c>
      <c r="C3553" s="6" t="s">
        <v>134</v>
      </c>
      <c r="D3553" s="5">
        <v>44952</v>
      </c>
    </row>
    <row r="3554" spans="2:4">
      <c r="B3554" s="6" t="s">
        <v>415</v>
      </c>
      <c r="C3554" s="6" t="s">
        <v>424</v>
      </c>
      <c r="D3554" s="5">
        <v>44952</v>
      </c>
    </row>
    <row r="3555" spans="2:4">
      <c r="B3555" s="6" t="s">
        <v>304</v>
      </c>
      <c r="C3555" s="6" t="s">
        <v>370</v>
      </c>
      <c r="D3555" s="5">
        <v>44952</v>
      </c>
    </row>
    <row r="3556" spans="2:4">
      <c r="B3556" s="6" t="s">
        <v>615</v>
      </c>
      <c r="C3556" s="6" t="s">
        <v>329</v>
      </c>
      <c r="D3556" s="5">
        <v>44952</v>
      </c>
    </row>
    <row r="3557" spans="2:4">
      <c r="B3557" s="6" t="s">
        <v>74</v>
      </c>
      <c r="C3557" s="6" t="s">
        <v>75</v>
      </c>
      <c r="D3557" s="5">
        <v>44952</v>
      </c>
    </row>
    <row r="3558" spans="2:4">
      <c r="B3558" s="6" t="s">
        <v>69</v>
      </c>
      <c r="C3558" s="6" t="s">
        <v>72</v>
      </c>
      <c r="D3558" s="5">
        <v>44952</v>
      </c>
    </row>
    <row r="3559" spans="2:4">
      <c r="B3559" s="6" t="s">
        <v>59</v>
      </c>
      <c r="C3559" s="6" t="s">
        <v>58</v>
      </c>
      <c r="D3559" s="5">
        <v>44952</v>
      </c>
    </row>
    <row r="3560" spans="2:4">
      <c r="B3560" s="6" t="s">
        <v>135</v>
      </c>
      <c r="C3560" s="6" t="s">
        <v>368</v>
      </c>
      <c r="D3560" s="5">
        <v>44952</v>
      </c>
    </row>
    <row r="3561" spans="2:4">
      <c r="B3561" s="6" t="s">
        <v>195</v>
      </c>
      <c r="C3561" s="6" t="s">
        <v>373</v>
      </c>
      <c r="D3561" s="5">
        <v>44952</v>
      </c>
    </row>
    <row r="3562" spans="2:4">
      <c r="B3562" s="6" t="s">
        <v>343</v>
      </c>
      <c r="C3562" s="6" t="s">
        <v>584</v>
      </c>
      <c r="D3562" s="5">
        <v>44952</v>
      </c>
    </row>
    <row r="3563" spans="2:4">
      <c r="B3563" s="6" t="s">
        <v>378</v>
      </c>
      <c r="C3563" s="6" t="s">
        <v>383</v>
      </c>
      <c r="D3563" s="5">
        <v>44952</v>
      </c>
    </row>
    <row r="3564" spans="2:4">
      <c r="B3564" s="6" t="s">
        <v>250</v>
      </c>
      <c r="C3564" s="6" t="s">
        <v>603</v>
      </c>
      <c r="D3564" s="5">
        <v>44952</v>
      </c>
    </row>
    <row r="3565" spans="2:4">
      <c r="B3565" s="6" t="s">
        <v>158</v>
      </c>
      <c r="C3565" s="6" t="s">
        <v>206</v>
      </c>
      <c r="D3565" s="5">
        <v>44952</v>
      </c>
    </row>
    <row r="3566" spans="2:4">
      <c r="B3566" s="6" t="s">
        <v>393</v>
      </c>
      <c r="C3566" s="6" t="s">
        <v>153</v>
      </c>
      <c r="D3566" s="5">
        <v>44952</v>
      </c>
    </row>
    <row r="3567" spans="2:4">
      <c r="B3567" s="6" t="s">
        <v>396</v>
      </c>
      <c r="C3567" s="6" t="s">
        <v>161</v>
      </c>
      <c r="D3567" s="5">
        <v>44952</v>
      </c>
    </row>
    <row r="3568" spans="2:4">
      <c r="B3568" s="6" t="s">
        <v>207</v>
      </c>
      <c r="C3568" s="6" t="s">
        <v>420</v>
      </c>
      <c r="D3568" s="5">
        <v>44952</v>
      </c>
    </row>
    <row r="3569" spans="2:4">
      <c r="B3569" s="6" t="s">
        <v>599</v>
      </c>
      <c r="C3569" s="6" t="s">
        <v>236</v>
      </c>
      <c r="D3569" s="5">
        <v>44952</v>
      </c>
    </row>
    <row r="3570" spans="2:4">
      <c r="B3570" s="6" t="s">
        <v>586</v>
      </c>
      <c r="C3570" s="6" t="s">
        <v>141</v>
      </c>
      <c r="D3570" s="5">
        <v>44952</v>
      </c>
    </row>
    <row r="3571" spans="2:4">
      <c r="B3571" s="6" t="s">
        <v>621</v>
      </c>
      <c r="C3571" s="6" t="s">
        <v>167</v>
      </c>
      <c r="D3571" s="5">
        <v>44952</v>
      </c>
    </row>
    <row r="3572" spans="2:4">
      <c r="B3572" s="6" t="s">
        <v>402</v>
      </c>
      <c r="C3572" s="6" t="s">
        <v>391</v>
      </c>
      <c r="D3572" s="5">
        <v>44952</v>
      </c>
    </row>
    <row r="3573" spans="2:4">
      <c r="B3573" s="6" t="s">
        <v>389</v>
      </c>
      <c r="C3573" s="6" t="s">
        <v>190</v>
      </c>
      <c r="D3573" s="5">
        <v>44952</v>
      </c>
    </row>
    <row r="3574" spans="2:4">
      <c r="B3574" s="6" t="s">
        <v>804</v>
      </c>
      <c r="C3574" s="6" t="s">
        <v>70</v>
      </c>
      <c r="D3574" s="5">
        <v>44952</v>
      </c>
    </row>
    <row r="3575" spans="2:4">
      <c r="B3575" s="6" t="s">
        <v>71</v>
      </c>
      <c r="C3575" s="6" t="s">
        <v>719</v>
      </c>
      <c r="D3575" s="5">
        <v>44952</v>
      </c>
    </row>
    <row r="3576" spans="2:4">
      <c r="B3576" s="6" t="s">
        <v>779</v>
      </c>
      <c r="C3576" s="6" t="s">
        <v>77</v>
      </c>
      <c r="D3576" s="5">
        <v>44952</v>
      </c>
    </row>
    <row r="3577" spans="2:4">
      <c r="B3577" s="6" t="s">
        <v>428</v>
      </c>
      <c r="C3577" s="6" t="s">
        <v>423</v>
      </c>
      <c r="D3577" s="5">
        <v>44952</v>
      </c>
    </row>
    <row r="3578" spans="2:4">
      <c r="B3578" s="6" t="s">
        <v>130</v>
      </c>
      <c r="C3578" s="6" t="s">
        <v>285</v>
      </c>
      <c r="D3578" s="5">
        <v>44953</v>
      </c>
    </row>
    <row r="3579" spans="2:4">
      <c r="B3579" s="6" t="s">
        <v>204</v>
      </c>
      <c r="C3579" s="6" t="s">
        <v>230</v>
      </c>
      <c r="D3579" s="5">
        <v>44953</v>
      </c>
    </row>
    <row r="3580" spans="2:4">
      <c r="B3580" s="6" t="s">
        <v>361</v>
      </c>
      <c r="C3580" s="6" t="s">
        <v>117</v>
      </c>
      <c r="D3580" s="5">
        <v>44953</v>
      </c>
    </row>
    <row r="3581" spans="2:4">
      <c r="B3581" s="6" t="s">
        <v>199</v>
      </c>
      <c r="C3581" s="6" t="s">
        <v>133</v>
      </c>
      <c r="D3581" s="5">
        <v>44953</v>
      </c>
    </row>
    <row r="3582" spans="2:4">
      <c r="B3582" s="6" t="s">
        <v>418</v>
      </c>
      <c r="C3582" s="6" t="s">
        <v>101</v>
      </c>
      <c r="D3582" s="5">
        <v>44953</v>
      </c>
    </row>
    <row r="3583" spans="2:4">
      <c r="B3583" s="6" t="s">
        <v>412</v>
      </c>
      <c r="C3583" s="6" t="s">
        <v>422</v>
      </c>
      <c r="D3583" s="5">
        <v>44953</v>
      </c>
    </row>
    <row r="3584" spans="2:4">
      <c r="B3584" s="6" t="s">
        <v>397</v>
      </c>
      <c r="C3584" s="6" t="s">
        <v>296</v>
      </c>
      <c r="D3584" s="5">
        <v>44953</v>
      </c>
    </row>
    <row r="3585" spans="2:4">
      <c r="B3585" s="6" t="s">
        <v>359</v>
      </c>
      <c r="C3585" s="6" t="s">
        <v>196</v>
      </c>
      <c r="D3585" s="5">
        <v>44953</v>
      </c>
    </row>
    <row r="3586" spans="2:4">
      <c r="B3586" s="6" t="s">
        <v>180</v>
      </c>
      <c r="C3586" s="6" t="s">
        <v>203</v>
      </c>
      <c r="D3586" s="5">
        <v>44953</v>
      </c>
    </row>
    <row r="3587" spans="2:4">
      <c r="B3587" s="6" t="s">
        <v>189</v>
      </c>
      <c r="C3587" s="6" t="s">
        <v>198</v>
      </c>
      <c r="D3587" s="5">
        <v>44953</v>
      </c>
    </row>
    <row r="3588" spans="2:4">
      <c r="B3588" s="6" t="s">
        <v>28</v>
      </c>
      <c r="C3588" s="6" t="s">
        <v>84</v>
      </c>
      <c r="D3588" s="5">
        <v>44954</v>
      </c>
    </row>
    <row r="3589" spans="2:4">
      <c r="B3589" s="6" t="s">
        <v>86</v>
      </c>
      <c r="C3589" s="6" t="s">
        <v>30</v>
      </c>
      <c r="D3589" s="5">
        <v>44954</v>
      </c>
    </row>
    <row r="3590" spans="2:4">
      <c r="B3590" s="6" t="s">
        <v>395</v>
      </c>
      <c r="C3590" s="6" t="s">
        <v>270</v>
      </c>
      <c r="D3590" s="5">
        <v>44954</v>
      </c>
    </row>
    <row r="3591" spans="2:4">
      <c r="B3591" s="6" t="s">
        <v>362</v>
      </c>
      <c r="C3591" s="6" t="s">
        <v>414</v>
      </c>
      <c r="D3591" s="5">
        <v>44954</v>
      </c>
    </row>
    <row r="3592" spans="2:4">
      <c r="B3592" s="6" t="s">
        <v>396</v>
      </c>
      <c r="C3592" s="6" t="s">
        <v>165</v>
      </c>
      <c r="D3592" s="5">
        <v>44954</v>
      </c>
    </row>
    <row r="3593" spans="2:4">
      <c r="B3593" s="6" t="s">
        <v>167</v>
      </c>
      <c r="C3593" s="6" t="s">
        <v>599</v>
      </c>
      <c r="D3593" s="5">
        <v>44954</v>
      </c>
    </row>
    <row r="3594" spans="2:4">
      <c r="B3594" s="6" t="s">
        <v>356</v>
      </c>
      <c r="C3594" s="6" t="s">
        <v>128</v>
      </c>
      <c r="D3594" s="5">
        <v>44954</v>
      </c>
    </row>
    <row r="3595" spans="2:4">
      <c r="B3595" s="6" t="s">
        <v>32</v>
      </c>
      <c r="C3595" s="6" t="s">
        <v>83</v>
      </c>
      <c r="D3595" s="5">
        <v>44954</v>
      </c>
    </row>
    <row r="3596" spans="2:4">
      <c r="B3596" s="6" t="s">
        <v>188</v>
      </c>
      <c r="C3596" s="6" t="s">
        <v>54</v>
      </c>
      <c r="D3596" s="5">
        <v>44954</v>
      </c>
    </row>
    <row r="3597" spans="2:4">
      <c r="B3597" s="6" t="s">
        <v>411</v>
      </c>
      <c r="C3597" s="6" t="s">
        <v>145</v>
      </c>
      <c r="D3597" s="5">
        <v>44954</v>
      </c>
    </row>
    <row r="3598" spans="2:4">
      <c r="B3598" s="6" t="s">
        <v>46</v>
      </c>
      <c r="C3598" s="6" t="s">
        <v>43</v>
      </c>
      <c r="D3598" s="5">
        <v>44954</v>
      </c>
    </row>
    <row r="3599" spans="2:4">
      <c r="B3599" s="6" t="s">
        <v>68</v>
      </c>
      <c r="C3599" s="6" t="s">
        <v>63</v>
      </c>
      <c r="D3599" s="5">
        <v>44954</v>
      </c>
    </row>
    <row r="3600" spans="2:4">
      <c r="B3600" s="6" t="s">
        <v>118</v>
      </c>
      <c r="C3600" s="6" t="s">
        <v>272</v>
      </c>
      <c r="D3600" s="5">
        <v>44954</v>
      </c>
    </row>
    <row r="3601" spans="2:4">
      <c r="B3601" s="6" t="s">
        <v>38</v>
      </c>
      <c r="C3601" s="6" t="s">
        <v>39</v>
      </c>
      <c r="D3601" s="5">
        <v>44954</v>
      </c>
    </row>
    <row r="3602" spans="2:4">
      <c r="B3602" s="6" t="s">
        <v>580</v>
      </c>
      <c r="C3602" s="6" t="s">
        <v>113</v>
      </c>
      <c r="D3602" s="5">
        <v>44954</v>
      </c>
    </row>
    <row r="3603" spans="2:4">
      <c r="B3603" s="6" t="s">
        <v>148</v>
      </c>
      <c r="C3603" s="6" t="s">
        <v>131</v>
      </c>
      <c r="D3603" s="5">
        <v>44954</v>
      </c>
    </row>
    <row r="3604" spans="2:4">
      <c r="B3604" s="6" t="s">
        <v>325</v>
      </c>
      <c r="C3604" s="6" t="s">
        <v>318</v>
      </c>
      <c r="D3604" s="5">
        <v>44954</v>
      </c>
    </row>
    <row r="3605" spans="2:4">
      <c r="B3605" s="6" t="s">
        <v>53</v>
      </c>
      <c r="C3605" s="6" t="s">
        <v>770</v>
      </c>
      <c r="D3605" s="5">
        <v>44954</v>
      </c>
    </row>
    <row r="3606" spans="2:4">
      <c r="B3606" s="6" t="s">
        <v>253</v>
      </c>
      <c r="C3606" s="6" t="s">
        <v>269</v>
      </c>
      <c r="D3606" s="5">
        <v>44954</v>
      </c>
    </row>
    <row r="3607" spans="2:4">
      <c r="B3607" s="6" t="s">
        <v>205</v>
      </c>
      <c r="C3607" s="6" t="s">
        <v>301</v>
      </c>
      <c r="D3607" s="5">
        <v>44954</v>
      </c>
    </row>
    <row r="3608" spans="2:4">
      <c r="B3608" s="6" t="s">
        <v>261</v>
      </c>
      <c r="C3608" s="6" t="s">
        <v>287</v>
      </c>
      <c r="D3608" s="5">
        <v>44954</v>
      </c>
    </row>
    <row r="3609" spans="2:4">
      <c r="B3609" s="6" t="s">
        <v>282</v>
      </c>
      <c r="C3609" s="6" t="s">
        <v>171</v>
      </c>
      <c r="D3609" s="5">
        <v>44954</v>
      </c>
    </row>
    <row r="3610" spans="2:4">
      <c r="B3610" s="6" t="s">
        <v>246</v>
      </c>
      <c r="C3610" s="6" t="s">
        <v>338</v>
      </c>
      <c r="D3610" s="5">
        <v>44954</v>
      </c>
    </row>
    <row r="3611" spans="2:4">
      <c r="B3611" s="6" t="s">
        <v>587</v>
      </c>
      <c r="C3611" s="6" t="s">
        <v>405</v>
      </c>
      <c r="D3611" s="5">
        <v>44954</v>
      </c>
    </row>
    <row r="3612" spans="2:4">
      <c r="B3612" s="6" t="s">
        <v>610</v>
      </c>
      <c r="C3612" s="6" t="s">
        <v>142</v>
      </c>
      <c r="D3612" s="5">
        <v>44954</v>
      </c>
    </row>
    <row r="3613" spans="2:4">
      <c r="B3613" s="6" t="s">
        <v>29</v>
      </c>
      <c r="C3613" s="6" t="s">
        <v>82</v>
      </c>
      <c r="D3613" s="5">
        <v>44954</v>
      </c>
    </row>
    <row r="3614" spans="2:4">
      <c r="B3614" s="6" t="s">
        <v>81</v>
      </c>
      <c r="C3614" s="6" t="s">
        <v>27</v>
      </c>
      <c r="D3614" s="5">
        <v>44954</v>
      </c>
    </row>
    <row r="3615" spans="2:4">
      <c r="B3615" s="6" t="s">
        <v>176</v>
      </c>
      <c r="C3615" s="6" t="s">
        <v>137</v>
      </c>
      <c r="D3615" s="5">
        <v>44954</v>
      </c>
    </row>
    <row r="3616" spans="2:4">
      <c r="B3616" s="6" t="s">
        <v>312</v>
      </c>
      <c r="C3616" s="6" t="s">
        <v>320</v>
      </c>
      <c r="D3616" s="5">
        <v>44954</v>
      </c>
    </row>
    <row r="3617" spans="2:4">
      <c r="B3617" s="6" t="s">
        <v>126</v>
      </c>
      <c r="C3617" s="6" t="s">
        <v>106</v>
      </c>
      <c r="D3617" s="5">
        <v>44954</v>
      </c>
    </row>
    <row r="3618" spans="2:4">
      <c r="B3618" s="6" t="s">
        <v>220</v>
      </c>
      <c r="C3618" s="6" t="s">
        <v>360</v>
      </c>
      <c r="D3618" s="5">
        <v>44954</v>
      </c>
    </row>
    <row r="3619" spans="2:4">
      <c r="B3619" s="6" t="s">
        <v>419</v>
      </c>
      <c r="C3619" s="6" t="s">
        <v>108</v>
      </c>
      <c r="D3619" s="5">
        <v>44954</v>
      </c>
    </row>
    <row r="3620" spans="2:4">
      <c r="B3620" s="6" t="s">
        <v>351</v>
      </c>
      <c r="C3620" s="6" t="s">
        <v>138</v>
      </c>
      <c r="D3620" s="5">
        <v>44954</v>
      </c>
    </row>
    <row r="3621" spans="2:4">
      <c r="B3621" s="6" t="s">
        <v>125</v>
      </c>
      <c r="C3621" s="6" t="s">
        <v>107</v>
      </c>
      <c r="D3621" s="5">
        <v>44954</v>
      </c>
    </row>
    <row r="3622" spans="2:4">
      <c r="B3622" s="6" t="s">
        <v>155</v>
      </c>
      <c r="C3622" s="6" t="s">
        <v>37</v>
      </c>
      <c r="D3622" s="5">
        <v>44954</v>
      </c>
    </row>
    <row r="3623" spans="2:4">
      <c r="B3623" s="6" t="s">
        <v>124</v>
      </c>
      <c r="C3623" s="6" t="s">
        <v>210</v>
      </c>
      <c r="D3623" s="5">
        <v>44954</v>
      </c>
    </row>
    <row r="3624" spans="2:4">
      <c r="B3624" s="6" t="s">
        <v>349</v>
      </c>
      <c r="C3624" s="6" t="s">
        <v>337</v>
      </c>
      <c r="D3624" s="5">
        <v>44954</v>
      </c>
    </row>
    <row r="3625" spans="2:4">
      <c r="B3625" s="6" t="s">
        <v>273</v>
      </c>
      <c r="C3625" s="6" t="s">
        <v>202</v>
      </c>
      <c r="D3625" s="5">
        <v>44954</v>
      </c>
    </row>
    <row r="3626" spans="2:4">
      <c r="B3626" s="6" t="s">
        <v>192</v>
      </c>
      <c r="C3626" s="6" t="s">
        <v>191</v>
      </c>
      <c r="D3626" s="5">
        <v>44954</v>
      </c>
    </row>
    <row r="3627" spans="2:4">
      <c r="B3627" s="6" t="s">
        <v>425</v>
      </c>
      <c r="C3627" s="6" t="s">
        <v>110</v>
      </c>
      <c r="D3627" s="5">
        <v>44954</v>
      </c>
    </row>
    <row r="3628" spans="2:4">
      <c r="B3628" s="6" t="s">
        <v>298</v>
      </c>
      <c r="C3628" s="6" t="s">
        <v>297</v>
      </c>
      <c r="D3628" s="5">
        <v>44954</v>
      </c>
    </row>
    <row r="3629" spans="2:4">
      <c r="B3629" s="6" t="s">
        <v>103</v>
      </c>
      <c r="C3629" s="6" t="s">
        <v>102</v>
      </c>
      <c r="D3629" s="5">
        <v>44954</v>
      </c>
    </row>
    <row r="3630" spans="2:4">
      <c r="B3630" s="6" t="s">
        <v>87</v>
      </c>
      <c r="C3630" s="6" t="s">
        <v>747</v>
      </c>
      <c r="D3630" s="5">
        <v>44954</v>
      </c>
    </row>
    <row r="3631" spans="2:4">
      <c r="B3631" s="6" t="s">
        <v>140</v>
      </c>
      <c r="C3631" s="6" t="s">
        <v>288</v>
      </c>
      <c r="D3631" s="5">
        <v>44954</v>
      </c>
    </row>
    <row r="3632" spans="2:4">
      <c r="B3632" s="6" t="s">
        <v>105</v>
      </c>
      <c r="C3632" s="6" t="s">
        <v>127</v>
      </c>
      <c r="D3632" s="5">
        <v>44954</v>
      </c>
    </row>
    <row r="3633" spans="2:4">
      <c r="B3633" s="6" t="s">
        <v>590</v>
      </c>
      <c r="C3633" s="6" t="s">
        <v>336</v>
      </c>
      <c r="D3633" s="5">
        <v>44954</v>
      </c>
    </row>
    <row r="3634" spans="2:4">
      <c r="B3634" s="6" t="s">
        <v>268</v>
      </c>
      <c r="C3634" s="6" t="s">
        <v>115</v>
      </c>
      <c r="D3634" s="5">
        <v>44954</v>
      </c>
    </row>
    <row r="3635" spans="2:4">
      <c r="B3635" s="6" t="s">
        <v>212</v>
      </c>
      <c r="C3635" s="6" t="s">
        <v>187</v>
      </c>
      <c r="D3635" s="5">
        <v>44954</v>
      </c>
    </row>
    <row r="3636" spans="2:4">
      <c r="B3636" s="6" t="s">
        <v>50</v>
      </c>
      <c r="C3636" s="6" t="s">
        <v>44</v>
      </c>
      <c r="D3636" s="5">
        <v>44954</v>
      </c>
    </row>
    <row r="3637" spans="2:4">
      <c r="B3637" s="6" t="s">
        <v>65</v>
      </c>
      <c r="C3637" s="6" t="s">
        <v>60</v>
      </c>
      <c r="D3637" s="5">
        <v>44954</v>
      </c>
    </row>
    <row r="3638" spans="2:4">
      <c r="B3638" s="6" t="s">
        <v>347</v>
      </c>
      <c r="C3638" s="6" t="s">
        <v>710</v>
      </c>
      <c r="D3638" s="5">
        <v>44954</v>
      </c>
    </row>
    <row r="3639" spans="2:4">
      <c r="B3639" s="6" t="s">
        <v>143</v>
      </c>
      <c r="C3639" s="6" t="s">
        <v>195</v>
      </c>
      <c r="D3639" s="5">
        <v>44954</v>
      </c>
    </row>
    <row r="3640" spans="2:4">
      <c r="B3640" s="6" t="s">
        <v>175</v>
      </c>
      <c r="C3640" s="6" t="s">
        <v>410</v>
      </c>
      <c r="D3640" s="5">
        <v>44954</v>
      </c>
    </row>
    <row r="3641" spans="2:4">
      <c r="B3641" s="6" t="s">
        <v>316</v>
      </c>
      <c r="C3641" s="6" t="s">
        <v>150</v>
      </c>
      <c r="D3641" s="5">
        <v>44954</v>
      </c>
    </row>
    <row r="3642" spans="2:4">
      <c r="B3642" s="6" t="s">
        <v>330</v>
      </c>
      <c r="C3642" s="6" t="s">
        <v>385</v>
      </c>
      <c r="D3642" s="5">
        <v>44954</v>
      </c>
    </row>
    <row r="3643" spans="2:4">
      <c r="B3643" s="6" t="s">
        <v>305</v>
      </c>
      <c r="C3643" s="6" t="s">
        <v>370</v>
      </c>
      <c r="D3643" s="5">
        <v>44954</v>
      </c>
    </row>
    <row r="3644" spans="2:4">
      <c r="B3644" s="6" t="s">
        <v>209</v>
      </c>
      <c r="C3644" s="6" t="s">
        <v>247</v>
      </c>
      <c r="D3644" s="5">
        <v>44954</v>
      </c>
    </row>
    <row r="3645" spans="2:4">
      <c r="B3645" s="6" t="s">
        <v>763</v>
      </c>
      <c r="C3645" s="6" t="s">
        <v>34</v>
      </c>
      <c r="D3645" s="5">
        <v>44954</v>
      </c>
    </row>
    <row r="3646" spans="2:4">
      <c r="B3646" s="6" t="s">
        <v>214</v>
      </c>
      <c r="C3646" s="6" t="s">
        <v>200</v>
      </c>
      <c r="D3646" s="5">
        <v>44954</v>
      </c>
    </row>
    <row r="3647" spans="2:4">
      <c r="B3647" s="6" t="s">
        <v>170</v>
      </c>
      <c r="C3647" s="6" t="s">
        <v>308</v>
      </c>
      <c r="D3647" s="5">
        <v>44954</v>
      </c>
    </row>
    <row r="3648" spans="2:4">
      <c r="B3648" s="6" t="s">
        <v>232</v>
      </c>
      <c r="C3648" s="6" t="s">
        <v>314</v>
      </c>
      <c r="D3648" s="5">
        <v>44954</v>
      </c>
    </row>
    <row r="3649" spans="2:4">
      <c r="B3649" s="6" t="s">
        <v>264</v>
      </c>
      <c r="C3649" s="6" t="s">
        <v>238</v>
      </c>
      <c r="D3649" s="5">
        <v>44954</v>
      </c>
    </row>
    <row r="3650" spans="2:4">
      <c r="B3650" s="6" t="s">
        <v>335</v>
      </c>
      <c r="C3650" s="6" t="s">
        <v>116</v>
      </c>
      <c r="D3650" s="5">
        <v>44954</v>
      </c>
    </row>
    <row r="3651" spans="2:4">
      <c r="B3651" s="6" t="s">
        <v>421</v>
      </c>
      <c r="C3651" s="6" t="s">
        <v>313</v>
      </c>
      <c r="D3651" s="5">
        <v>44954</v>
      </c>
    </row>
    <row r="3652" spans="2:4">
      <c r="B3652" s="6" t="s">
        <v>49</v>
      </c>
      <c r="C3652" s="6" t="s">
        <v>48</v>
      </c>
      <c r="D3652" s="5">
        <v>44954</v>
      </c>
    </row>
    <row r="3653" spans="2:4">
      <c r="B3653" s="6" t="s">
        <v>368</v>
      </c>
      <c r="C3653" s="6" t="s">
        <v>373</v>
      </c>
      <c r="D3653" s="5">
        <v>44954</v>
      </c>
    </row>
    <row r="3654" spans="2:4">
      <c r="B3654" s="6" t="s">
        <v>310</v>
      </c>
      <c r="C3654" s="6" t="s">
        <v>276</v>
      </c>
      <c r="D3654" s="5">
        <v>44954</v>
      </c>
    </row>
    <row r="3655" spans="2:4">
      <c r="B3655" s="6" t="s">
        <v>42</v>
      </c>
      <c r="C3655" s="6" t="s">
        <v>36</v>
      </c>
      <c r="D3655" s="5">
        <v>44954</v>
      </c>
    </row>
    <row r="3656" spans="2:4">
      <c r="B3656" s="6" t="s">
        <v>300</v>
      </c>
      <c r="C3656" s="6" t="s">
        <v>284</v>
      </c>
      <c r="D3656" s="5">
        <v>44954</v>
      </c>
    </row>
    <row r="3657" spans="2:4">
      <c r="B3657" s="6" t="s">
        <v>383</v>
      </c>
      <c r="C3657" s="6" t="s">
        <v>375</v>
      </c>
      <c r="D3657" s="5">
        <v>44954</v>
      </c>
    </row>
    <row r="3658" spans="2:4">
      <c r="B3658" s="6" t="s">
        <v>436</v>
      </c>
      <c r="C3658" s="6" t="s">
        <v>104</v>
      </c>
      <c r="D3658" s="5">
        <v>44954</v>
      </c>
    </row>
    <row r="3659" spans="2:4">
      <c r="B3659" s="6" t="s">
        <v>306</v>
      </c>
      <c r="C3659" s="6" t="s">
        <v>194</v>
      </c>
      <c r="D3659" s="5">
        <v>44954</v>
      </c>
    </row>
    <row r="3660" spans="2:4">
      <c r="B3660" s="6" t="s">
        <v>409</v>
      </c>
      <c r="C3660" s="6" t="s">
        <v>333</v>
      </c>
      <c r="D3660" s="5">
        <v>44954</v>
      </c>
    </row>
    <row r="3661" spans="2:4">
      <c r="B3661" s="6" t="s">
        <v>294</v>
      </c>
      <c r="C3661" s="6" t="s">
        <v>136</v>
      </c>
      <c r="D3661" s="5">
        <v>44954</v>
      </c>
    </row>
    <row r="3662" spans="2:4">
      <c r="B3662" s="6" t="s">
        <v>304</v>
      </c>
      <c r="C3662" s="6" t="s">
        <v>240</v>
      </c>
      <c r="D3662" s="5">
        <v>44954</v>
      </c>
    </row>
    <row r="3663" spans="2:4">
      <c r="B3663" s="6" t="s">
        <v>256</v>
      </c>
      <c r="C3663" s="6" t="s">
        <v>358</v>
      </c>
      <c r="D3663" s="5">
        <v>44954</v>
      </c>
    </row>
    <row r="3664" spans="2:4">
      <c r="B3664" s="6" t="s">
        <v>123</v>
      </c>
      <c r="C3664" s="6" t="s">
        <v>413</v>
      </c>
      <c r="D3664" s="5">
        <v>44954</v>
      </c>
    </row>
    <row r="3665" spans="2:4">
      <c r="B3665" s="6" t="s">
        <v>129</v>
      </c>
      <c r="C3665" s="6" t="s">
        <v>146</v>
      </c>
      <c r="D3665" s="5">
        <v>44954</v>
      </c>
    </row>
    <row r="3666" spans="2:4">
      <c r="B3666" s="6" t="s">
        <v>432</v>
      </c>
      <c r="C3666" s="6" t="s">
        <v>178</v>
      </c>
      <c r="D3666" s="5">
        <v>44954</v>
      </c>
    </row>
    <row r="3667" spans="2:4">
      <c r="B3667" s="6" t="s">
        <v>179</v>
      </c>
      <c r="C3667" s="6" t="s">
        <v>99</v>
      </c>
      <c r="D3667" s="5">
        <v>44954</v>
      </c>
    </row>
    <row r="3668" spans="2:4">
      <c r="B3668" s="6" t="s">
        <v>420</v>
      </c>
      <c r="C3668" s="6" t="s">
        <v>141</v>
      </c>
      <c r="D3668" s="5">
        <v>44954</v>
      </c>
    </row>
    <row r="3669" spans="2:4">
      <c r="B3669" s="6" t="s">
        <v>403</v>
      </c>
      <c r="C3669" s="6" t="s">
        <v>426</v>
      </c>
      <c r="D3669" s="5">
        <v>44954</v>
      </c>
    </row>
    <row r="3670" spans="2:4">
      <c r="B3670" s="6" t="s">
        <v>355</v>
      </c>
      <c r="C3670" s="6" t="s">
        <v>120</v>
      </c>
      <c r="D3670" s="5">
        <v>44954</v>
      </c>
    </row>
    <row r="3671" spans="2:4">
      <c r="B3671" s="6" t="s">
        <v>353</v>
      </c>
      <c r="C3671" s="6" t="s">
        <v>147</v>
      </c>
      <c r="D3671" s="5">
        <v>44954</v>
      </c>
    </row>
    <row r="3672" spans="2:4">
      <c r="B3672" s="6" t="s">
        <v>640</v>
      </c>
      <c r="C3672" s="6" t="s">
        <v>342</v>
      </c>
      <c r="D3672" s="5">
        <v>44954</v>
      </c>
    </row>
    <row r="3673" spans="2:4">
      <c r="B3673" s="6" t="s">
        <v>343</v>
      </c>
      <c r="C3673" s="6" t="s">
        <v>94</v>
      </c>
      <c r="D3673" s="5">
        <v>44954</v>
      </c>
    </row>
    <row r="3674" spans="2:4">
      <c r="B3674" s="6" t="s">
        <v>56</v>
      </c>
      <c r="C3674" s="6" t="s">
        <v>67</v>
      </c>
      <c r="D3674" s="5">
        <v>44954</v>
      </c>
    </row>
    <row r="3675" spans="2:4">
      <c r="B3675" s="6" t="s">
        <v>400</v>
      </c>
      <c r="C3675" s="6" t="s">
        <v>109</v>
      </c>
      <c r="D3675" s="5">
        <v>44954</v>
      </c>
    </row>
    <row r="3676" spans="2:4">
      <c r="B3676" s="6" t="s">
        <v>286</v>
      </c>
      <c r="C3676" s="6" t="s">
        <v>367</v>
      </c>
      <c r="D3676" s="5">
        <v>44954</v>
      </c>
    </row>
    <row r="3677" spans="2:4">
      <c r="B3677" s="6" t="s">
        <v>250</v>
      </c>
      <c r="C3677" s="6" t="s">
        <v>615</v>
      </c>
      <c r="D3677" s="5">
        <v>44954</v>
      </c>
    </row>
    <row r="3678" spans="2:4">
      <c r="B3678" s="6" t="s">
        <v>329</v>
      </c>
      <c r="C3678" s="6" t="s">
        <v>321</v>
      </c>
      <c r="D3678" s="5">
        <v>44954</v>
      </c>
    </row>
    <row r="3679" spans="2:4">
      <c r="B3679" s="6" t="s">
        <v>309</v>
      </c>
      <c r="C3679" s="6" t="s">
        <v>603</v>
      </c>
      <c r="D3679" s="5">
        <v>44954</v>
      </c>
    </row>
    <row r="3680" spans="2:4">
      <c r="B3680" s="6" t="s">
        <v>737</v>
      </c>
      <c r="C3680" s="6" t="s">
        <v>51</v>
      </c>
      <c r="D3680" s="5">
        <v>44954</v>
      </c>
    </row>
    <row r="3681" spans="2:4">
      <c r="B3681" s="6" t="s">
        <v>233</v>
      </c>
      <c r="C3681" s="6" t="s">
        <v>244</v>
      </c>
      <c r="D3681" s="5">
        <v>44954</v>
      </c>
    </row>
    <row r="3682" spans="2:4">
      <c r="B3682" s="6" t="s">
        <v>134</v>
      </c>
      <c r="C3682" s="6" t="s">
        <v>183</v>
      </c>
      <c r="D3682" s="5">
        <v>44954</v>
      </c>
    </row>
    <row r="3683" spans="2:4">
      <c r="B3683" s="6" t="s">
        <v>295</v>
      </c>
      <c r="C3683" s="6" t="s">
        <v>319</v>
      </c>
      <c r="D3683" s="5">
        <v>44954</v>
      </c>
    </row>
    <row r="3684" spans="2:4">
      <c r="B3684" s="6" t="s">
        <v>160</v>
      </c>
      <c r="C3684" s="6" t="s">
        <v>427</v>
      </c>
      <c r="D3684" s="5">
        <v>44954</v>
      </c>
    </row>
    <row r="3685" spans="2:4">
      <c r="B3685" s="6" t="s">
        <v>158</v>
      </c>
      <c r="C3685" s="6" t="s">
        <v>153</v>
      </c>
      <c r="D3685" s="5">
        <v>44954</v>
      </c>
    </row>
    <row r="3686" spans="2:4">
      <c r="B3686" s="6" t="s">
        <v>393</v>
      </c>
      <c r="C3686" s="6" t="s">
        <v>206</v>
      </c>
      <c r="D3686" s="5">
        <v>44954</v>
      </c>
    </row>
    <row r="3687" spans="2:4">
      <c r="B3687" s="6" t="s">
        <v>71</v>
      </c>
      <c r="C3687" s="6" t="s">
        <v>70</v>
      </c>
      <c r="D3687" s="5">
        <v>44954</v>
      </c>
    </row>
    <row r="3688" spans="2:4">
      <c r="B3688" s="6" t="s">
        <v>588</v>
      </c>
      <c r="C3688" s="6" t="s">
        <v>584</v>
      </c>
      <c r="D3688" s="5">
        <v>44954</v>
      </c>
    </row>
    <row r="3689" spans="2:4">
      <c r="B3689" s="6" t="s">
        <v>290</v>
      </c>
      <c r="C3689" s="6" t="s">
        <v>424</v>
      </c>
      <c r="D3689" s="5">
        <v>44954</v>
      </c>
    </row>
    <row r="3690" spans="2:4">
      <c r="B3690" s="6" t="s">
        <v>96</v>
      </c>
      <c r="C3690" s="6" t="s">
        <v>277</v>
      </c>
      <c r="D3690" s="5">
        <v>44954</v>
      </c>
    </row>
    <row r="3691" spans="2:4">
      <c r="B3691" s="6" t="s">
        <v>135</v>
      </c>
      <c r="C3691" s="6" t="s">
        <v>376</v>
      </c>
      <c r="D3691" s="5">
        <v>44954</v>
      </c>
    </row>
    <row r="3692" spans="2:4">
      <c r="B3692" s="6" t="s">
        <v>89</v>
      </c>
      <c r="C3692" s="6" t="s">
        <v>90</v>
      </c>
      <c r="D3692" s="5">
        <v>44954</v>
      </c>
    </row>
    <row r="3693" spans="2:4">
      <c r="B3693" s="6" t="s">
        <v>121</v>
      </c>
      <c r="C3693" s="6" t="s">
        <v>252</v>
      </c>
      <c r="D3693" s="5">
        <v>44954</v>
      </c>
    </row>
    <row r="3694" spans="2:4">
      <c r="B3694" s="6" t="s">
        <v>750</v>
      </c>
      <c r="C3694" s="6" t="s">
        <v>79</v>
      </c>
      <c r="D3694" s="5">
        <v>44954</v>
      </c>
    </row>
    <row r="3695" spans="2:4">
      <c r="B3695" s="6" t="s">
        <v>173</v>
      </c>
      <c r="C3695" s="6" t="s">
        <v>354</v>
      </c>
      <c r="D3695" s="5">
        <v>44954</v>
      </c>
    </row>
    <row r="3696" spans="2:4">
      <c r="B3696" s="6" t="s">
        <v>332</v>
      </c>
      <c r="C3696" s="6" t="s">
        <v>303</v>
      </c>
      <c r="D3696" s="5">
        <v>44954</v>
      </c>
    </row>
    <row r="3697" spans="2:4">
      <c r="B3697" s="6" t="s">
        <v>382</v>
      </c>
      <c r="C3697" s="6" t="s">
        <v>364</v>
      </c>
      <c r="D3697" s="5">
        <v>44954</v>
      </c>
    </row>
    <row r="3698" spans="2:4">
      <c r="B3698" s="6" t="s">
        <v>181</v>
      </c>
      <c r="C3698" s="6" t="s">
        <v>156</v>
      </c>
      <c r="D3698" s="5">
        <v>44954</v>
      </c>
    </row>
    <row r="3699" spans="2:4">
      <c r="B3699" s="6" t="s">
        <v>161</v>
      </c>
      <c r="C3699" s="6" t="s">
        <v>132</v>
      </c>
      <c r="D3699" s="5">
        <v>44954</v>
      </c>
    </row>
    <row r="3700" spans="2:4">
      <c r="B3700" s="6" t="s">
        <v>139</v>
      </c>
      <c r="C3700" s="6" t="s">
        <v>213</v>
      </c>
      <c r="D3700" s="5">
        <v>44954</v>
      </c>
    </row>
    <row r="3701" spans="2:4">
      <c r="B3701" s="6" t="s">
        <v>274</v>
      </c>
      <c r="C3701" s="6" t="s">
        <v>242</v>
      </c>
      <c r="D3701" s="5">
        <v>44954</v>
      </c>
    </row>
    <row r="3702" spans="2:4">
      <c r="B3702" s="6" t="s">
        <v>52</v>
      </c>
      <c r="C3702" s="6" t="s">
        <v>47</v>
      </c>
      <c r="D3702" s="5">
        <v>44954</v>
      </c>
    </row>
    <row r="3703" spans="2:4">
      <c r="B3703" s="6" t="s">
        <v>215</v>
      </c>
      <c r="C3703" s="6" t="s">
        <v>174</v>
      </c>
      <c r="D3703" s="5">
        <v>44954</v>
      </c>
    </row>
    <row r="3704" spans="2:4">
      <c r="B3704" s="6" t="s">
        <v>100</v>
      </c>
      <c r="C3704" s="6" t="s">
        <v>97</v>
      </c>
      <c r="D3704" s="5">
        <v>44954</v>
      </c>
    </row>
    <row r="3705" spans="2:4">
      <c r="B3705" s="6" t="s">
        <v>394</v>
      </c>
      <c r="C3705" s="6" t="s">
        <v>168</v>
      </c>
      <c r="D3705" s="5">
        <v>44954</v>
      </c>
    </row>
    <row r="3706" spans="2:4">
      <c r="B3706" s="6" t="s">
        <v>345</v>
      </c>
      <c r="C3706" s="6" t="s">
        <v>607</v>
      </c>
      <c r="D3706" s="5">
        <v>44954</v>
      </c>
    </row>
    <row r="3707" spans="2:4">
      <c r="B3707" s="6" t="s">
        <v>193</v>
      </c>
      <c r="C3707" s="6" t="s">
        <v>259</v>
      </c>
      <c r="D3707" s="5">
        <v>44954</v>
      </c>
    </row>
    <row r="3708" spans="2:4">
      <c r="B3708" s="6" t="s">
        <v>266</v>
      </c>
      <c r="C3708" s="6" t="s">
        <v>324</v>
      </c>
      <c r="D3708" s="5">
        <v>44954</v>
      </c>
    </row>
    <row r="3709" spans="2:4">
      <c r="B3709" s="6" t="s">
        <v>201</v>
      </c>
      <c r="C3709" s="6" t="s">
        <v>292</v>
      </c>
      <c r="D3709" s="5">
        <v>44954</v>
      </c>
    </row>
    <row r="3710" spans="2:4">
      <c r="B3710" s="6" t="s">
        <v>255</v>
      </c>
      <c r="C3710" s="6" t="s">
        <v>248</v>
      </c>
      <c r="D3710" s="5">
        <v>44954</v>
      </c>
    </row>
    <row r="3711" spans="2:4">
      <c r="B3711" s="6" t="s">
        <v>344</v>
      </c>
      <c r="C3711" s="6" t="s">
        <v>159</v>
      </c>
      <c r="D3711" s="5">
        <v>44954</v>
      </c>
    </row>
    <row r="3712" spans="2:4">
      <c r="B3712" s="6" t="s">
        <v>80</v>
      </c>
      <c r="C3712" s="6" t="s">
        <v>26</v>
      </c>
      <c r="D3712" s="5">
        <v>44954</v>
      </c>
    </row>
    <row r="3713" spans="2:4">
      <c r="B3713" s="6" t="s">
        <v>62</v>
      </c>
      <c r="C3713" s="6" t="s">
        <v>777</v>
      </c>
      <c r="D3713" s="5">
        <v>44954</v>
      </c>
    </row>
    <row r="3714" spans="2:4">
      <c r="B3714" s="6" t="s">
        <v>69</v>
      </c>
      <c r="C3714" s="6" t="s">
        <v>77</v>
      </c>
      <c r="D3714" s="5">
        <v>44954</v>
      </c>
    </row>
    <row r="3715" spans="2:4">
      <c r="B3715" s="6" t="s">
        <v>804</v>
      </c>
      <c r="C3715" s="6" t="s">
        <v>719</v>
      </c>
      <c r="D3715" s="5">
        <v>44954</v>
      </c>
    </row>
    <row r="3716" spans="2:4">
      <c r="B3716" s="6" t="s">
        <v>162</v>
      </c>
      <c r="C3716" s="6" t="s">
        <v>386</v>
      </c>
      <c r="D3716" s="5">
        <v>44954</v>
      </c>
    </row>
    <row r="3717" spans="2:4">
      <c r="B3717" s="6" t="s">
        <v>388</v>
      </c>
      <c r="C3717" s="6" t="s">
        <v>381</v>
      </c>
      <c r="D3717" s="5">
        <v>44954</v>
      </c>
    </row>
    <row r="3718" spans="2:4">
      <c r="B3718" s="6" t="s">
        <v>778</v>
      </c>
      <c r="C3718" s="6" t="s">
        <v>762</v>
      </c>
      <c r="D3718" s="5">
        <v>44954</v>
      </c>
    </row>
    <row r="3719" spans="2:4">
      <c r="B3719" s="6" t="s">
        <v>365</v>
      </c>
      <c r="C3719" s="6" t="s">
        <v>289</v>
      </c>
      <c r="D3719" s="5">
        <v>44954</v>
      </c>
    </row>
    <row r="3720" spans="2:4">
      <c r="B3720" s="6" t="s">
        <v>348</v>
      </c>
      <c r="C3720" s="6" t="s">
        <v>208</v>
      </c>
      <c r="D3720" s="5">
        <v>44954</v>
      </c>
    </row>
    <row r="3721" spans="2:4">
      <c r="B3721" s="6" t="s">
        <v>184</v>
      </c>
      <c r="C3721" s="6" t="s">
        <v>357</v>
      </c>
      <c r="D3721" s="5">
        <v>44954</v>
      </c>
    </row>
    <row r="3722" spans="2:4">
      <c r="B3722" s="6" t="s">
        <v>331</v>
      </c>
      <c r="C3722" s="6" t="s">
        <v>151</v>
      </c>
      <c r="D3722" s="5">
        <v>44954</v>
      </c>
    </row>
    <row r="3723" spans="2:4">
      <c r="B3723" s="6" t="s">
        <v>154</v>
      </c>
      <c r="C3723" s="6" t="s">
        <v>236</v>
      </c>
      <c r="D3723" s="5">
        <v>44954</v>
      </c>
    </row>
    <row r="3724" spans="2:4">
      <c r="B3724" s="6" t="s">
        <v>91</v>
      </c>
      <c r="C3724" s="6" t="s">
        <v>185</v>
      </c>
      <c r="D3724" s="5">
        <v>44954</v>
      </c>
    </row>
    <row r="3725" spans="2:4">
      <c r="B3725" s="6" t="s">
        <v>392</v>
      </c>
      <c r="C3725" s="6" t="s">
        <v>433</v>
      </c>
      <c r="D3725" s="5">
        <v>44954</v>
      </c>
    </row>
    <row r="3726" spans="2:4">
      <c r="B3726" s="6" t="s">
        <v>249</v>
      </c>
      <c r="C3726" s="6" t="s">
        <v>399</v>
      </c>
      <c r="D3726" s="5">
        <v>44954</v>
      </c>
    </row>
    <row r="3727" spans="2:4">
      <c r="B3727" s="6" t="s">
        <v>93</v>
      </c>
      <c r="C3727" s="6" t="s">
        <v>164</v>
      </c>
      <c r="D3727" s="5">
        <v>44954</v>
      </c>
    </row>
    <row r="3728" spans="2:4">
      <c r="B3728" s="6" t="s">
        <v>163</v>
      </c>
      <c r="C3728" s="6" t="s">
        <v>169</v>
      </c>
      <c r="D3728" s="5">
        <v>44954</v>
      </c>
    </row>
    <row r="3729" spans="2:4">
      <c r="B3729" s="6" t="s">
        <v>166</v>
      </c>
      <c r="C3729" s="6" t="s">
        <v>404</v>
      </c>
      <c r="D3729" s="5">
        <v>44954</v>
      </c>
    </row>
    <row r="3730" spans="2:4">
      <c r="B3730" s="6" t="s">
        <v>157</v>
      </c>
      <c r="C3730" s="6" t="s">
        <v>398</v>
      </c>
      <c r="D3730" s="5">
        <v>44954</v>
      </c>
    </row>
    <row r="3731" spans="2:4">
      <c r="B3731" s="6" t="s">
        <v>207</v>
      </c>
      <c r="C3731" s="6" t="s">
        <v>621</v>
      </c>
      <c r="D3731" s="5">
        <v>44954</v>
      </c>
    </row>
    <row r="3732" spans="2:4">
      <c r="B3732" s="6" t="s">
        <v>389</v>
      </c>
      <c r="C3732" s="6" t="s">
        <v>391</v>
      </c>
      <c r="D3732" s="5">
        <v>44954</v>
      </c>
    </row>
    <row r="3733" spans="2:4">
      <c r="B3733" s="6" t="s">
        <v>402</v>
      </c>
      <c r="C3733" s="6" t="s">
        <v>190</v>
      </c>
      <c r="D3733" s="5">
        <v>44954</v>
      </c>
    </row>
    <row r="3734" spans="2:4">
      <c r="B3734" s="6" t="s">
        <v>779</v>
      </c>
      <c r="C3734" s="6" t="s">
        <v>72</v>
      </c>
      <c r="D3734" s="5">
        <v>44954</v>
      </c>
    </row>
    <row r="3735" spans="2:4">
      <c r="B3735" s="6" t="s">
        <v>428</v>
      </c>
      <c r="C3735" s="6" t="s">
        <v>586</v>
      </c>
      <c r="D3735" s="5">
        <v>44954</v>
      </c>
    </row>
    <row r="3736" spans="2:4">
      <c r="B3736" s="6" t="s">
        <v>35</v>
      </c>
      <c r="C3736" s="6" t="s">
        <v>40</v>
      </c>
      <c r="D3736" s="5">
        <v>44955</v>
      </c>
    </row>
    <row r="3737" spans="2:4">
      <c r="B3737" s="6" t="s">
        <v>781</v>
      </c>
      <c r="C3737" s="6" t="s">
        <v>59</v>
      </c>
      <c r="D3737" s="5">
        <v>44955</v>
      </c>
    </row>
    <row r="3738" spans="2:4">
      <c r="B3738" s="6" t="s">
        <v>275</v>
      </c>
      <c r="C3738" s="6" t="s">
        <v>352</v>
      </c>
      <c r="D3738" s="5">
        <v>44955</v>
      </c>
    </row>
    <row r="3739" spans="2:4">
      <c r="B3739" s="6" t="s">
        <v>114</v>
      </c>
      <c r="C3739" s="6" t="s">
        <v>278</v>
      </c>
      <c r="D3739" s="5">
        <v>44955</v>
      </c>
    </row>
    <row r="3740" spans="2:4">
      <c r="B3740" s="6" t="s">
        <v>281</v>
      </c>
      <c r="C3740" s="6" t="s">
        <v>334</v>
      </c>
      <c r="D3740" s="5">
        <v>44955</v>
      </c>
    </row>
    <row r="3741" spans="2:4">
      <c r="B3741" s="6" t="s">
        <v>58</v>
      </c>
      <c r="C3741" s="6" t="s">
        <v>761</v>
      </c>
      <c r="D3741" s="5">
        <v>44955</v>
      </c>
    </row>
    <row r="3742" spans="2:4">
      <c r="B3742" s="6" t="s">
        <v>285</v>
      </c>
      <c r="C3742" s="6" t="s">
        <v>216</v>
      </c>
      <c r="D3742" s="5">
        <v>44955</v>
      </c>
    </row>
    <row r="3743" spans="2:4">
      <c r="B3743" s="6" t="s">
        <v>211</v>
      </c>
      <c r="C3743" s="6" t="s">
        <v>230</v>
      </c>
      <c r="D3743" s="5">
        <v>44955</v>
      </c>
    </row>
    <row r="3744" spans="2:4">
      <c r="B3744" s="6" t="s">
        <v>412</v>
      </c>
      <c r="C3744" s="6" t="s">
        <v>101</v>
      </c>
      <c r="D3744" s="5">
        <v>44955</v>
      </c>
    </row>
    <row r="3745" spans="2:4">
      <c r="B3745" s="6" t="s">
        <v>361</v>
      </c>
      <c r="C3745" s="6" t="s">
        <v>130</v>
      </c>
      <c r="D3745" s="5">
        <v>44955</v>
      </c>
    </row>
    <row r="3746" spans="2:4">
      <c r="B3746" s="6" t="s">
        <v>112</v>
      </c>
      <c r="C3746" s="6" t="s">
        <v>117</v>
      </c>
      <c r="D3746" s="5">
        <v>44955</v>
      </c>
    </row>
    <row r="3747" spans="2:4">
      <c r="B3747" s="6" t="s">
        <v>302</v>
      </c>
      <c r="C3747" s="6" t="s">
        <v>41</v>
      </c>
      <c r="D3747" s="5">
        <v>44955</v>
      </c>
    </row>
    <row r="3748" spans="2:4">
      <c r="B3748" s="6" t="s">
        <v>61</v>
      </c>
      <c r="C3748" s="6" t="s">
        <v>64</v>
      </c>
      <c r="D3748" s="5">
        <v>44955</v>
      </c>
    </row>
    <row r="3749" spans="2:4">
      <c r="B3749" s="6" t="s">
        <v>418</v>
      </c>
      <c r="C3749" s="6" t="s">
        <v>422</v>
      </c>
      <c r="D3749" s="5">
        <v>44955</v>
      </c>
    </row>
    <row r="3750" spans="2:4">
      <c r="B3750" s="6" t="s">
        <v>326</v>
      </c>
      <c r="C3750" s="6" t="s">
        <v>241</v>
      </c>
      <c r="D3750" s="5">
        <v>44955</v>
      </c>
    </row>
    <row r="3751" spans="2:4">
      <c r="B3751" s="6" t="s">
        <v>186</v>
      </c>
      <c r="C3751" s="6" t="s">
        <v>363</v>
      </c>
      <c r="D3751" s="5">
        <v>44955</v>
      </c>
    </row>
    <row r="3752" spans="2:4">
      <c r="B3752" s="6" t="s">
        <v>280</v>
      </c>
      <c r="C3752" s="6" t="s">
        <v>119</v>
      </c>
      <c r="D3752" s="5">
        <v>44955</v>
      </c>
    </row>
    <row r="3753" spans="2:4">
      <c r="B3753" s="6" t="s">
        <v>267</v>
      </c>
      <c r="C3753" s="6" t="s">
        <v>111</v>
      </c>
      <c r="D3753" s="5">
        <v>44955</v>
      </c>
    </row>
    <row r="3754" spans="2:4">
      <c r="B3754" s="6" t="s">
        <v>397</v>
      </c>
      <c r="C3754" s="6" t="s">
        <v>172</v>
      </c>
      <c r="D3754" s="5">
        <v>44955</v>
      </c>
    </row>
    <row r="3755" spans="2:4">
      <c r="B3755" s="6" t="s">
        <v>341</v>
      </c>
      <c r="C3755" s="6" t="s">
        <v>231</v>
      </c>
      <c r="D3755" s="5">
        <v>44955</v>
      </c>
    </row>
    <row r="3756" spans="2:4">
      <c r="B3756" s="6" t="s">
        <v>95</v>
      </c>
      <c r="C3756" s="6" t="s">
        <v>144</v>
      </c>
      <c r="D3756" s="5">
        <v>44955</v>
      </c>
    </row>
    <row r="3757" spans="2:4">
      <c r="B3757" s="6" t="s">
        <v>47</v>
      </c>
      <c r="C3757" s="6" t="s">
        <v>188</v>
      </c>
      <c r="D3757" s="5">
        <v>44956</v>
      </c>
    </row>
    <row r="3758" spans="2:4">
      <c r="B3758" s="6" t="s">
        <v>282</v>
      </c>
      <c r="C3758" s="6" t="s">
        <v>347</v>
      </c>
      <c r="D3758" s="5">
        <v>44956</v>
      </c>
    </row>
    <row r="3759" spans="2:4">
      <c r="B3759" s="6" t="s">
        <v>176</v>
      </c>
      <c r="C3759" s="6" t="s">
        <v>580</v>
      </c>
      <c r="D3759" s="5">
        <v>44956</v>
      </c>
    </row>
    <row r="3760" spans="2:4">
      <c r="B3760" s="6" t="s">
        <v>310</v>
      </c>
      <c r="C3760" s="6" t="s">
        <v>277</v>
      </c>
      <c r="D3760" s="5">
        <v>44956</v>
      </c>
    </row>
    <row r="3761" spans="2:4">
      <c r="B3761" s="6" t="s">
        <v>96</v>
      </c>
      <c r="C3761" s="6" t="s">
        <v>276</v>
      </c>
      <c r="D3761" s="5">
        <v>44956</v>
      </c>
    </row>
    <row r="3762" spans="2:4">
      <c r="B3762" s="6" t="s">
        <v>238</v>
      </c>
      <c r="C3762" s="6" t="s">
        <v>335</v>
      </c>
      <c r="D3762" s="5">
        <v>44956</v>
      </c>
    </row>
    <row r="3763" spans="2:4">
      <c r="B3763" s="6" t="s">
        <v>232</v>
      </c>
      <c r="C3763" s="6" t="s">
        <v>308</v>
      </c>
      <c r="D3763" s="5">
        <v>44956</v>
      </c>
    </row>
    <row r="3764" spans="2:4">
      <c r="B3764" s="6" t="s">
        <v>170</v>
      </c>
      <c r="C3764" s="6" t="s">
        <v>314</v>
      </c>
      <c r="D3764" s="5">
        <v>44956</v>
      </c>
    </row>
    <row r="3765" spans="2:4">
      <c r="B3765" s="6" t="s">
        <v>116</v>
      </c>
      <c r="C3765" s="6" t="s">
        <v>264</v>
      </c>
      <c r="D3765" s="5">
        <v>44956</v>
      </c>
    </row>
    <row r="3766" spans="2:4">
      <c r="B3766" s="6" t="s">
        <v>382</v>
      </c>
      <c r="C3766" s="6" t="s">
        <v>156</v>
      </c>
      <c r="D3766" s="5">
        <v>44956</v>
      </c>
    </row>
    <row r="3767" spans="2:4">
      <c r="B3767" s="6" t="s">
        <v>30</v>
      </c>
      <c r="C3767" s="6" t="s">
        <v>28</v>
      </c>
      <c r="D3767" s="5">
        <v>44956</v>
      </c>
    </row>
    <row r="3768" spans="2:4">
      <c r="B3768" s="6" t="s">
        <v>27</v>
      </c>
      <c r="C3768" s="6" t="s">
        <v>747</v>
      </c>
      <c r="D3768" s="5">
        <v>44956</v>
      </c>
    </row>
    <row r="3769" spans="2:4">
      <c r="B3769" s="6" t="s">
        <v>181</v>
      </c>
      <c r="C3769" s="6" t="s">
        <v>364</v>
      </c>
      <c r="D3769" s="5">
        <v>44956</v>
      </c>
    </row>
    <row r="3770" spans="2:4">
      <c r="B3770" s="6" t="s">
        <v>203</v>
      </c>
      <c r="C3770" s="6" t="s">
        <v>105</v>
      </c>
      <c r="D3770" s="5">
        <v>44957</v>
      </c>
    </row>
    <row r="3771" spans="2:4">
      <c r="B3771" s="6" t="s">
        <v>90</v>
      </c>
      <c r="C3771" s="6" t="s">
        <v>763</v>
      </c>
      <c r="D3771" s="5">
        <v>44957</v>
      </c>
    </row>
    <row r="3772" spans="2:4">
      <c r="B3772" s="6" t="s">
        <v>44</v>
      </c>
      <c r="C3772" s="6" t="s">
        <v>53</v>
      </c>
      <c r="D3772" s="5">
        <v>44957</v>
      </c>
    </row>
    <row r="3773" spans="2:4">
      <c r="B3773" s="6" t="s">
        <v>84</v>
      </c>
      <c r="C3773" s="6" t="s">
        <v>91</v>
      </c>
      <c r="D3773" s="5">
        <v>44957</v>
      </c>
    </row>
    <row r="3774" spans="2:4">
      <c r="B3774" s="6" t="s">
        <v>48</v>
      </c>
      <c r="C3774" s="6" t="s">
        <v>52</v>
      </c>
      <c r="D3774" s="5">
        <v>44957</v>
      </c>
    </row>
    <row r="3775" spans="2:4">
      <c r="B3775" s="6" t="s">
        <v>54</v>
      </c>
      <c r="C3775" s="6" t="s">
        <v>51</v>
      </c>
      <c r="D3775" s="5">
        <v>44957</v>
      </c>
    </row>
    <row r="3776" spans="2:4">
      <c r="B3776" s="6" t="s">
        <v>216</v>
      </c>
      <c r="C3776" s="6" t="s">
        <v>361</v>
      </c>
      <c r="D3776" s="5">
        <v>44957</v>
      </c>
    </row>
    <row r="3777" spans="2:4">
      <c r="B3777" s="6" t="s">
        <v>199</v>
      </c>
      <c r="C3777" s="6" t="s">
        <v>121</v>
      </c>
      <c r="D3777" s="5">
        <v>44957</v>
      </c>
    </row>
    <row r="3778" spans="2:4">
      <c r="B3778" s="6" t="s">
        <v>349</v>
      </c>
      <c r="C3778" s="6" t="s">
        <v>133</v>
      </c>
      <c r="D3778" s="5">
        <v>44957</v>
      </c>
    </row>
    <row r="3779" spans="2:4">
      <c r="B3779" s="6" t="s">
        <v>247</v>
      </c>
      <c r="C3779" s="6" t="s">
        <v>127</v>
      </c>
      <c r="D3779" s="5">
        <v>44957</v>
      </c>
    </row>
    <row r="3780" spans="2:4">
      <c r="B3780" s="6" t="s">
        <v>180</v>
      </c>
      <c r="C3780" s="6" t="s">
        <v>362</v>
      </c>
      <c r="D3780" s="5">
        <v>44957</v>
      </c>
    </row>
    <row r="3781" spans="2:4">
      <c r="B3781" s="6" t="s">
        <v>209</v>
      </c>
      <c r="C3781" s="6" t="s">
        <v>140</v>
      </c>
      <c r="D3781" s="5">
        <v>44957</v>
      </c>
    </row>
    <row r="3782" spans="2:4">
      <c r="B3782" s="6" t="s">
        <v>288</v>
      </c>
      <c r="C3782" s="6" t="s">
        <v>109</v>
      </c>
      <c r="D3782" s="5">
        <v>44957</v>
      </c>
    </row>
    <row r="3783" spans="2:4">
      <c r="B3783" s="6" t="s">
        <v>414</v>
      </c>
      <c r="C3783" s="6" t="s">
        <v>400</v>
      </c>
      <c r="D3783" s="5">
        <v>44957</v>
      </c>
    </row>
    <row r="3784" spans="2:4">
      <c r="B3784" s="6" t="s">
        <v>60</v>
      </c>
      <c r="C3784" s="6" t="s">
        <v>67</v>
      </c>
      <c r="D3784" s="5">
        <v>44957</v>
      </c>
    </row>
    <row r="3785" spans="2:4">
      <c r="B3785" s="6" t="s">
        <v>26</v>
      </c>
      <c r="C3785" s="6" t="s">
        <v>750</v>
      </c>
      <c r="D3785" s="5">
        <v>44957</v>
      </c>
    </row>
    <row r="3786" spans="2:4">
      <c r="B3786" s="6" t="s">
        <v>155</v>
      </c>
      <c r="C3786" s="6" t="s">
        <v>732</v>
      </c>
      <c r="D3786" s="5">
        <v>44957</v>
      </c>
    </row>
    <row r="3787" spans="2:4">
      <c r="B3787" s="6" t="s">
        <v>82</v>
      </c>
      <c r="C3787" s="6" t="s">
        <v>185</v>
      </c>
      <c r="D3787" s="5">
        <v>44957</v>
      </c>
    </row>
    <row r="3788" spans="2:4">
      <c r="B3788" s="6" t="s">
        <v>762</v>
      </c>
      <c r="C3788" s="6" t="s">
        <v>80</v>
      </c>
      <c r="D3788" s="5">
        <v>44957</v>
      </c>
    </row>
    <row r="3789" spans="2:4">
      <c r="B3789" s="6" t="s">
        <v>56</v>
      </c>
      <c r="C3789" s="6" t="s">
        <v>62</v>
      </c>
      <c r="D3789" s="5">
        <v>44957</v>
      </c>
    </row>
    <row r="3790" spans="2:4">
      <c r="B3790" s="6" t="s">
        <v>34</v>
      </c>
      <c r="C3790" s="6" t="s">
        <v>32</v>
      </c>
      <c r="D3790" s="5">
        <v>44957</v>
      </c>
    </row>
    <row r="3791" spans="2:4">
      <c r="B3791" s="6" t="s">
        <v>214</v>
      </c>
      <c r="C3791" s="6" t="s">
        <v>350</v>
      </c>
      <c r="D3791" s="5">
        <v>44957</v>
      </c>
    </row>
    <row r="3792" spans="2:4">
      <c r="B3792" s="6" t="s">
        <v>386</v>
      </c>
      <c r="C3792" s="6" t="s">
        <v>163</v>
      </c>
      <c r="D3792" s="5">
        <v>44957</v>
      </c>
    </row>
    <row r="3793" spans="2:4">
      <c r="B3793" s="6" t="s">
        <v>198</v>
      </c>
      <c r="C3793" s="6" t="s">
        <v>162</v>
      </c>
      <c r="D3793" s="5">
        <v>44957</v>
      </c>
    </row>
    <row r="3794" spans="2:4">
      <c r="B3794" s="6" t="s">
        <v>152</v>
      </c>
      <c r="C3794" s="6" t="s">
        <v>394</v>
      </c>
      <c r="D3794" s="5">
        <v>44957</v>
      </c>
    </row>
    <row r="3795" spans="2:4">
      <c r="B3795" s="6" t="s">
        <v>169</v>
      </c>
      <c r="C3795" s="6" t="s">
        <v>392</v>
      </c>
      <c r="D3795" s="5">
        <v>44957</v>
      </c>
    </row>
    <row r="3796" spans="2:4">
      <c r="B3796" s="6" t="s">
        <v>269</v>
      </c>
      <c r="C3796" s="6" t="s">
        <v>215</v>
      </c>
      <c r="D3796" s="5">
        <v>44958</v>
      </c>
    </row>
    <row r="3797" spans="2:4">
      <c r="B3797" s="6" t="s">
        <v>41</v>
      </c>
      <c r="C3797" s="6" t="s">
        <v>38</v>
      </c>
      <c r="D3797" s="5">
        <v>44958</v>
      </c>
    </row>
    <row r="3798" spans="2:4">
      <c r="B3798" s="6" t="s">
        <v>39</v>
      </c>
      <c r="C3798" s="6" t="s">
        <v>40</v>
      </c>
      <c r="D3798" s="5">
        <v>44958</v>
      </c>
    </row>
    <row r="3799" spans="2:4">
      <c r="B3799" s="6" t="s">
        <v>58</v>
      </c>
      <c r="C3799" s="6" t="s">
        <v>781</v>
      </c>
      <c r="D3799" s="5">
        <v>44958</v>
      </c>
    </row>
    <row r="3800" spans="2:4">
      <c r="B3800" s="6" t="s">
        <v>297</v>
      </c>
      <c r="C3800" s="6" t="s">
        <v>110</v>
      </c>
      <c r="D3800" s="5">
        <v>44958</v>
      </c>
    </row>
    <row r="3801" spans="2:4">
      <c r="B3801" s="6" t="s">
        <v>251</v>
      </c>
      <c r="C3801" s="6" t="s">
        <v>49</v>
      </c>
      <c r="D3801" s="5">
        <v>44958</v>
      </c>
    </row>
    <row r="3802" spans="2:4">
      <c r="B3802" s="6" t="s">
        <v>79</v>
      </c>
      <c r="C3802" s="6" t="s">
        <v>86</v>
      </c>
      <c r="D3802" s="5">
        <v>44958</v>
      </c>
    </row>
    <row r="3803" spans="2:4">
      <c r="B3803" s="6" t="s">
        <v>83</v>
      </c>
      <c r="C3803" s="6" t="s">
        <v>89</v>
      </c>
      <c r="D3803" s="5">
        <v>44958</v>
      </c>
    </row>
    <row r="3804" spans="2:4">
      <c r="B3804" s="6" t="s">
        <v>187</v>
      </c>
      <c r="C3804" s="6" t="s">
        <v>95</v>
      </c>
      <c r="D3804" s="5">
        <v>44958</v>
      </c>
    </row>
    <row r="3805" spans="2:4">
      <c r="B3805" s="6" t="s">
        <v>231</v>
      </c>
      <c r="C3805" s="6" t="s">
        <v>275</v>
      </c>
      <c r="D3805" s="5">
        <v>44958</v>
      </c>
    </row>
    <row r="3806" spans="2:4">
      <c r="B3806" s="6" t="s">
        <v>278</v>
      </c>
      <c r="C3806" s="6" t="s">
        <v>131</v>
      </c>
      <c r="D3806" s="5">
        <v>44958</v>
      </c>
    </row>
    <row r="3807" spans="2:4">
      <c r="B3807" s="6" t="s">
        <v>114</v>
      </c>
      <c r="C3807" s="6" t="s">
        <v>148</v>
      </c>
      <c r="D3807" s="5">
        <v>44958</v>
      </c>
    </row>
    <row r="3808" spans="2:4">
      <c r="B3808" s="6" t="s">
        <v>360</v>
      </c>
      <c r="C3808" s="6" t="s">
        <v>113</v>
      </c>
      <c r="D3808" s="5">
        <v>44958</v>
      </c>
    </row>
    <row r="3809" spans="2:4">
      <c r="B3809" s="6" t="s">
        <v>119</v>
      </c>
      <c r="C3809" s="6" t="s">
        <v>241</v>
      </c>
      <c r="D3809" s="5">
        <v>44958</v>
      </c>
    </row>
    <row r="3810" spans="2:4">
      <c r="B3810" s="6" t="s">
        <v>43</v>
      </c>
      <c r="C3810" s="6" t="s">
        <v>50</v>
      </c>
      <c r="D3810" s="5">
        <v>44958</v>
      </c>
    </row>
    <row r="3811" spans="2:4">
      <c r="B3811" s="6" t="s">
        <v>177</v>
      </c>
      <c r="C3811" s="6" t="s">
        <v>253</v>
      </c>
      <c r="D3811" s="5">
        <v>44958</v>
      </c>
    </row>
    <row r="3812" spans="2:4">
      <c r="B3812" s="6" t="s">
        <v>106</v>
      </c>
      <c r="C3812" s="6" t="s">
        <v>174</v>
      </c>
      <c r="D3812" s="5">
        <v>44958</v>
      </c>
    </row>
    <row r="3813" spans="2:4">
      <c r="B3813" s="6" t="s">
        <v>301</v>
      </c>
      <c r="C3813" s="6" t="s">
        <v>126</v>
      </c>
      <c r="D3813" s="5">
        <v>44958</v>
      </c>
    </row>
    <row r="3814" spans="2:4">
      <c r="B3814" s="6" t="s">
        <v>137</v>
      </c>
      <c r="C3814" s="6" t="s">
        <v>220</v>
      </c>
      <c r="D3814" s="5">
        <v>44958</v>
      </c>
    </row>
    <row r="3815" spans="2:4">
      <c r="B3815" s="6" t="s">
        <v>200</v>
      </c>
      <c r="C3815" s="6" t="s">
        <v>252</v>
      </c>
      <c r="D3815" s="5">
        <v>44958</v>
      </c>
    </row>
    <row r="3816" spans="2:4">
      <c r="B3816" s="6" t="s">
        <v>334</v>
      </c>
      <c r="C3816" s="6" t="s">
        <v>124</v>
      </c>
      <c r="D3816" s="5">
        <v>44958</v>
      </c>
    </row>
    <row r="3817" spans="2:4">
      <c r="B3817" s="6" t="s">
        <v>281</v>
      </c>
      <c r="C3817" s="6" t="s">
        <v>300</v>
      </c>
      <c r="D3817" s="5">
        <v>44958</v>
      </c>
    </row>
    <row r="3818" spans="2:4">
      <c r="B3818" s="6" t="s">
        <v>210</v>
      </c>
      <c r="C3818" s="6" t="s">
        <v>337</v>
      </c>
      <c r="D3818" s="5">
        <v>44958</v>
      </c>
    </row>
    <row r="3819" spans="2:4">
      <c r="B3819" s="6" t="s">
        <v>192</v>
      </c>
      <c r="C3819" s="6" t="s">
        <v>202</v>
      </c>
      <c r="D3819" s="5">
        <v>44958</v>
      </c>
    </row>
    <row r="3820" spans="2:4">
      <c r="B3820" s="6" t="s">
        <v>191</v>
      </c>
      <c r="C3820" s="6" t="s">
        <v>395</v>
      </c>
      <c r="D3820" s="5">
        <v>44958</v>
      </c>
    </row>
    <row r="3821" spans="2:4">
      <c r="B3821" s="6" t="s">
        <v>270</v>
      </c>
      <c r="C3821" s="6" t="s">
        <v>425</v>
      </c>
      <c r="D3821" s="5">
        <v>44958</v>
      </c>
    </row>
    <row r="3822" spans="2:4">
      <c r="B3822" s="6" t="s">
        <v>298</v>
      </c>
      <c r="C3822" s="6" t="s">
        <v>273</v>
      </c>
      <c r="D3822" s="5">
        <v>44958</v>
      </c>
    </row>
    <row r="3823" spans="2:4">
      <c r="B3823" s="6" t="s">
        <v>287</v>
      </c>
      <c r="C3823" s="6" t="s">
        <v>102</v>
      </c>
      <c r="D3823" s="5">
        <v>44958</v>
      </c>
    </row>
    <row r="3824" spans="2:4">
      <c r="B3824" s="6" t="s">
        <v>111</v>
      </c>
      <c r="C3824" s="6" t="s">
        <v>104</v>
      </c>
      <c r="D3824" s="5">
        <v>44958</v>
      </c>
    </row>
    <row r="3825" spans="2:4">
      <c r="B3825" s="6" t="s">
        <v>436</v>
      </c>
      <c r="C3825" s="6" t="s">
        <v>103</v>
      </c>
      <c r="D3825" s="5">
        <v>44958</v>
      </c>
    </row>
    <row r="3826" spans="2:4">
      <c r="B3826" s="6" t="s">
        <v>344</v>
      </c>
      <c r="C3826" s="6" t="s">
        <v>415</v>
      </c>
      <c r="D3826" s="5">
        <v>44958</v>
      </c>
    </row>
    <row r="3827" spans="2:4">
      <c r="B3827" s="6" t="s">
        <v>320</v>
      </c>
      <c r="C3827" s="6" t="s">
        <v>139</v>
      </c>
      <c r="D3827" s="5">
        <v>44958</v>
      </c>
    </row>
    <row r="3828" spans="2:4">
      <c r="B3828" s="6" t="s">
        <v>326</v>
      </c>
      <c r="C3828" s="6" t="s">
        <v>280</v>
      </c>
      <c r="D3828" s="5">
        <v>44958</v>
      </c>
    </row>
    <row r="3829" spans="2:4">
      <c r="B3829" s="6" t="s">
        <v>312</v>
      </c>
      <c r="C3829" s="6" t="s">
        <v>186</v>
      </c>
      <c r="D3829" s="5">
        <v>44958</v>
      </c>
    </row>
    <row r="3830" spans="2:4">
      <c r="B3830" s="6" t="s">
        <v>213</v>
      </c>
      <c r="C3830" s="6" t="s">
        <v>325</v>
      </c>
      <c r="D3830" s="5">
        <v>44958</v>
      </c>
    </row>
    <row r="3831" spans="2:4">
      <c r="B3831" s="6" t="s">
        <v>323</v>
      </c>
      <c r="C3831" s="6" t="s">
        <v>388</v>
      </c>
      <c r="D3831" s="5">
        <v>44958</v>
      </c>
    </row>
    <row r="3832" spans="2:4">
      <c r="B3832" s="6" t="s">
        <v>37</v>
      </c>
      <c r="C3832" s="6" t="s">
        <v>35</v>
      </c>
      <c r="D3832" s="5">
        <v>44958</v>
      </c>
    </row>
    <row r="3833" spans="2:4">
      <c r="B3833" s="6" t="s">
        <v>302</v>
      </c>
      <c r="C3833" s="6" t="s">
        <v>36</v>
      </c>
      <c r="D3833" s="5">
        <v>44958</v>
      </c>
    </row>
    <row r="3834" spans="2:4">
      <c r="B3834" s="6" t="s">
        <v>64</v>
      </c>
      <c r="C3834" s="6" t="s">
        <v>63</v>
      </c>
      <c r="D3834" s="5">
        <v>44958</v>
      </c>
    </row>
    <row r="3835" spans="2:4">
      <c r="B3835" s="6" t="s">
        <v>29</v>
      </c>
      <c r="C3835" s="6" t="s">
        <v>778</v>
      </c>
      <c r="D3835" s="5">
        <v>44958</v>
      </c>
    </row>
    <row r="3836" spans="2:4">
      <c r="B3836" s="6" t="s">
        <v>221</v>
      </c>
      <c r="C3836" s="6" t="s">
        <v>341</v>
      </c>
      <c r="D3836" s="5">
        <v>44958</v>
      </c>
    </row>
    <row r="3837" spans="2:4">
      <c r="B3837" s="6" t="s">
        <v>363</v>
      </c>
      <c r="C3837" s="6" t="s">
        <v>318</v>
      </c>
      <c r="D3837" s="5">
        <v>44958</v>
      </c>
    </row>
    <row r="3838" spans="2:4">
      <c r="B3838" s="6" t="s">
        <v>770</v>
      </c>
      <c r="C3838" s="6" t="s">
        <v>737</v>
      </c>
      <c r="D3838" s="5">
        <v>44958</v>
      </c>
    </row>
    <row r="3839" spans="2:4">
      <c r="B3839" s="6" t="s">
        <v>87</v>
      </c>
      <c r="C3839" s="6" t="s">
        <v>81</v>
      </c>
      <c r="D3839" s="5">
        <v>44958</v>
      </c>
    </row>
    <row r="3840" spans="2:4">
      <c r="B3840" s="6" t="s">
        <v>159</v>
      </c>
      <c r="C3840" s="6" t="s">
        <v>378</v>
      </c>
      <c r="D3840" s="5">
        <v>44958</v>
      </c>
    </row>
    <row r="3841" spans="2:4">
      <c r="B3841" s="6" t="s">
        <v>424</v>
      </c>
      <c r="C3841" s="6" t="s">
        <v>345</v>
      </c>
      <c r="D3841" s="5">
        <v>44958</v>
      </c>
    </row>
    <row r="3842" spans="2:4">
      <c r="B3842" s="6" t="s">
        <v>168</v>
      </c>
      <c r="C3842" s="6" t="s">
        <v>189</v>
      </c>
      <c r="D3842" s="5">
        <v>44958</v>
      </c>
    </row>
    <row r="3843" spans="2:4">
      <c r="B3843" s="6" t="s">
        <v>427</v>
      </c>
      <c r="C3843" s="6" t="s">
        <v>165</v>
      </c>
      <c r="D3843" s="5">
        <v>44959</v>
      </c>
    </row>
    <row r="3844" spans="2:4">
      <c r="B3844" s="6" t="s">
        <v>172</v>
      </c>
      <c r="C3844" s="6" t="s">
        <v>358</v>
      </c>
      <c r="D3844" s="5">
        <v>44959</v>
      </c>
    </row>
    <row r="3845" spans="2:4">
      <c r="B3845" s="6" t="s">
        <v>587</v>
      </c>
      <c r="C3845" s="6" t="s">
        <v>246</v>
      </c>
      <c r="D3845" s="5">
        <v>44959</v>
      </c>
    </row>
    <row r="3846" spans="2:4">
      <c r="B3846" s="6" t="s">
        <v>286</v>
      </c>
      <c r="C3846" s="6" t="s">
        <v>193</v>
      </c>
      <c r="D3846" s="5">
        <v>44959</v>
      </c>
    </row>
    <row r="3847" spans="2:4">
      <c r="B3847" s="6" t="s">
        <v>255</v>
      </c>
      <c r="C3847" s="6" t="s">
        <v>353</v>
      </c>
      <c r="D3847" s="5">
        <v>44959</v>
      </c>
    </row>
    <row r="3848" spans="2:4">
      <c r="B3848" s="6" t="s">
        <v>68</v>
      </c>
      <c r="C3848" s="6" t="s">
        <v>59</v>
      </c>
      <c r="D3848" s="5">
        <v>44959</v>
      </c>
    </row>
    <row r="3849" spans="2:4">
      <c r="B3849" s="6" t="s">
        <v>335</v>
      </c>
      <c r="C3849" s="6" t="s">
        <v>407</v>
      </c>
      <c r="D3849" s="5">
        <v>44959</v>
      </c>
    </row>
    <row r="3850" spans="2:4">
      <c r="B3850" s="6" t="s">
        <v>195</v>
      </c>
      <c r="C3850" s="6" t="s">
        <v>421</v>
      </c>
      <c r="D3850" s="5">
        <v>44959</v>
      </c>
    </row>
    <row r="3851" spans="2:4">
      <c r="B3851" s="6" t="s">
        <v>373</v>
      </c>
      <c r="C3851" s="6" t="s">
        <v>143</v>
      </c>
      <c r="D3851" s="5">
        <v>44959</v>
      </c>
    </row>
    <row r="3852" spans="2:4">
      <c r="B3852" s="6" t="s">
        <v>182</v>
      </c>
      <c r="C3852" s="6" t="s">
        <v>274</v>
      </c>
      <c r="D3852" s="5">
        <v>44959</v>
      </c>
    </row>
    <row r="3853" spans="2:4">
      <c r="B3853" s="6" t="s">
        <v>777</v>
      </c>
      <c r="C3853" s="6" t="s">
        <v>65</v>
      </c>
      <c r="D3853" s="5">
        <v>44959</v>
      </c>
    </row>
    <row r="3854" spans="2:4">
      <c r="B3854" s="6" t="s">
        <v>171</v>
      </c>
      <c r="C3854" s="6" t="s">
        <v>267</v>
      </c>
      <c r="D3854" s="5">
        <v>44959</v>
      </c>
    </row>
    <row r="3855" spans="2:4">
      <c r="B3855" s="6" t="s">
        <v>282</v>
      </c>
      <c r="C3855" s="6" t="s">
        <v>261</v>
      </c>
      <c r="D3855" s="5">
        <v>44959</v>
      </c>
    </row>
    <row r="3856" spans="2:4">
      <c r="B3856" s="6" t="s">
        <v>590</v>
      </c>
      <c r="C3856" s="6" t="s">
        <v>338</v>
      </c>
      <c r="D3856" s="5">
        <v>44959</v>
      </c>
    </row>
    <row r="3857" spans="2:4">
      <c r="B3857" s="6" t="s">
        <v>336</v>
      </c>
      <c r="C3857" s="6" t="s">
        <v>98</v>
      </c>
      <c r="D3857" s="5">
        <v>44959</v>
      </c>
    </row>
    <row r="3858" spans="2:4">
      <c r="B3858" s="6" t="s">
        <v>175</v>
      </c>
      <c r="C3858" s="6" t="s">
        <v>405</v>
      </c>
      <c r="D3858" s="5">
        <v>44959</v>
      </c>
    </row>
    <row r="3859" spans="2:4">
      <c r="B3859" s="6" t="s">
        <v>194</v>
      </c>
      <c r="C3859" s="6" t="s">
        <v>316</v>
      </c>
      <c r="D3859" s="5">
        <v>44959</v>
      </c>
    </row>
    <row r="3860" spans="2:4">
      <c r="B3860" s="6" t="s">
        <v>136</v>
      </c>
      <c r="C3860" s="6" t="s">
        <v>409</v>
      </c>
      <c r="D3860" s="5">
        <v>44959</v>
      </c>
    </row>
    <row r="3861" spans="2:4">
      <c r="B3861" s="6" t="s">
        <v>259</v>
      </c>
      <c r="C3861" s="6" t="s">
        <v>289</v>
      </c>
      <c r="D3861" s="5">
        <v>44959</v>
      </c>
    </row>
    <row r="3862" spans="2:4">
      <c r="B3862" s="6" t="s">
        <v>370</v>
      </c>
      <c r="C3862" s="6" t="s">
        <v>250</v>
      </c>
      <c r="D3862" s="5">
        <v>44959</v>
      </c>
    </row>
    <row r="3863" spans="2:4">
      <c r="B3863" s="6" t="s">
        <v>305</v>
      </c>
      <c r="C3863" s="6" t="s">
        <v>304</v>
      </c>
      <c r="D3863" s="5">
        <v>44959</v>
      </c>
    </row>
    <row r="3864" spans="2:4">
      <c r="B3864" s="6" t="s">
        <v>418</v>
      </c>
      <c r="C3864" s="6" t="s">
        <v>266</v>
      </c>
      <c r="D3864" s="5">
        <v>44959</v>
      </c>
    </row>
    <row r="3865" spans="2:4">
      <c r="B3865" s="6" t="s">
        <v>412</v>
      </c>
      <c r="C3865" s="6" t="s">
        <v>256</v>
      </c>
      <c r="D3865" s="5">
        <v>44959</v>
      </c>
    </row>
    <row r="3866" spans="2:4">
      <c r="B3866" s="6" t="s">
        <v>101</v>
      </c>
      <c r="C3866" s="6" t="s">
        <v>296</v>
      </c>
      <c r="D3866" s="5">
        <v>44959</v>
      </c>
    </row>
    <row r="3867" spans="2:4">
      <c r="B3867" s="6" t="s">
        <v>422</v>
      </c>
      <c r="C3867" s="6" t="s">
        <v>397</v>
      </c>
      <c r="D3867" s="5">
        <v>44959</v>
      </c>
    </row>
    <row r="3868" spans="2:4">
      <c r="B3868" s="6" t="s">
        <v>146</v>
      </c>
      <c r="C3868" s="6" t="s">
        <v>432</v>
      </c>
      <c r="D3868" s="5">
        <v>44959</v>
      </c>
    </row>
    <row r="3869" spans="2:4">
      <c r="B3869" s="6" t="s">
        <v>327</v>
      </c>
      <c r="C3869" s="6" t="s">
        <v>268</v>
      </c>
      <c r="D3869" s="5">
        <v>44959</v>
      </c>
    </row>
    <row r="3870" spans="2:4">
      <c r="B3870" s="6" t="s">
        <v>99</v>
      </c>
      <c r="C3870" s="6" t="s">
        <v>129</v>
      </c>
      <c r="D3870" s="5">
        <v>44959</v>
      </c>
    </row>
    <row r="3871" spans="2:4">
      <c r="B3871" s="6" t="s">
        <v>179</v>
      </c>
      <c r="C3871" s="6" t="s">
        <v>413</v>
      </c>
      <c r="D3871" s="5">
        <v>44959</v>
      </c>
    </row>
    <row r="3872" spans="2:4">
      <c r="B3872" s="6" t="s">
        <v>178</v>
      </c>
      <c r="C3872" s="6" t="s">
        <v>123</v>
      </c>
      <c r="D3872" s="5">
        <v>44959</v>
      </c>
    </row>
    <row r="3873" spans="2:4">
      <c r="B3873" s="6" t="s">
        <v>115</v>
      </c>
      <c r="C3873" s="6" t="s">
        <v>118</v>
      </c>
      <c r="D3873" s="5">
        <v>44959</v>
      </c>
    </row>
    <row r="3874" spans="2:4">
      <c r="B3874" s="6" t="s">
        <v>120</v>
      </c>
      <c r="C3874" s="6" t="s">
        <v>354</v>
      </c>
      <c r="D3874" s="5">
        <v>44959</v>
      </c>
    </row>
    <row r="3875" spans="2:4">
      <c r="B3875" s="6" t="s">
        <v>292</v>
      </c>
      <c r="C3875" s="6" t="s">
        <v>355</v>
      </c>
      <c r="D3875" s="5">
        <v>44959</v>
      </c>
    </row>
    <row r="3876" spans="2:4">
      <c r="B3876" s="6" t="s">
        <v>142</v>
      </c>
      <c r="C3876" s="6" t="s">
        <v>173</v>
      </c>
      <c r="D3876" s="5">
        <v>44959</v>
      </c>
    </row>
    <row r="3877" spans="2:4">
      <c r="B3877" s="6" t="s">
        <v>333</v>
      </c>
      <c r="C3877" s="6" t="s">
        <v>294</v>
      </c>
      <c r="D3877" s="5">
        <v>44959</v>
      </c>
    </row>
    <row r="3878" spans="2:4">
      <c r="B3878" s="6" t="s">
        <v>248</v>
      </c>
      <c r="C3878" s="6" t="s">
        <v>356</v>
      </c>
      <c r="D3878" s="5">
        <v>44959</v>
      </c>
    </row>
    <row r="3879" spans="2:4">
      <c r="B3879" s="6" t="s">
        <v>77</v>
      </c>
      <c r="C3879" s="6" t="s">
        <v>93</v>
      </c>
      <c r="D3879" s="5">
        <v>44959</v>
      </c>
    </row>
    <row r="3880" spans="2:4">
      <c r="B3880" s="6" t="s">
        <v>719</v>
      </c>
      <c r="C3880" s="6" t="s">
        <v>779</v>
      </c>
      <c r="D3880" s="5">
        <v>44959</v>
      </c>
    </row>
    <row r="3881" spans="2:4">
      <c r="B3881" s="6" t="s">
        <v>313</v>
      </c>
      <c r="C3881" s="6" t="s">
        <v>368</v>
      </c>
      <c r="D3881" s="5">
        <v>44959</v>
      </c>
    </row>
    <row r="3882" spans="2:4">
      <c r="B3882" s="6" t="s">
        <v>319</v>
      </c>
      <c r="C3882" s="6" t="s">
        <v>588</v>
      </c>
      <c r="D3882" s="5">
        <v>44959</v>
      </c>
    </row>
    <row r="3883" spans="2:4">
      <c r="B3883" s="6" t="s">
        <v>134</v>
      </c>
      <c r="C3883" s="6" t="s">
        <v>640</v>
      </c>
      <c r="D3883" s="5">
        <v>44959</v>
      </c>
    </row>
    <row r="3884" spans="2:4">
      <c r="B3884" s="6" t="s">
        <v>584</v>
      </c>
      <c r="C3884" s="6" t="s">
        <v>343</v>
      </c>
      <c r="D3884" s="5">
        <v>44959</v>
      </c>
    </row>
    <row r="3885" spans="2:4">
      <c r="B3885" s="6" t="s">
        <v>367</v>
      </c>
      <c r="C3885" s="6" t="s">
        <v>306</v>
      </c>
      <c r="D3885" s="5">
        <v>44959</v>
      </c>
    </row>
    <row r="3886" spans="2:4">
      <c r="B3886" s="6" t="s">
        <v>365</v>
      </c>
      <c r="C3886" s="6" t="s">
        <v>150</v>
      </c>
      <c r="D3886" s="5">
        <v>44959</v>
      </c>
    </row>
    <row r="3887" spans="2:4">
      <c r="B3887" s="6" t="s">
        <v>385</v>
      </c>
      <c r="C3887" s="6" t="s">
        <v>196</v>
      </c>
      <c r="D3887" s="5">
        <v>44959</v>
      </c>
    </row>
    <row r="3888" spans="2:4">
      <c r="B3888" s="6" t="s">
        <v>208</v>
      </c>
      <c r="C3888" s="6" t="s">
        <v>359</v>
      </c>
      <c r="D3888" s="5">
        <v>44959</v>
      </c>
    </row>
    <row r="3889" spans="2:4">
      <c r="B3889" s="6" t="s">
        <v>357</v>
      </c>
      <c r="C3889" s="6" t="s">
        <v>348</v>
      </c>
      <c r="D3889" s="5">
        <v>44959</v>
      </c>
    </row>
    <row r="3890" spans="2:4">
      <c r="B3890" s="6" t="s">
        <v>321</v>
      </c>
      <c r="C3890" s="6" t="s">
        <v>240</v>
      </c>
      <c r="D3890" s="5">
        <v>44959</v>
      </c>
    </row>
    <row r="3891" spans="2:4">
      <c r="B3891" s="6" t="s">
        <v>147</v>
      </c>
      <c r="C3891" s="6" t="s">
        <v>201</v>
      </c>
      <c r="D3891" s="5">
        <v>44959</v>
      </c>
    </row>
    <row r="3892" spans="2:4">
      <c r="B3892" s="6" t="s">
        <v>128</v>
      </c>
      <c r="C3892" s="6" t="s">
        <v>610</v>
      </c>
      <c r="D3892" s="5">
        <v>44959</v>
      </c>
    </row>
    <row r="3893" spans="2:4">
      <c r="B3893" s="6" t="s">
        <v>183</v>
      </c>
      <c r="C3893" s="6" t="s">
        <v>295</v>
      </c>
      <c r="D3893" s="5">
        <v>44959</v>
      </c>
    </row>
    <row r="3894" spans="2:4">
      <c r="B3894" s="6" t="s">
        <v>342</v>
      </c>
      <c r="C3894" s="6" t="s">
        <v>94</v>
      </c>
      <c r="D3894" s="5">
        <v>44959</v>
      </c>
    </row>
    <row r="3895" spans="2:4">
      <c r="B3895" s="6" t="s">
        <v>615</v>
      </c>
      <c r="C3895" s="6" t="s">
        <v>309</v>
      </c>
      <c r="D3895" s="5">
        <v>44959</v>
      </c>
    </row>
    <row r="3896" spans="2:4">
      <c r="B3896" s="6" t="s">
        <v>352</v>
      </c>
      <c r="C3896" s="6" t="s">
        <v>212</v>
      </c>
      <c r="D3896" s="5">
        <v>44959</v>
      </c>
    </row>
    <row r="3897" spans="2:4">
      <c r="B3897" s="6" t="s">
        <v>75</v>
      </c>
      <c r="C3897" s="6" t="s">
        <v>71</v>
      </c>
      <c r="D3897" s="5">
        <v>44959</v>
      </c>
    </row>
    <row r="3898" spans="2:4">
      <c r="B3898" s="6" t="s">
        <v>242</v>
      </c>
      <c r="C3898" s="6" t="s">
        <v>376</v>
      </c>
      <c r="D3898" s="5">
        <v>44959</v>
      </c>
    </row>
    <row r="3899" spans="2:4">
      <c r="B3899" s="6" t="s">
        <v>375</v>
      </c>
      <c r="C3899" s="6" t="s">
        <v>290</v>
      </c>
      <c r="D3899" s="5">
        <v>44959</v>
      </c>
    </row>
    <row r="3900" spans="2:4">
      <c r="B3900" s="6" t="s">
        <v>607</v>
      </c>
      <c r="C3900" s="6" t="s">
        <v>383</v>
      </c>
      <c r="D3900" s="5">
        <v>44959</v>
      </c>
    </row>
    <row r="3901" spans="2:4">
      <c r="B3901" s="6" t="s">
        <v>157</v>
      </c>
      <c r="C3901" s="6" t="s">
        <v>396</v>
      </c>
      <c r="D3901" s="5">
        <v>44959</v>
      </c>
    </row>
    <row r="3902" spans="2:4">
      <c r="B3902" s="6" t="s">
        <v>151</v>
      </c>
      <c r="C3902" s="6" t="s">
        <v>330</v>
      </c>
      <c r="D3902" s="5">
        <v>44959</v>
      </c>
    </row>
    <row r="3903" spans="2:4">
      <c r="B3903" s="6" t="s">
        <v>603</v>
      </c>
      <c r="C3903" s="6" t="s">
        <v>329</v>
      </c>
      <c r="D3903" s="5">
        <v>44959</v>
      </c>
    </row>
    <row r="3904" spans="2:4">
      <c r="B3904" s="6" t="s">
        <v>141</v>
      </c>
      <c r="C3904" s="6" t="s">
        <v>428</v>
      </c>
      <c r="D3904" s="5">
        <v>44959</v>
      </c>
    </row>
    <row r="3905" spans="2:4">
      <c r="B3905" s="6" t="s">
        <v>391</v>
      </c>
      <c r="C3905" s="6" t="s">
        <v>403</v>
      </c>
      <c r="D3905" s="5">
        <v>44959</v>
      </c>
    </row>
    <row r="3906" spans="2:4">
      <c r="B3906" s="6" t="s">
        <v>190</v>
      </c>
      <c r="C3906" s="6" t="s">
        <v>426</v>
      </c>
      <c r="D3906" s="5">
        <v>44959</v>
      </c>
    </row>
    <row r="3907" spans="2:4">
      <c r="B3907" s="6" t="s">
        <v>72</v>
      </c>
      <c r="C3907" s="6" t="s">
        <v>164</v>
      </c>
      <c r="D3907" s="5">
        <v>44959</v>
      </c>
    </row>
    <row r="3908" spans="2:4">
      <c r="B3908" s="6" t="s">
        <v>166</v>
      </c>
      <c r="C3908" s="6" t="s">
        <v>161</v>
      </c>
      <c r="D3908" s="5">
        <v>44959</v>
      </c>
    </row>
    <row r="3909" spans="2:4">
      <c r="B3909" s="6" t="s">
        <v>423</v>
      </c>
      <c r="C3909" s="6" t="s">
        <v>207</v>
      </c>
      <c r="D3909" s="5">
        <v>44959</v>
      </c>
    </row>
    <row r="3910" spans="2:4">
      <c r="B3910" s="6" t="s">
        <v>621</v>
      </c>
      <c r="C3910" s="6" t="s">
        <v>420</v>
      </c>
      <c r="D3910" s="5">
        <v>44959</v>
      </c>
    </row>
    <row r="3911" spans="2:4">
      <c r="B3911" s="6" t="s">
        <v>586</v>
      </c>
      <c r="C3911" s="6" t="s">
        <v>154</v>
      </c>
      <c r="D3911" s="5">
        <v>44959</v>
      </c>
    </row>
    <row r="3912" spans="2:4">
      <c r="B3912" s="6" t="s">
        <v>236</v>
      </c>
      <c r="C3912" s="6" t="s">
        <v>167</v>
      </c>
      <c r="D3912" s="5">
        <v>44959</v>
      </c>
    </row>
    <row r="3913" spans="2:4">
      <c r="B3913" s="6" t="s">
        <v>402</v>
      </c>
      <c r="C3913" s="6" t="s">
        <v>158</v>
      </c>
      <c r="D3913" s="5">
        <v>44959</v>
      </c>
    </row>
    <row r="3914" spans="2:4">
      <c r="B3914" s="6" t="s">
        <v>389</v>
      </c>
      <c r="C3914" s="6" t="s">
        <v>393</v>
      </c>
      <c r="D3914" s="5">
        <v>44959</v>
      </c>
    </row>
    <row r="3915" spans="2:4">
      <c r="B3915" s="6" t="s">
        <v>70</v>
      </c>
      <c r="C3915" s="6" t="s">
        <v>69</v>
      </c>
      <c r="D3915" s="5">
        <v>44959</v>
      </c>
    </row>
    <row r="3916" spans="2:4">
      <c r="B3916" s="6" t="s">
        <v>132</v>
      </c>
      <c r="C3916" s="6" t="s">
        <v>160</v>
      </c>
      <c r="D3916" s="5">
        <v>44959</v>
      </c>
    </row>
    <row r="3917" spans="2:4">
      <c r="B3917" s="6" t="s">
        <v>74</v>
      </c>
      <c r="C3917" s="6" t="s">
        <v>804</v>
      </c>
      <c r="D3917" s="5">
        <v>44959</v>
      </c>
    </row>
    <row r="3918" spans="2:4">
      <c r="B3918" s="6" t="s">
        <v>398</v>
      </c>
      <c r="C3918" s="6" t="s">
        <v>404</v>
      </c>
      <c r="D3918" s="5">
        <v>44959</v>
      </c>
    </row>
    <row r="3919" spans="2:4">
      <c r="B3919" s="6" t="s">
        <v>108</v>
      </c>
      <c r="C3919" s="6" t="s">
        <v>100</v>
      </c>
      <c r="D3919" s="5">
        <v>44960</v>
      </c>
    </row>
    <row r="3920" spans="2:4">
      <c r="B3920" s="6" t="s">
        <v>351</v>
      </c>
      <c r="C3920" s="6" t="s">
        <v>107</v>
      </c>
      <c r="D3920" s="5">
        <v>44960</v>
      </c>
    </row>
    <row r="3921" spans="2:4">
      <c r="B3921" s="6" t="s">
        <v>97</v>
      </c>
      <c r="C3921" s="6" t="s">
        <v>125</v>
      </c>
      <c r="D3921" s="5">
        <v>44960</v>
      </c>
    </row>
    <row r="3922" spans="2:4">
      <c r="B3922" s="6" t="s">
        <v>419</v>
      </c>
      <c r="C3922" s="6" t="s">
        <v>138</v>
      </c>
      <c r="D3922" s="5">
        <v>44960</v>
      </c>
    </row>
    <row r="3923" spans="2:4">
      <c r="B3923" s="6" t="s">
        <v>117</v>
      </c>
      <c r="C3923" s="6" t="s">
        <v>244</v>
      </c>
      <c r="D3923" s="5">
        <v>44960</v>
      </c>
    </row>
    <row r="3924" spans="2:4">
      <c r="B3924" s="6" t="s">
        <v>216</v>
      </c>
      <c r="C3924" s="6" t="s">
        <v>112</v>
      </c>
      <c r="D3924" s="5">
        <v>44960</v>
      </c>
    </row>
    <row r="3925" spans="2:4">
      <c r="B3925" s="6" t="s">
        <v>230</v>
      </c>
      <c r="C3925" s="6" t="s">
        <v>130</v>
      </c>
      <c r="D3925" s="5">
        <v>44960</v>
      </c>
    </row>
    <row r="3926" spans="2:4">
      <c r="B3926" s="6" t="s">
        <v>285</v>
      </c>
      <c r="C3926" s="6" t="s">
        <v>233</v>
      </c>
      <c r="D3926" s="5">
        <v>44960</v>
      </c>
    </row>
    <row r="3927" spans="2:4">
      <c r="B3927" s="6" t="s">
        <v>133</v>
      </c>
      <c r="C3927" s="6" t="s">
        <v>121</v>
      </c>
      <c r="D3927" s="5">
        <v>44960</v>
      </c>
    </row>
    <row r="3928" spans="2:4">
      <c r="B3928" s="6" t="s">
        <v>204</v>
      </c>
      <c r="C3928" s="6" t="s">
        <v>211</v>
      </c>
      <c r="D3928" s="5">
        <v>44960</v>
      </c>
    </row>
    <row r="3929" spans="2:4">
      <c r="B3929" s="6" t="s">
        <v>392</v>
      </c>
      <c r="C3929" s="6" t="s">
        <v>162</v>
      </c>
      <c r="D3929" s="5">
        <v>44960</v>
      </c>
    </row>
    <row r="3930" spans="2:4">
      <c r="B3930" s="6" t="s">
        <v>163</v>
      </c>
      <c r="C3930" s="6" t="s">
        <v>394</v>
      </c>
      <c r="D3930" s="5">
        <v>44960</v>
      </c>
    </row>
    <row r="3931" spans="2:4">
      <c r="B3931" s="6" t="s">
        <v>169</v>
      </c>
      <c r="C3931" s="6" t="s">
        <v>198</v>
      </c>
      <c r="D3931" s="5">
        <v>44960</v>
      </c>
    </row>
    <row r="3932" spans="2:4">
      <c r="B3932" s="6" t="s">
        <v>398</v>
      </c>
      <c r="C3932" s="6" t="s">
        <v>132</v>
      </c>
      <c r="D3932" s="5">
        <v>44961</v>
      </c>
    </row>
    <row r="3933" spans="2:4">
      <c r="B3933" s="6" t="s">
        <v>719</v>
      </c>
      <c r="C3933" s="6" t="s">
        <v>69</v>
      </c>
      <c r="D3933" s="5">
        <v>44961</v>
      </c>
    </row>
    <row r="3934" spans="2:4">
      <c r="B3934" s="6" t="s">
        <v>249</v>
      </c>
      <c r="C3934" s="6" t="s">
        <v>170</v>
      </c>
      <c r="D3934" s="5">
        <v>44961</v>
      </c>
    </row>
    <row r="3935" spans="2:4">
      <c r="B3935" s="6" t="s">
        <v>264</v>
      </c>
      <c r="C3935" s="6" t="s">
        <v>238</v>
      </c>
      <c r="D3935" s="5">
        <v>44961</v>
      </c>
    </row>
    <row r="3936" spans="2:4">
      <c r="B3936" s="6" t="s">
        <v>395</v>
      </c>
      <c r="C3936" s="6" t="s">
        <v>298</v>
      </c>
      <c r="D3936" s="5">
        <v>44961</v>
      </c>
    </row>
    <row r="3937" spans="2:4">
      <c r="B3937" s="6" t="s">
        <v>105</v>
      </c>
      <c r="C3937" s="6" t="s">
        <v>180</v>
      </c>
      <c r="D3937" s="5">
        <v>44961</v>
      </c>
    </row>
    <row r="3938" spans="2:4">
      <c r="B3938" s="6" t="s">
        <v>747</v>
      </c>
      <c r="C3938" s="6" t="s">
        <v>26</v>
      </c>
      <c r="D3938" s="5">
        <v>44961</v>
      </c>
    </row>
    <row r="3939" spans="2:4">
      <c r="B3939" s="6" t="s">
        <v>52</v>
      </c>
      <c r="C3939" s="6" t="s">
        <v>188</v>
      </c>
      <c r="D3939" s="5">
        <v>44961</v>
      </c>
    </row>
    <row r="3940" spans="2:4">
      <c r="B3940" s="6" t="s">
        <v>187</v>
      </c>
      <c r="C3940" s="6" t="s">
        <v>411</v>
      </c>
      <c r="D3940" s="5">
        <v>44961</v>
      </c>
    </row>
    <row r="3941" spans="2:4">
      <c r="B3941" s="6" t="s">
        <v>41</v>
      </c>
      <c r="C3941" s="6" t="s">
        <v>732</v>
      </c>
      <c r="D3941" s="5">
        <v>44961</v>
      </c>
    </row>
    <row r="3942" spans="2:4">
      <c r="B3942" s="6" t="s">
        <v>64</v>
      </c>
      <c r="C3942" s="6" t="s">
        <v>761</v>
      </c>
      <c r="D3942" s="5">
        <v>44961</v>
      </c>
    </row>
    <row r="3943" spans="2:4">
      <c r="B3943" s="6" t="s">
        <v>172</v>
      </c>
      <c r="C3943" s="6" t="s">
        <v>324</v>
      </c>
      <c r="D3943" s="5">
        <v>44961</v>
      </c>
    </row>
    <row r="3944" spans="2:4">
      <c r="B3944" s="6" t="s">
        <v>300</v>
      </c>
      <c r="C3944" s="6" t="s">
        <v>199</v>
      </c>
      <c r="D3944" s="5">
        <v>44961</v>
      </c>
    </row>
    <row r="3945" spans="2:4">
      <c r="B3945" s="6" t="s">
        <v>28</v>
      </c>
      <c r="C3945" s="6" t="s">
        <v>27</v>
      </c>
      <c r="D3945" s="5">
        <v>44961</v>
      </c>
    </row>
    <row r="3946" spans="2:4">
      <c r="B3946" s="6" t="s">
        <v>137</v>
      </c>
      <c r="C3946" s="6" t="s">
        <v>114</v>
      </c>
      <c r="D3946" s="5">
        <v>44961</v>
      </c>
    </row>
    <row r="3947" spans="2:4">
      <c r="B3947" s="6" t="s">
        <v>46</v>
      </c>
      <c r="C3947" s="6" t="s">
        <v>53</v>
      </c>
      <c r="D3947" s="5">
        <v>44961</v>
      </c>
    </row>
    <row r="3948" spans="2:4">
      <c r="B3948" s="6" t="s">
        <v>770</v>
      </c>
      <c r="C3948" s="6" t="s">
        <v>50</v>
      </c>
      <c r="D3948" s="5">
        <v>44961</v>
      </c>
    </row>
    <row r="3949" spans="2:4">
      <c r="B3949" s="6" t="s">
        <v>269</v>
      </c>
      <c r="C3949" s="6" t="s">
        <v>177</v>
      </c>
      <c r="D3949" s="5">
        <v>44961</v>
      </c>
    </row>
    <row r="3950" spans="2:4">
      <c r="B3950" s="6" t="s">
        <v>106</v>
      </c>
      <c r="C3950" s="6" t="s">
        <v>253</v>
      </c>
      <c r="D3950" s="5">
        <v>44961</v>
      </c>
    </row>
    <row r="3951" spans="2:4">
      <c r="B3951" s="6" t="s">
        <v>185</v>
      </c>
      <c r="C3951" s="6" t="s">
        <v>762</v>
      </c>
      <c r="D3951" s="5">
        <v>44961</v>
      </c>
    </row>
    <row r="3952" spans="2:4">
      <c r="B3952" s="6" t="s">
        <v>282</v>
      </c>
      <c r="C3952" s="6" t="s">
        <v>267</v>
      </c>
      <c r="D3952" s="5">
        <v>44961</v>
      </c>
    </row>
    <row r="3953" spans="2:4">
      <c r="B3953" s="6" t="s">
        <v>410</v>
      </c>
      <c r="C3953" s="6" t="s">
        <v>98</v>
      </c>
      <c r="D3953" s="5">
        <v>44961</v>
      </c>
    </row>
    <row r="3954" spans="2:4">
      <c r="B3954" s="6" t="s">
        <v>587</v>
      </c>
      <c r="C3954" s="6" t="s">
        <v>590</v>
      </c>
      <c r="D3954" s="5">
        <v>44961</v>
      </c>
    </row>
    <row r="3955" spans="2:4">
      <c r="B3955" s="6" t="s">
        <v>101</v>
      </c>
      <c r="C3955" s="6" t="s">
        <v>397</v>
      </c>
      <c r="D3955" s="5">
        <v>44961</v>
      </c>
    </row>
    <row r="3956" spans="2:4">
      <c r="B3956" s="6" t="s">
        <v>422</v>
      </c>
      <c r="C3956" s="6" t="s">
        <v>296</v>
      </c>
      <c r="D3956" s="5">
        <v>44961</v>
      </c>
    </row>
    <row r="3957" spans="2:4">
      <c r="B3957" s="6" t="s">
        <v>86</v>
      </c>
      <c r="C3957" s="6" t="s">
        <v>83</v>
      </c>
      <c r="D3957" s="5">
        <v>44961</v>
      </c>
    </row>
    <row r="3958" spans="2:4">
      <c r="B3958" s="6" t="s">
        <v>778</v>
      </c>
      <c r="C3958" s="6" t="s">
        <v>34</v>
      </c>
      <c r="D3958" s="5">
        <v>44961</v>
      </c>
    </row>
    <row r="3959" spans="2:4">
      <c r="B3959" s="6" t="s">
        <v>122</v>
      </c>
      <c r="C3959" s="6" t="s">
        <v>347</v>
      </c>
      <c r="D3959" s="5">
        <v>44961</v>
      </c>
    </row>
    <row r="3960" spans="2:4">
      <c r="B3960" s="6" t="s">
        <v>144</v>
      </c>
      <c r="C3960" s="6" t="s">
        <v>221</v>
      </c>
      <c r="D3960" s="5">
        <v>44961</v>
      </c>
    </row>
    <row r="3961" spans="2:4">
      <c r="B3961" s="6" t="s">
        <v>43</v>
      </c>
      <c r="C3961" s="6" t="s">
        <v>737</v>
      </c>
      <c r="D3961" s="5">
        <v>44961</v>
      </c>
    </row>
    <row r="3962" spans="2:4">
      <c r="B3962" s="6" t="s">
        <v>174</v>
      </c>
      <c r="C3962" s="6" t="s">
        <v>301</v>
      </c>
      <c r="D3962" s="5">
        <v>44961</v>
      </c>
    </row>
    <row r="3963" spans="2:4">
      <c r="B3963" s="6" t="s">
        <v>131</v>
      </c>
      <c r="C3963" s="6" t="s">
        <v>220</v>
      </c>
      <c r="D3963" s="5">
        <v>44961</v>
      </c>
    </row>
    <row r="3964" spans="2:4">
      <c r="B3964" s="6" t="s">
        <v>37</v>
      </c>
      <c r="C3964" s="6" t="s">
        <v>42</v>
      </c>
      <c r="D3964" s="5">
        <v>44961</v>
      </c>
    </row>
    <row r="3965" spans="2:4">
      <c r="B3965" s="6" t="s">
        <v>337</v>
      </c>
      <c r="C3965" s="6" t="s">
        <v>284</v>
      </c>
      <c r="D3965" s="5">
        <v>44961</v>
      </c>
    </row>
    <row r="3966" spans="2:4">
      <c r="B3966" s="6" t="s">
        <v>202</v>
      </c>
      <c r="C3966" s="6" t="s">
        <v>191</v>
      </c>
      <c r="D3966" s="5">
        <v>44961</v>
      </c>
    </row>
    <row r="3967" spans="2:4">
      <c r="B3967" s="6" t="s">
        <v>425</v>
      </c>
      <c r="C3967" s="6" t="s">
        <v>192</v>
      </c>
      <c r="D3967" s="5">
        <v>44961</v>
      </c>
    </row>
    <row r="3968" spans="2:4">
      <c r="B3968" s="6" t="s">
        <v>287</v>
      </c>
      <c r="C3968" s="6" t="s">
        <v>104</v>
      </c>
      <c r="D3968" s="5">
        <v>44961</v>
      </c>
    </row>
    <row r="3969" spans="2:4">
      <c r="B3969" s="6" t="s">
        <v>171</v>
      </c>
      <c r="C3969" s="6" t="s">
        <v>261</v>
      </c>
      <c r="D3969" s="5">
        <v>44961</v>
      </c>
    </row>
    <row r="3970" spans="2:4">
      <c r="B3970" s="6" t="s">
        <v>127</v>
      </c>
      <c r="C3970" s="6" t="s">
        <v>209</v>
      </c>
      <c r="D3970" s="5">
        <v>44961</v>
      </c>
    </row>
    <row r="3971" spans="2:4">
      <c r="B3971" s="6" t="s">
        <v>109</v>
      </c>
      <c r="C3971" s="6" t="s">
        <v>247</v>
      </c>
      <c r="D3971" s="5">
        <v>44961</v>
      </c>
    </row>
    <row r="3972" spans="2:4">
      <c r="B3972" s="6" t="s">
        <v>336</v>
      </c>
      <c r="C3972" s="6" t="s">
        <v>246</v>
      </c>
      <c r="D3972" s="5">
        <v>44961</v>
      </c>
    </row>
    <row r="3973" spans="2:4">
      <c r="B3973" s="6" t="s">
        <v>259</v>
      </c>
      <c r="C3973" s="6" t="s">
        <v>316</v>
      </c>
      <c r="D3973" s="5">
        <v>44961</v>
      </c>
    </row>
    <row r="3974" spans="2:4">
      <c r="B3974" s="6" t="s">
        <v>208</v>
      </c>
      <c r="C3974" s="6" t="s">
        <v>196</v>
      </c>
      <c r="D3974" s="5">
        <v>44961</v>
      </c>
    </row>
    <row r="3975" spans="2:4">
      <c r="B3975" s="6" t="s">
        <v>413</v>
      </c>
      <c r="C3975" s="6" t="s">
        <v>327</v>
      </c>
      <c r="D3975" s="5">
        <v>44961</v>
      </c>
    </row>
    <row r="3976" spans="2:4">
      <c r="B3976" s="6" t="s">
        <v>118</v>
      </c>
      <c r="C3976" s="6" t="s">
        <v>432</v>
      </c>
      <c r="D3976" s="5">
        <v>44961</v>
      </c>
    </row>
    <row r="3977" spans="2:4">
      <c r="B3977" s="6" t="s">
        <v>272</v>
      </c>
      <c r="C3977" s="6" t="s">
        <v>129</v>
      </c>
      <c r="D3977" s="5">
        <v>44961</v>
      </c>
    </row>
    <row r="3978" spans="2:4">
      <c r="B3978" s="6" t="s">
        <v>115</v>
      </c>
      <c r="C3978" s="6" t="s">
        <v>146</v>
      </c>
      <c r="D3978" s="5">
        <v>44961</v>
      </c>
    </row>
    <row r="3979" spans="2:4">
      <c r="B3979" s="6" t="s">
        <v>142</v>
      </c>
      <c r="C3979" s="6" t="s">
        <v>355</v>
      </c>
      <c r="D3979" s="5">
        <v>44961</v>
      </c>
    </row>
    <row r="3980" spans="2:4">
      <c r="B3980" s="6" t="s">
        <v>61</v>
      </c>
      <c r="C3980" s="6" t="s">
        <v>60</v>
      </c>
      <c r="D3980" s="5">
        <v>44961</v>
      </c>
    </row>
    <row r="3981" spans="2:4">
      <c r="B3981" s="6" t="s">
        <v>350</v>
      </c>
      <c r="C3981" s="6" t="s">
        <v>281</v>
      </c>
      <c r="D3981" s="5">
        <v>44961</v>
      </c>
    </row>
    <row r="3982" spans="2:4">
      <c r="B3982" s="6" t="s">
        <v>414</v>
      </c>
      <c r="C3982" s="6" t="s">
        <v>203</v>
      </c>
      <c r="D3982" s="5">
        <v>44961</v>
      </c>
    </row>
    <row r="3983" spans="2:4">
      <c r="B3983" s="6" t="s">
        <v>51</v>
      </c>
      <c r="C3983" s="6" t="s">
        <v>48</v>
      </c>
      <c r="D3983" s="5">
        <v>44961</v>
      </c>
    </row>
    <row r="3984" spans="2:4">
      <c r="B3984" s="6" t="s">
        <v>215</v>
      </c>
      <c r="C3984" s="6" t="s">
        <v>205</v>
      </c>
      <c r="D3984" s="5">
        <v>44961</v>
      </c>
    </row>
    <row r="3985" spans="2:4">
      <c r="B3985" s="6" t="s">
        <v>102</v>
      </c>
      <c r="C3985" s="6" t="s">
        <v>436</v>
      </c>
      <c r="D3985" s="5">
        <v>44961</v>
      </c>
    </row>
    <row r="3986" spans="2:4">
      <c r="B3986" s="6" t="s">
        <v>175</v>
      </c>
      <c r="C3986" s="6" t="s">
        <v>338</v>
      </c>
      <c r="D3986" s="5">
        <v>44961</v>
      </c>
    </row>
    <row r="3987" spans="2:4">
      <c r="B3987" s="6" t="s">
        <v>333</v>
      </c>
      <c r="C3987" s="6" t="s">
        <v>306</v>
      </c>
      <c r="D3987" s="5">
        <v>44961</v>
      </c>
    </row>
    <row r="3988" spans="2:4">
      <c r="B3988" s="6" t="s">
        <v>367</v>
      </c>
      <c r="C3988" s="6" t="s">
        <v>294</v>
      </c>
      <c r="D3988" s="5">
        <v>44961</v>
      </c>
    </row>
    <row r="3989" spans="2:4">
      <c r="B3989" s="6" t="s">
        <v>385</v>
      </c>
      <c r="C3989" s="6" t="s">
        <v>359</v>
      </c>
      <c r="D3989" s="5">
        <v>44961</v>
      </c>
    </row>
    <row r="3990" spans="2:4">
      <c r="B3990" s="6" t="s">
        <v>357</v>
      </c>
      <c r="C3990" s="6" t="s">
        <v>330</v>
      </c>
      <c r="D3990" s="5">
        <v>44961</v>
      </c>
    </row>
    <row r="3991" spans="2:4">
      <c r="B3991" s="6" t="s">
        <v>248</v>
      </c>
      <c r="C3991" s="6" t="s">
        <v>353</v>
      </c>
      <c r="D3991" s="5">
        <v>44961</v>
      </c>
    </row>
    <row r="3992" spans="2:4">
      <c r="B3992" s="6" t="s">
        <v>90</v>
      </c>
      <c r="C3992" s="6" t="s">
        <v>84</v>
      </c>
      <c r="D3992" s="5">
        <v>44961</v>
      </c>
    </row>
    <row r="3993" spans="2:4">
      <c r="B3993" s="6" t="s">
        <v>750</v>
      </c>
      <c r="C3993" s="6" t="s">
        <v>30</v>
      </c>
      <c r="D3993" s="5">
        <v>44961</v>
      </c>
    </row>
    <row r="3994" spans="2:4">
      <c r="B3994" s="6" t="s">
        <v>62</v>
      </c>
      <c r="C3994" s="6" t="s">
        <v>58</v>
      </c>
      <c r="D3994" s="5">
        <v>44961</v>
      </c>
    </row>
    <row r="3995" spans="2:4">
      <c r="B3995" s="6" t="s">
        <v>81</v>
      </c>
      <c r="C3995" s="6" t="s">
        <v>82</v>
      </c>
      <c r="D3995" s="5">
        <v>44961</v>
      </c>
    </row>
    <row r="3996" spans="2:4">
      <c r="B3996" s="6" t="s">
        <v>275</v>
      </c>
      <c r="C3996" s="6" t="s">
        <v>341</v>
      </c>
      <c r="D3996" s="5">
        <v>44961</v>
      </c>
    </row>
    <row r="3997" spans="2:4">
      <c r="B3997" s="6" t="s">
        <v>399</v>
      </c>
      <c r="C3997" s="6" t="s">
        <v>232</v>
      </c>
      <c r="D3997" s="5">
        <v>44961</v>
      </c>
    </row>
    <row r="3998" spans="2:4">
      <c r="B3998" s="6" t="s">
        <v>360</v>
      </c>
      <c r="C3998" s="6" t="s">
        <v>176</v>
      </c>
      <c r="D3998" s="5">
        <v>44961</v>
      </c>
    </row>
    <row r="3999" spans="2:4">
      <c r="B3999" s="6" t="s">
        <v>325</v>
      </c>
      <c r="C3999" s="6" t="s">
        <v>312</v>
      </c>
      <c r="D3999" s="5">
        <v>44961</v>
      </c>
    </row>
    <row r="4000" spans="2:4">
      <c r="B4000" s="6" t="s">
        <v>313</v>
      </c>
      <c r="C4000" s="6" t="s">
        <v>376</v>
      </c>
      <c r="D4000" s="5">
        <v>44961</v>
      </c>
    </row>
    <row r="4001" spans="2:4">
      <c r="B4001" s="6" t="s">
        <v>195</v>
      </c>
      <c r="C4001" s="6" t="s">
        <v>274</v>
      </c>
      <c r="D4001" s="5">
        <v>44961</v>
      </c>
    </row>
    <row r="4002" spans="2:4">
      <c r="B4002" s="6" t="s">
        <v>182</v>
      </c>
      <c r="C4002" s="6" t="s">
        <v>421</v>
      </c>
      <c r="D4002" s="5">
        <v>44961</v>
      </c>
    </row>
    <row r="4003" spans="2:4">
      <c r="B4003" s="6" t="s">
        <v>273</v>
      </c>
      <c r="C4003" s="6" t="s">
        <v>297</v>
      </c>
      <c r="D4003" s="5">
        <v>44961</v>
      </c>
    </row>
    <row r="4004" spans="2:4">
      <c r="B4004" s="6" t="s">
        <v>286</v>
      </c>
      <c r="C4004" s="6" t="s">
        <v>409</v>
      </c>
      <c r="D4004" s="5">
        <v>44961</v>
      </c>
    </row>
    <row r="4005" spans="2:4">
      <c r="B4005" s="6" t="s">
        <v>304</v>
      </c>
      <c r="C4005" s="6" t="s">
        <v>321</v>
      </c>
      <c r="D4005" s="5">
        <v>44961</v>
      </c>
    </row>
    <row r="4006" spans="2:4">
      <c r="B4006" s="6" t="s">
        <v>178</v>
      </c>
      <c r="C4006" s="6" t="s">
        <v>99</v>
      </c>
      <c r="D4006" s="5">
        <v>44961</v>
      </c>
    </row>
    <row r="4007" spans="2:4">
      <c r="B4007" s="6" t="s">
        <v>147</v>
      </c>
      <c r="C4007" s="6" t="s">
        <v>610</v>
      </c>
      <c r="D4007" s="5">
        <v>44961</v>
      </c>
    </row>
    <row r="4008" spans="2:4">
      <c r="B4008" s="6" t="s">
        <v>183</v>
      </c>
      <c r="C4008" s="6" t="s">
        <v>640</v>
      </c>
      <c r="D4008" s="5">
        <v>44961</v>
      </c>
    </row>
    <row r="4009" spans="2:4">
      <c r="B4009" s="6" t="s">
        <v>615</v>
      </c>
      <c r="C4009" s="6" t="s">
        <v>305</v>
      </c>
      <c r="D4009" s="5">
        <v>44961</v>
      </c>
    </row>
    <row r="4010" spans="2:4">
      <c r="B4010" s="6" t="s">
        <v>329</v>
      </c>
      <c r="C4010" s="6" t="s">
        <v>309</v>
      </c>
      <c r="D4010" s="5">
        <v>44961</v>
      </c>
    </row>
    <row r="4011" spans="2:4">
      <c r="B4011" s="6" t="s">
        <v>240</v>
      </c>
      <c r="C4011" s="6" t="s">
        <v>370</v>
      </c>
      <c r="D4011" s="5">
        <v>44961</v>
      </c>
    </row>
    <row r="4012" spans="2:4">
      <c r="B4012" s="6" t="s">
        <v>603</v>
      </c>
      <c r="C4012" s="6" t="s">
        <v>250</v>
      </c>
      <c r="D4012" s="5">
        <v>44961</v>
      </c>
    </row>
    <row r="4013" spans="2:4">
      <c r="B4013" s="6" t="s">
        <v>156</v>
      </c>
      <c r="C4013" s="6" t="s">
        <v>332</v>
      </c>
      <c r="D4013" s="5">
        <v>44961</v>
      </c>
    </row>
    <row r="4014" spans="2:4">
      <c r="B4014" s="6" t="s">
        <v>580</v>
      </c>
      <c r="C4014" s="6" t="s">
        <v>278</v>
      </c>
      <c r="D4014" s="5">
        <v>44961</v>
      </c>
    </row>
    <row r="4015" spans="2:4">
      <c r="B4015" s="6" t="s">
        <v>186</v>
      </c>
      <c r="C4015" s="6" t="s">
        <v>326</v>
      </c>
      <c r="D4015" s="5">
        <v>44961</v>
      </c>
    </row>
    <row r="4016" spans="2:4">
      <c r="B4016" s="6" t="s">
        <v>54</v>
      </c>
      <c r="C4016" s="6" t="s">
        <v>47</v>
      </c>
      <c r="D4016" s="5">
        <v>44961</v>
      </c>
    </row>
    <row r="4017" spans="2:4">
      <c r="B4017" s="6" t="s">
        <v>310</v>
      </c>
      <c r="C4017" s="6" t="s">
        <v>179</v>
      </c>
      <c r="D4017" s="5">
        <v>44961</v>
      </c>
    </row>
    <row r="4018" spans="2:4">
      <c r="B4018" s="6" t="s">
        <v>134</v>
      </c>
      <c r="C4018" s="6" t="s">
        <v>295</v>
      </c>
      <c r="D4018" s="5">
        <v>44961</v>
      </c>
    </row>
    <row r="4019" spans="2:4">
      <c r="B4019" s="6" t="s">
        <v>39</v>
      </c>
      <c r="C4019" s="6" t="s">
        <v>302</v>
      </c>
      <c r="D4019" s="5">
        <v>44961</v>
      </c>
    </row>
    <row r="4020" spans="2:4">
      <c r="B4020" s="6" t="s">
        <v>323</v>
      </c>
      <c r="C4020" s="6" t="s">
        <v>415</v>
      </c>
      <c r="D4020" s="5">
        <v>44961</v>
      </c>
    </row>
    <row r="4021" spans="2:4">
      <c r="B4021" s="6" t="s">
        <v>388</v>
      </c>
      <c r="C4021" s="6" t="s">
        <v>344</v>
      </c>
      <c r="D4021" s="5">
        <v>44961</v>
      </c>
    </row>
    <row r="4022" spans="2:4">
      <c r="B4022" s="6" t="s">
        <v>288</v>
      </c>
      <c r="C4022" s="6" t="s">
        <v>400</v>
      </c>
      <c r="D4022" s="5">
        <v>44961</v>
      </c>
    </row>
    <row r="4023" spans="2:4">
      <c r="B4023" s="6" t="s">
        <v>194</v>
      </c>
      <c r="C4023" s="6" t="s">
        <v>150</v>
      </c>
      <c r="D4023" s="5">
        <v>44961</v>
      </c>
    </row>
    <row r="4024" spans="2:4">
      <c r="B4024" s="6" t="s">
        <v>389</v>
      </c>
      <c r="C4024" s="6" t="s">
        <v>158</v>
      </c>
      <c r="D4024" s="5">
        <v>44961</v>
      </c>
    </row>
    <row r="4025" spans="2:4">
      <c r="B4025" s="6" t="s">
        <v>128</v>
      </c>
      <c r="C4025" s="6" t="s">
        <v>201</v>
      </c>
      <c r="D4025" s="5">
        <v>44961</v>
      </c>
    </row>
    <row r="4026" spans="2:4">
      <c r="B4026" s="6" t="s">
        <v>588</v>
      </c>
      <c r="C4026" s="6" t="s">
        <v>342</v>
      </c>
      <c r="D4026" s="5">
        <v>44961</v>
      </c>
    </row>
    <row r="4027" spans="2:4">
      <c r="B4027" s="6" t="s">
        <v>97</v>
      </c>
      <c r="C4027" s="6" t="s">
        <v>138</v>
      </c>
      <c r="D4027" s="5">
        <v>44961</v>
      </c>
    </row>
    <row r="4028" spans="2:4">
      <c r="B4028" s="6" t="s">
        <v>280</v>
      </c>
      <c r="C4028" s="6" t="s">
        <v>213</v>
      </c>
      <c r="D4028" s="5">
        <v>44961</v>
      </c>
    </row>
    <row r="4029" spans="2:4">
      <c r="B4029" s="6" t="s">
        <v>139</v>
      </c>
      <c r="C4029" s="6" t="s">
        <v>363</v>
      </c>
      <c r="D4029" s="5">
        <v>44961</v>
      </c>
    </row>
    <row r="4030" spans="2:4">
      <c r="B4030" s="6" t="s">
        <v>318</v>
      </c>
      <c r="C4030" s="6" t="s">
        <v>119</v>
      </c>
      <c r="D4030" s="5">
        <v>44961</v>
      </c>
    </row>
    <row r="4031" spans="2:4">
      <c r="B4031" s="6" t="s">
        <v>351</v>
      </c>
      <c r="C4031" s="6" t="s">
        <v>100</v>
      </c>
      <c r="D4031" s="5">
        <v>44961</v>
      </c>
    </row>
    <row r="4032" spans="2:4">
      <c r="B4032" s="6" t="s">
        <v>419</v>
      </c>
      <c r="C4032" s="6" t="s">
        <v>125</v>
      </c>
      <c r="D4032" s="5">
        <v>44961</v>
      </c>
    </row>
    <row r="4033" spans="2:4">
      <c r="B4033" s="6" t="s">
        <v>108</v>
      </c>
      <c r="C4033" s="6" t="s">
        <v>107</v>
      </c>
      <c r="D4033" s="5">
        <v>44961</v>
      </c>
    </row>
    <row r="4034" spans="2:4">
      <c r="B4034" s="6" t="s">
        <v>242</v>
      </c>
      <c r="C4034" s="6" t="s">
        <v>368</v>
      </c>
      <c r="D4034" s="5">
        <v>44961</v>
      </c>
    </row>
    <row r="4035" spans="2:4">
      <c r="B4035" s="6" t="s">
        <v>763</v>
      </c>
      <c r="C4035" s="6" t="s">
        <v>87</v>
      </c>
      <c r="D4035" s="5">
        <v>44961</v>
      </c>
    </row>
    <row r="4036" spans="2:4">
      <c r="B4036" s="6" t="s">
        <v>111</v>
      </c>
      <c r="C4036" s="6" t="s">
        <v>103</v>
      </c>
      <c r="D4036" s="5">
        <v>44961</v>
      </c>
    </row>
    <row r="4037" spans="2:4">
      <c r="B4037" s="6" t="s">
        <v>151</v>
      </c>
      <c r="C4037" s="6" t="s">
        <v>348</v>
      </c>
      <c r="D4037" s="5">
        <v>44961</v>
      </c>
    </row>
    <row r="4038" spans="2:4">
      <c r="B4038" s="6" t="s">
        <v>391</v>
      </c>
      <c r="C4038" s="6" t="s">
        <v>426</v>
      </c>
      <c r="D4038" s="5">
        <v>44961</v>
      </c>
    </row>
    <row r="4039" spans="2:4">
      <c r="B4039" s="6" t="s">
        <v>44</v>
      </c>
      <c r="C4039" s="6" t="s">
        <v>251</v>
      </c>
      <c r="D4039" s="5">
        <v>44961</v>
      </c>
    </row>
    <row r="4040" spans="2:4">
      <c r="B4040" s="6" t="s">
        <v>364</v>
      </c>
      <c r="C4040" s="6" t="s">
        <v>303</v>
      </c>
      <c r="D4040" s="5">
        <v>44961</v>
      </c>
    </row>
    <row r="4041" spans="2:4">
      <c r="B4041" s="6" t="s">
        <v>75</v>
      </c>
      <c r="C4041" s="6" t="s">
        <v>804</v>
      </c>
      <c r="D4041" s="5">
        <v>44961</v>
      </c>
    </row>
    <row r="4042" spans="2:4">
      <c r="B4042" s="6" t="s">
        <v>113</v>
      </c>
      <c r="C4042" s="6" t="s">
        <v>148</v>
      </c>
      <c r="D4042" s="5">
        <v>44961</v>
      </c>
    </row>
    <row r="4043" spans="2:4">
      <c r="B4043" s="6" t="s">
        <v>94</v>
      </c>
      <c r="C4043" s="6" t="s">
        <v>343</v>
      </c>
      <c r="D4043" s="5">
        <v>44961</v>
      </c>
    </row>
    <row r="4044" spans="2:4">
      <c r="B4044" s="6" t="s">
        <v>110</v>
      </c>
      <c r="C4044" s="6" t="s">
        <v>270</v>
      </c>
      <c r="D4044" s="5">
        <v>44961</v>
      </c>
    </row>
    <row r="4045" spans="2:4">
      <c r="B4045" s="6" t="s">
        <v>140</v>
      </c>
      <c r="C4045" s="6" t="s">
        <v>362</v>
      </c>
      <c r="D4045" s="5">
        <v>44961</v>
      </c>
    </row>
    <row r="4046" spans="2:4">
      <c r="B4046" s="6" t="s">
        <v>136</v>
      </c>
      <c r="C4046" s="6" t="s">
        <v>289</v>
      </c>
      <c r="D4046" s="5">
        <v>44961</v>
      </c>
    </row>
    <row r="4047" spans="2:4">
      <c r="B4047" s="6" t="s">
        <v>418</v>
      </c>
      <c r="C4047" s="6" t="s">
        <v>256</v>
      </c>
      <c r="D4047" s="5">
        <v>44961</v>
      </c>
    </row>
    <row r="4048" spans="2:4">
      <c r="B4048" s="6" t="s">
        <v>412</v>
      </c>
      <c r="C4048" s="6" t="s">
        <v>266</v>
      </c>
      <c r="D4048" s="5">
        <v>44961</v>
      </c>
    </row>
    <row r="4049" spans="2:4">
      <c r="B4049" s="6" t="s">
        <v>420</v>
      </c>
      <c r="C4049" s="6" t="s">
        <v>167</v>
      </c>
      <c r="D4049" s="5">
        <v>44961</v>
      </c>
    </row>
    <row r="4050" spans="2:4">
      <c r="B4050" s="6" t="s">
        <v>292</v>
      </c>
      <c r="C4050" s="6" t="s">
        <v>173</v>
      </c>
      <c r="D4050" s="5">
        <v>44961</v>
      </c>
    </row>
    <row r="4051" spans="2:4">
      <c r="B4051" s="6" t="s">
        <v>255</v>
      </c>
      <c r="C4051" s="6" t="s">
        <v>356</v>
      </c>
      <c r="D4051" s="5">
        <v>44961</v>
      </c>
    </row>
    <row r="4052" spans="2:4">
      <c r="B4052" s="6" t="s">
        <v>354</v>
      </c>
      <c r="C4052" s="6" t="s">
        <v>120</v>
      </c>
      <c r="D4052" s="5">
        <v>44961</v>
      </c>
    </row>
    <row r="4053" spans="2:4">
      <c r="B4053" s="6" t="s">
        <v>38</v>
      </c>
      <c r="C4053" s="6" t="s">
        <v>35</v>
      </c>
      <c r="D4053" s="5">
        <v>44961</v>
      </c>
    </row>
    <row r="4054" spans="2:4">
      <c r="B4054" s="6" t="s">
        <v>252</v>
      </c>
      <c r="C4054" s="6" t="s">
        <v>214</v>
      </c>
      <c r="D4054" s="5">
        <v>44961</v>
      </c>
    </row>
    <row r="4055" spans="2:4">
      <c r="B4055" s="6" t="s">
        <v>308</v>
      </c>
      <c r="C4055" s="6" t="s">
        <v>181</v>
      </c>
      <c r="D4055" s="5">
        <v>44961</v>
      </c>
    </row>
    <row r="4056" spans="2:4">
      <c r="B4056" s="6" t="s">
        <v>32</v>
      </c>
      <c r="C4056" s="6" t="s">
        <v>29</v>
      </c>
      <c r="D4056" s="5">
        <v>44961</v>
      </c>
    </row>
    <row r="4057" spans="2:4">
      <c r="B4057" s="6" t="s">
        <v>314</v>
      </c>
      <c r="C4057" s="6" t="s">
        <v>382</v>
      </c>
      <c r="D4057" s="5">
        <v>44961</v>
      </c>
    </row>
    <row r="4058" spans="2:4">
      <c r="B4058" s="6" t="s">
        <v>143</v>
      </c>
      <c r="C4058" s="6" t="s">
        <v>135</v>
      </c>
      <c r="D4058" s="5">
        <v>44961</v>
      </c>
    </row>
    <row r="4059" spans="2:4">
      <c r="B4059" s="6" t="s">
        <v>584</v>
      </c>
      <c r="C4059" s="6" t="s">
        <v>319</v>
      </c>
      <c r="D4059" s="5">
        <v>44961</v>
      </c>
    </row>
    <row r="4060" spans="2:4">
      <c r="B4060" s="6" t="s">
        <v>386</v>
      </c>
      <c r="C4060" s="6" t="s">
        <v>168</v>
      </c>
      <c r="D4060" s="5">
        <v>44961</v>
      </c>
    </row>
    <row r="4061" spans="2:4">
      <c r="B4061" s="6" t="s">
        <v>381</v>
      </c>
      <c r="C4061" s="6" t="s">
        <v>290</v>
      </c>
      <c r="D4061" s="5">
        <v>44961</v>
      </c>
    </row>
    <row r="4062" spans="2:4">
      <c r="B4062" s="6" t="s">
        <v>165</v>
      </c>
      <c r="C4062" s="6" t="s">
        <v>161</v>
      </c>
      <c r="D4062" s="5">
        <v>44961</v>
      </c>
    </row>
    <row r="4063" spans="2:4">
      <c r="B4063" s="6" t="s">
        <v>365</v>
      </c>
      <c r="C4063" s="6" t="s">
        <v>193</v>
      </c>
      <c r="D4063" s="5">
        <v>44961</v>
      </c>
    </row>
    <row r="4064" spans="2:4">
      <c r="B4064" s="6" t="s">
        <v>331</v>
      </c>
      <c r="C4064" s="6" t="s">
        <v>184</v>
      </c>
      <c r="D4064" s="5">
        <v>44961</v>
      </c>
    </row>
    <row r="4065" spans="2:4">
      <c r="B4065" s="6" t="s">
        <v>153</v>
      </c>
      <c r="C4065" s="6" t="s">
        <v>206</v>
      </c>
      <c r="D4065" s="5">
        <v>44961</v>
      </c>
    </row>
    <row r="4066" spans="2:4">
      <c r="B4066" s="6" t="s">
        <v>80</v>
      </c>
      <c r="C4066" s="6" t="s">
        <v>79</v>
      </c>
      <c r="D4066" s="5">
        <v>44961</v>
      </c>
    </row>
    <row r="4067" spans="2:4">
      <c r="B4067" s="6" t="s">
        <v>91</v>
      </c>
      <c r="C4067" s="6" t="s">
        <v>89</v>
      </c>
      <c r="D4067" s="5">
        <v>44961</v>
      </c>
    </row>
    <row r="4068" spans="2:4">
      <c r="B4068" s="6" t="s">
        <v>63</v>
      </c>
      <c r="C4068" s="6" t="s">
        <v>56</v>
      </c>
      <c r="D4068" s="5">
        <v>44961</v>
      </c>
    </row>
    <row r="4069" spans="2:4">
      <c r="B4069" s="6" t="s">
        <v>375</v>
      </c>
      <c r="C4069" s="6" t="s">
        <v>424</v>
      </c>
      <c r="D4069" s="5">
        <v>44961</v>
      </c>
    </row>
    <row r="4070" spans="2:4">
      <c r="B4070" s="6" t="s">
        <v>607</v>
      </c>
      <c r="C4070" s="6" t="s">
        <v>378</v>
      </c>
      <c r="D4070" s="5">
        <v>44961</v>
      </c>
    </row>
    <row r="4071" spans="2:4">
      <c r="B4071" s="6" t="s">
        <v>157</v>
      </c>
      <c r="C4071" s="6" t="s">
        <v>427</v>
      </c>
      <c r="D4071" s="5">
        <v>44961</v>
      </c>
    </row>
    <row r="4072" spans="2:4">
      <c r="B4072" s="6" t="s">
        <v>621</v>
      </c>
      <c r="C4072" s="6" t="s">
        <v>154</v>
      </c>
      <c r="D4072" s="5">
        <v>44961</v>
      </c>
    </row>
    <row r="4073" spans="2:4">
      <c r="B4073" s="6" t="s">
        <v>190</v>
      </c>
      <c r="C4073" s="6" t="s">
        <v>403</v>
      </c>
      <c r="D4073" s="5">
        <v>44961</v>
      </c>
    </row>
    <row r="4074" spans="2:4">
      <c r="B4074" s="6" t="s">
        <v>70</v>
      </c>
      <c r="C4074" s="6" t="s">
        <v>779</v>
      </c>
      <c r="D4074" s="5">
        <v>44961</v>
      </c>
    </row>
    <row r="4075" spans="2:4">
      <c r="B4075" s="6" t="s">
        <v>74</v>
      </c>
      <c r="C4075" s="6" t="s">
        <v>71</v>
      </c>
      <c r="D4075" s="5">
        <v>44961</v>
      </c>
    </row>
    <row r="4076" spans="2:4">
      <c r="B4076" s="6" t="s">
        <v>433</v>
      </c>
      <c r="C4076" s="6" t="s">
        <v>152</v>
      </c>
      <c r="D4076" s="5">
        <v>44961</v>
      </c>
    </row>
    <row r="4077" spans="2:4">
      <c r="B4077" s="6" t="s">
        <v>159</v>
      </c>
      <c r="C4077" s="6" t="s">
        <v>345</v>
      </c>
      <c r="D4077" s="5">
        <v>44961</v>
      </c>
    </row>
    <row r="4078" spans="2:4">
      <c r="B4078" s="6" t="s">
        <v>404</v>
      </c>
      <c r="C4078" s="6" t="s">
        <v>160</v>
      </c>
      <c r="D4078" s="5">
        <v>44961</v>
      </c>
    </row>
    <row r="4079" spans="2:4">
      <c r="B4079" s="6" t="s">
        <v>166</v>
      </c>
      <c r="C4079" s="6" t="s">
        <v>396</v>
      </c>
      <c r="D4079" s="5">
        <v>44961</v>
      </c>
    </row>
    <row r="4080" spans="2:4">
      <c r="B4080" s="6" t="s">
        <v>236</v>
      </c>
      <c r="C4080" s="6" t="s">
        <v>586</v>
      </c>
      <c r="D4080" s="5">
        <v>44961</v>
      </c>
    </row>
    <row r="4081" spans="2:4">
      <c r="B4081" s="6" t="s">
        <v>207</v>
      </c>
      <c r="C4081" s="6" t="s">
        <v>428</v>
      </c>
      <c r="D4081" s="5">
        <v>44961</v>
      </c>
    </row>
    <row r="4082" spans="2:4">
      <c r="B4082" s="6" t="s">
        <v>599</v>
      </c>
      <c r="C4082" s="6" t="s">
        <v>423</v>
      </c>
      <c r="D4082" s="5">
        <v>44961</v>
      </c>
    </row>
    <row r="4083" spans="2:4">
      <c r="B4083" s="6" t="s">
        <v>402</v>
      </c>
      <c r="C4083" s="6" t="s">
        <v>393</v>
      </c>
      <c r="D4083" s="5">
        <v>44961</v>
      </c>
    </row>
    <row r="4084" spans="2:4">
      <c r="B4084" s="6" t="s">
        <v>36</v>
      </c>
      <c r="C4084" s="6" t="s">
        <v>155</v>
      </c>
      <c r="D4084" s="5">
        <v>44962</v>
      </c>
    </row>
    <row r="4085" spans="2:4">
      <c r="B4085" s="6" t="s">
        <v>334</v>
      </c>
      <c r="C4085" s="6" t="s">
        <v>210</v>
      </c>
      <c r="D4085" s="5">
        <v>44962</v>
      </c>
    </row>
    <row r="4086" spans="2:4">
      <c r="B4086" s="6" t="s">
        <v>200</v>
      </c>
      <c r="C4086" s="6" t="s">
        <v>349</v>
      </c>
      <c r="D4086" s="5">
        <v>44962</v>
      </c>
    </row>
    <row r="4087" spans="2:4">
      <c r="B4087" s="6" t="s">
        <v>59</v>
      </c>
      <c r="C4087" s="6" t="s">
        <v>777</v>
      </c>
      <c r="D4087" s="5">
        <v>44962</v>
      </c>
    </row>
    <row r="4088" spans="2:4">
      <c r="B4088" s="6" t="s">
        <v>241</v>
      </c>
      <c r="C4088" s="6" t="s">
        <v>320</v>
      </c>
      <c r="D4088" s="5">
        <v>44962</v>
      </c>
    </row>
    <row r="4089" spans="2:4">
      <c r="B4089" s="6" t="s">
        <v>130</v>
      </c>
      <c r="C4089" s="6" t="s">
        <v>204</v>
      </c>
      <c r="D4089" s="5">
        <v>44962</v>
      </c>
    </row>
    <row r="4090" spans="2:4">
      <c r="B4090" s="6" t="s">
        <v>216</v>
      </c>
      <c r="C4090" s="6" t="s">
        <v>233</v>
      </c>
      <c r="D4090" s="5">
        <v>44962</v>
      </c>
    </row>
    <row r="4091" spans="2:4">
      <c r="B4091" s="6" t="s">
        <v>361</v>
      </c>
      <c r="C4091" s="6" t="s">
        <v>211</v>
      </c>
      <c r="D4091" s="5">
        <v>44962</v>
      </c>
    </row>
    <row r="4092" spans="2:4">
      <c r="B4092" s="6" t="s">
        <v>230</v>
      </c>
      <c r="C4092" s="6" t="s">
        <v>117</v>
      </c>
      <c r="D4092" s="5">
        <v>44962</v>
      </c>
    </row>
    <row r="4093" spans="2:4">
      <c r="B4093" s="6" t="s">
        <v>112</v>
      </c>
      <c r="C4093" s="6" t="s">
        <v>285</v>
      </c>
      <c r="D4093" s="5">
        <v>44962</v>
      </c>
    </row>
    <row r="4094" spans="2:4">
      <c r="B4094" s="6" t="s">
        <v>95</v>
      </c>
      <c r="C4094" s="6" t="s">
        <v>352</v>
      </c>
      <c r="D4094" s="5">
        <v>44962</v>
      </c>
    </row>
    <row r="4095" spans="2:4">
      <c r="B4095" s="6" t="s">
        <v>67</v>
      </c>
      <c r="C4095" s="6" t="s">
        <v>781</v>
      </c>
      <c r="D4095" s="5">
        <v>44962</v>
      </c>
    </row>
    <row r="4096" spans="2:4">
      <c r="B4096" s="6" t="s">
        <v>145</v>
      </c>
      <c r="C4096" s="6" t="s">
        <v>212</v>
      </c>
      <c r="D4096" s="5">
        <v>44962</v>
      </c>
    </row>
    <row r="4097" spans="2:4">
      <c r="B4097" s="6" t="s">
        <v>77</v>
      </c>
      <c r="C4097" s="6" t="s">
        <v>164</v>
      </c>
      <c r="D4097" s="5">
        <v>44962</v>
      </c>
    </row>
    <row r="4098" spans="2:4">
      <c r="B4098" s="6" t="s">
        <v>65</v>
      </c>
      <c r="C4098" s="6" t="s">
        <v>68</v>
      </c>
      <c r="D4098" s="5">
        <v>44962</v>
      </c>
    </row>
    <row r="4099" spans="2:4">
      <c r="B4099" s="6" t="s">
        <v>72</v>
      </c>
      <c r="C4099" s="6" t="s">
        <v>93</v>
      </c>
      <c r="D4099" s="5">
        <v>44962</v>
      </c>
    </row>
    <row r="4100" spans="2:4">
      <c r="B4100" s="6" t="s">
        <v>122</v>
      </c>
      <c r="C4100" s="6" t="s">
        <v>269</v>
      </c>
      <c r="D4100" s="5">
        <v>44963</v>
      </c>
    </row>
    <row r="4101" spans="2:4">
      <c r="B4101" s="6" t="s">
        <v>48</v>
      </c>
      <c r="C4101" s="6" t="s">
        <v>44</v>
      </c>
      <c r="D4101" s="5">
        <v>44963</v>
      </c>
    </row>
    <row r="4102" spans="2:4">
      <c r="B4102" s="6" t="s">
        <v>131</v>
      </c>
      <c r="C4102" s="6" t="s">
        <v>137</v>
      </c>
      <c r="D4102" s="5">
        <v>44963</v>
      </c>
    </row>
    <row r="4103" spans="2:4">
      <c r="B4103" s="6" t="s">
        <v>308</v>
      </c>
      <c r="C4103" s="6" t="s">
        <v>382</v>
      </c>
      <c r="D4103" s="5">
        <v>44963</v>
      </c>
    </row>
    <row r="4104" spans="2:4">
      <c r="B4104" s="6" t="s">
        <v>156</v>
      </c>
      <c r="C4104" s="6" t="s">
        <v>303</v>
      </c>
      <c r="D4104" s="5">
        <v>44963</v>
      </c>
    </row>
    <row r="4105" spans="2:4">
      <c r="B4105" s="6" t="s">
        <v>358</v>
      </c>
      <c r="C4105" s="6" t="s">
        <v>324</v>
      </c>
      <c r="D4105" s="5">
        <v>44963</v>
      </c>
    </row>
    <row r="4106" spans="2:4">
      <c r="B4106" s="6" t="s">
        <v>403</v>
      </c>
      <c r="C4106" s="6" t="s">
        <v>153</v>
      </c>
      <c r="D4106" s="5">
        <v>44963</v>
      </c>
    </row>
    <row r="4107" spans="2:4">
      <c r="B4107" s="6" t="s">
        <v>399</v>
      </c>
      <c r="C4107" s="6" t="s">
        <v>170</v>
      </c>
      <c r="D4107" s="5">
        <v>44963</v>
      </c>
    </row>
    <row r="4108" spans="2:4">
      <c r="B4108" s="6" t="s">
        <v>364</v>
      </c>
      <c r="C4108" s="6" t="s">
        <v>332</v>
      </c>
      <c r="D4108" s="5">
        <v>44963</v>
      </c>
    </row>
    <row r="4109" spans="2:4">
      <c r="B4109" s="6" t="s">
        <v>26</v>
      </c>
      <c r="C4109" s="6" t="s">
        <v>30</v>
      </c>
      <c r="D4109" s="5">
        <v>44963</v>
      </c>
    </row>
    <row r="4110" spans="2:4">
      <c r="B4110" s="6" t="s">
        <v>249</v>
      </c>
      <c r="C4110" s="6" t="s">
        <v>232</v>
      </c>
      <c r="D4110" s="5">
        <v>44963</v>
      </c>
    </row>
    <row r="4111" spans="2:4">
      <c r="B4111" s="6" t="s">
        <v>314</v>
      </c>
      <c r="C4111" s="6" t="s">
        <v>181</v>
      </c>
      <c r="D4111" s="5">
        <v>44963</v>
      </c>
    </row>
    <row r="4112" spans="2:4">
      <c r="B4112" s="6" t="s">
        <v>426</v>
      </c>
      <c r="C4112" s="6" t="s">
        <v>206</v>
      </c>
      <c r="D4112" s="5">
        <v>44963</v>
      </c>
    </row>
    <row r="4113" spans="2:4">
      <c r="B4113" s="6" t="s">
        <v>62</v>
      </c>
      <c r="C4113" s="6" t="s">
        <v>64</v>
      </c>
      <c r="D4113" s="5">
        <v>44964</v>
      </c>
    </row>
    <row r="4114" spans="2:4">
      <c r="B4114" s="6" t="s">
        <v>732</v>
      </c>
      <c r="C4114" s="6" t="s">
        <v>37</v>
      </c>
      <c r="D4114" s="5">
        <v>44964</v>
      </c>
    </row>
    <row r="4115" spans="2:4">
      <c r="B4115" s="6" t="s">
        <v>53</v>
      </c>
      <c r="C4115" s="6" t="s">
        <v>251</v>
      </c>
      <c r="D4115" s="5">
        <v>44964</v>
      </c>
    </row>
    <row r="4116" spans="2:4">
      <c r="B4116" s="6" t="s">
        <v>91</v>
      </c>
      <c r="C4116" s="6" t="s">
        <v>83</v>
      </c>
      <c r="D4116" s="5">
        <v>44964</v>
      </c>
    </row>
    <row r="4117" spans="2:4">
      <c r="B4117" s="6" t="s">
        <v>121</v>
      </c>
      <c r="C4117" s="6" t="s">
        <v>214</v>
      </c>
      <c r="D4117" s="5">
        <v>44964</v>
      </c>
    </row>
    <row r="4118" spans="2:4">
      <c r="B4118" s="6" t="s">
        <v>221</v>
      </c>
      <c r="C4118" s="6" t="s">
        <v>187</v>
      </c>
      <c r="D4118" s="5">
        <v>44964</v>
      </c>
    </row>
    <row r="4119" spans="2:4">
      <c r="B4119" s="6" t="s">
        <v>264</v>
      </c>
      <c r="C4119" s="6" t="s">
        <v>347</v>
      </c>
      <c r="D4119" s="5">
        <v>44964</v>
      </c>
    </row>
    <row r="4120" spans="2:4">
      <c r="B4120" s="6" t="s">
        <v>49</v>
      </c>
      <c r="C4120" s="6" t="s">
        <v>43</v>
      </c>
      <c r="D4120" s="5">
        <v>44964</v>
      </c>
    </row>
    <row r="4121" spans="2:4">
      <c r="B4121" s="6" t="s">
        <v>89</v>
      </c>
      <c r="C4121" s="6" t="s">
        <v>762</v>
      </c>
      <c r="D4121" s="5">
        <v>44964</v>
      </c>
    </row>
    <row r="4122" spans="2:4">
      <c r="B4122" s="6" t="s">
        <v>267</v>
      </c>
      <c r="C4122" s="6" t="s">
        <v>436</v>
      </c>
      <c r="D4122" s="5">
        <v>44964</v>
      </c>
    </row>
    <row r="4123" spans="2:4">
      <c r="B4123" s="6" t="s">
        <v>362</v>
      </c>
      <c r="C4123" s="6" t="s">
        <v>109</v>
      </c>
      <c r="D4123" s="5">
        <v>44964</v>
      </c>
    </row>
    <row r="4124" spans="2:4">
      <c r="B4124" s="6" t="s">
        <v>203</v>
      </c>
      <c r="C4124" s="6" t="s">
        <v>247</v>
      </c>
      <c r="D4124" s="5">
        <v>44964</v>
      </c>
    </row>
    <row r="4125" spans="2:4">
      <c r="B4125" s="6" t="s">
        <v>209</v>
      </c>
      <c r="C4125" s="6" t="s">
        <v>414</v>
      </c>
      <c r="D4125" s="5">
        <v>44964</v>
      </c>
    </row>
    <row r="4126" spans="2:4">
      <c r="B4126" s="6" t="s">
        <v>105</v>
      </c>
      <c r="C4126" s="6" t="s">
        <v>140</v>
      </c>
      <c r="D4126" s="5">
        <v>44964</v>
      </c>
    </row>
    <row r="4127" spans="2:4">
      <c r="B4127" s="6" t="s">
        <v>180</v>
      </c>
      <c r="C4127" s="6" t="s">
        <v>288</v>
      </c>
      <c r="D4127" s="5">
        <v>44964</v>
      </c>
    </row>
    <row r="4128" spans="2:4">
      <c r="B4128" s="6" t="s">
        <v>312</v>
      </c>
      <c r="C4128" s="6" t="s">
        <v>363</v>
      </c>
      <c r="D4128" s="5">
        <v>44964</v>
      </c>
    </row>
    <row r="4129" spans="2:4">
      <c r="B4129" s="6" t="s">
        <v>400</v>
      </c>
      <c r="C4129" s="6" t="s">
        <v>127</v>
      </c>
      <c r="D4129" s="5">
        <v>44964</v>
      </c>
    </row>
    <row r="4130" spans="2:4">
      <c r="B4130" s="6" t="s">
        <v>60</v>
      </c>
      <c r="C4130" s="6" t="s">
        <v>63</v>
      </c>
      <c r="D4130" s="5">
        <v>44964</v>
      </c>
    </row>
    <row r="4131" spans="2:4">
      <c r="B4131" s="6" t="s">
        <v>42</v>
      </c>
      <c r="C4131" s="6" t="s">
        <v>302</v>
      </c>
      <c r="D4131" s="5">
        <v>44964</v>
      </c>
    </row>
    <row r="4132" spans="2:4">
      <c r="B4132" s="6" t="s">
        <v>80</v>
      </c>
      <c r="C4132" s="6" t="s">
        <v>84</v>
      </c>
      <c r="D4132" s="5">
        <v>44964</v>
      </c>
    </row>
    <row r="4133" spans="2:4">
      <c r="B4133" s="6" t="s">
        <v>750</v>
      </c>
      <c r="C4133" s="6" t="s">
        <v>34</v>
      </c>
      <c r="D4133" s="5">
        <v>44964</v>
      </c>
    </row>
    <row r="4134" spans="2:4">
      <c r="B4134" s="6" t="s">
        <v>188</v>
      </c>
      <c r="C4134" s="6" t="s">
        <v>770</v>
      </c>
      <c r="D4134" s="5">
        <v>44964</v>
      </c>
    </row>
    <row r="4135" spans="2:4">
      <c r="B4135" s="6" t="s">
        <v>761</v>
      </c>
      <c r="C4135" s="6" t="s">
        <v>56</v>
      </c>
      <c r="D4135" s="5">
        <v>44964</v>
      </c>
    </row>
    <row r="4136" spans="2:4">
      <c r="B4136" s="6" t="s">
        <v>87</v>
      </c>
      <c r="C4136" s="6" t="s">
        <v>90</v>
      </c>
      <c r="D4136" s="5">
        <v>44964</v>
      </c>
    </row>
    <row r="4137" spans="2:4">
      <c r="B4137" s="6" t="s">
        <v>133</v>
      </c>
      <c r="C4137" s="6" t="s">
        <v>124</v>
      </c>
      <c r="D4137" s="5">
        <v>44964</v>
      </c>
    </row>
    <row r="4138" spans="2:4">
      <c r="B4138" s="6" t="s">
        <v>198</v>
      </c>
      <c r="C4138" s="6" t="s">
        <v>386</v>
      </c>
      <c r="D4138" s="5">
        <v>44964</v>
      </c>
    </row>
    <row r="4139" spans="2:4">
      <c r="B4139" s="6" t="s">
        <v>189</v>
      </c>
      <c r="C4139" s="6" t="s">
        <v>169</v>
      </c>
      <c r="D4139" s="5">
        <v>44964</v>
      </c>
    </row>
    <row r="4140" spans="2:4">
      <c r="B4140" s="6" t="s">
        <v>394</v>
      </c>
      <c r="C4140" s="6" t="s">
        <v>433</v>
      </c>
      <c r="D4140" s="5">
        <v>44964</v>
      </c>
    </row>
    <row r="4141" spans="2:4">
      <c r="B4141" s="6" t="s">
        <v>148</v>
      </c>
      <c r="C4141" s="6" t="s">
        <v>580</v>
      </c>
      <c r="D4141" s="5">
        <v>44965</v>
      </c>
    </row>
    <row r="4142" spans="2:4">
      <c r="B4142" s="6" t="s">
        <v>272</v>
      </c>
      <c r="C4142" s="6" t="s">
        <v>178</v>
      </c>
      <c r="D4142" s="5">
        <v>44965</v>
      </c>
    </row>
    <row r="4143" spans="2:4">
      <c r="B4143" s="6" t="s">
        <v>36</v>
      </c>
      <c r="C4143" s="6" t="s">
        <v>38</v>
      </c>
      <c r="D4143" s="5">
        <v>44965</v>
      </c>
    </row>
    <row r="4144" spans="2:4">
      <c r="B4144" s="6" t="s">
        <v>59</v>
      </c>
      <c r="C4144" s="6" t="s">
        <v>67</v>
      </c>
      <c r="D4144" s="5">
        <v>44965</v>
      </c>
    </row>
    <row r="4145" spans="2:4">
      <c r="B4145" s="6" t="s">
        <v>297</v>
      </c>
      <c r="C4145" s="6" t="s">
        <v>191</v>
      </c>
      <c r="D4145" s="5">
        <v>44965</v>
      </c>
    </row>
    <row r="4146" spans="2:4">
      <c r="B4146" s="6" t="s">
        <v>99</v>
      </c>
      <c r="C4146" s="6" t="s">
        <v>115</v>
      </c>
      <c r="D4146" s="5">
        <v>44965</v>
      </c>
    </row>
    <row r="4147" spans="2:4">
      <c r="B4147" s="6" t="s">
        <v>185</v>
      </c>
      <c r="C4147" s="6" t="s">
        <v>86</v>
      </c>
      <c r="D4147" s="5">
        <v>44965</v>
      </c>
    </row>
    <row r="4148" spans="2:4">
      <c r="B4148" s="6" t="s">
        <v>122</v>
      </c>
      <c r="C4148" s="6" t="s">
        <v>246</v>
      </c>
      <c r="D4148" s="5">
        <v>44965</v>
      </c>
    </row>
    <row r="4149" spans="2:4">
      <c r="B4149" s="6" t="s">
        <v>32</v>
      </c>
      <c r="C4149" s="6" t="s">
        <v>747</v>
      </c>
      <c r="D4149" s="5">
        <v>44965</v>
      </c>
    </row>
    <row r="4150" spans="2:4">
      <c r="B4150" s="6" t="s">
        <v>231</v>
      </c>
      <c r="C4150" s="6" t="s">
        <v>144</v>
      </c>
      <c r="D4150" s="5">
        <v>44965</v>
      </c>
    </row>
    <row r="4151" spans="2:4">
      <c r="B4151" s="6" t="s">
        <v>176</v>
      </c>
      <c r="C4151" s="6" t="s">
        <v>114</v>
      </c>
      <c r="D4151" s="5">
        <v>44965</v>
      </c>
    </row>
    <row r="4152" spans="2:4">
      <c r="B4152" s="6" t="s">
        <v>278</v>
      </c>
      <c r="C4152" s="6" t="s">
        <v>360</v>
      </c>
      <c r="D4152" s="5">
        <v>44965</v>
      </c>
    </row>
    <row r="4153" spans="2:4">
      <c r="B4153" s="6" t="s">
        <v>320</v>
      </c>
      <c r="C4153" s="6" t="s">
        <v>186</v>
      </c>
      <c r="D4153" s="5">
        <v>44965</v>
      </c>
    </row>
    <row r="4154" spans="2:4">
      <c r="B4154" s="6" t="s">
        <v>325</v>
      </c>
      <c r="C4154" s="6" t="s">
        <v>139</v>
      </c>
      <c r="D4154" s="5">
        <v>44965</v>
      </c>
    </row>
    <row r="4155" spans="2:4">
      <c r="B4155" s="6" t="s">
        <v>737</v>
      </c>
      <c r="C4155" s="6" t="s">
        <v>47</v>
      </c>
      <c r="D4155" s="5">
        <v>44965</v>
      </c>
    </row>
    <row r="4156" spans="2:4">
      <c r="B4156" s="6" t="s">
        <v>50</v>
      </c>
      <c r="C4156" s="6" t="s">
        <v>46</v>
      </c>
      <c r="D4156" s="5">
        <v>44965</v>
      </c>
    </row>
    <row r="4157" spans="2:4">
      <c r="B4157" s="6" t="s">
        <v>52</v>
      </c>
      <c r="C4157" s="6" t="s">
        <v>54</v>
      </c>
      <c r="D4157" s="5">
        <v>44965</v>
      </c>
    </row>
    <row r="4158" spans="2:4">
      <c r="B4158" s="6" t="s">
        <v>174</v>
      </c>
      <c r="C4158" s="6" t="s">
        <v>205</v>
      </c>
      <c r="D4158" s="5">
        <v>44965</v>
      </c>
    </row>
    <row r="4159" spans="2:4">
      <c r="B4159" s="6" t="s">
        <v>301</v>
      </c>
      <c r="C4159" s="6" t="s">
        <v>177</v>
      </c>
      <c r="D4159" s="5">
        <v>44965</v>
      </c>
    </row>
    <row r="4160" spans="2:4">
      <c r="B4160" s="6" t="s">
        <v>215</v>
      </c>
      <c r="C4160" s="6" t="s">
        <v>106</v>
      </c>
      <c r="D4160" s="5">
        <v>44965</v>
      </c>
    </row>
    <row r="4161" spans="2:4">
      <c r="B4161" s="6" t="s">
        <v>253</v>
      </c>
      <c r="C4161" s="6" t="s">
        <v>126</v>
      </c>
      <c r="D4161" s="5">
        <v>44965</v>
      </c>
    </row>
    <row r="4162" spans="2:4">
      <c r="B4162" s="6" t="s">
        <v>220</v>
      </c>
      <c r="C4162" s="6" t="s">
        <v>113</v>
      </c>
      <c r="D4162" s="5">
        <v>44965</v>
      </c>
    </row>
    <row r="4163" spans="2:4">
      <c r="B4163" s="6" t="s">
        <v>40</v>
      </c>
      <c r="C4163" s="6" t="s">
        <v>41</v>
      </c>
      <c r="D4163" s="5">
        <v>44965</v>
      </c>
    </row>
    <row r="4164" spans="2:4">
      <c r="B4164" s="6" t="s">
        <v>337</v>
      </c>
      <c r="C4164" s="6" t="s">
        <v>200</v>
      </c>
      <c r="D4164" s="5">
        <v>44965</v>
      </c>
    </row>
    <row r="4165" spans="2:4">
      <c r="B4165" s="6" t="s">
        <v>349</v>
      </c>
      <c r="C4165" s="6" t="s">
        <v>300</v>
      </c>
      <c r="D4165" s="5">
        <v>44965</v>
      </c>
    </row>
    <row r="4166" spans="2:4">
      <c r="B4166" s="6" t="s">
        <v>252</v>
      </c>
      <c r="C4166" s="6" t="s">
        <v>210</v>
      </c>
      <c r="D4166" s="5">
        <v>44965</v>
      </c>
    </row>
    <row r="4167" spans="2:4">
      <c r="B4167" s="6" t="s">
        <v>284</v>
      </c>
      <c r="C4167" s="6" t="s">
        <v>281</v>
      </c>
      <c r="D4167" s="5">
        <v>44965</v>
      </c>
    </row>
    <row r="4168" spans="2:4">
      <c r="B4168" s="6" t="s">
        <v>395</v>
      </c>
      <c r="C4168" s="6" t="s">
        <v>192</v>
      </c>
      <c r="D4168" s="5">
        <v>44965</v>
      </c>
    </row>
    <row r="4169" spans="2:4">
      <c r="B4169" s="6" t="s">
        <v>202</v>
      </c>
      <c r="C4169" s="6" t="s">
        <v>425</v>
      </c>
      <c r="D4169" s="5">
        <v>44965</v>
      </c>
    </row>
    <row r="4170" spans="2:4">
      <c r="B4170" s="6" t="s">
        <v>273</v>
      </c>
      <c r="C4170" s="6" t="s">
        <v>270</v>
      </c>
      <c r="D4170" s="5">
        <v>44965</v>
      </c>
    </row>
    <row r="4171" spans="2:4">
      <c r="B4171" s="6" t="s">
        <v>298</v>
      </c>
      <c r="C4171" s="6" t="s">
        <v>110</v>
      </c>
      <c r="D4171" s="5">
        <v>44965</v>
      </c>
    </row>
    <row r="4172" spans="2:4">
      <c r="B4172" s="6" t="s">
        <v>103</v>
      </c>
      <c r="C4172" s="6" t="s">
        <v>287</v>
      </c>
      <c r="D4172" s="5">
        <v>44965</v>
      </c>
    </row>
    <row r="4173" spans="2:4">
      <c r="B4173" s="6" t="s">
        <v>171</v>
      </c>
      <c r="C4173" s="6" t="s">
        <v>102</v>
      </c>
      <c r="D4173" s="5">
        <v>44965</v>
      </c>
    </row>
    <row r="4174" spans="2:4">
      <c r="B4174" s="6" t="s">
        <v>261</v>
      </c>
      <c r="C4174" s="6" t="s">
        <v>111</v>
      </c>
      <c r="D4174" s="5">
        <v>44965</v>
      </c>
    </row>
    <row r="4175" spans="2:4">
      <c r="B4175" s="6" t="s">
        <v>104</v>
      </c>
      <c r="C4175" s="6" t="s">
        <v>282</v>
      </c>
      <c r="D4175" s="5">
        <v>44965</v>
      </c>
    </row>
    <row r="4176" spans="2:4">
      <c r="B4176" s="6" t="s">
        <v>266</v>
      </c>
      <c r="C4176" s="6" t="s">
        <v>172</v>
      </c>
      <c r="D4176" s="5">
        <v>44965</v>
      </c>
    </row>
    <row r="4177" spans="2:4">
      <c r="B4177" s="6" t="s">
        <v>432</v>
      </c>
      <c r="C4177" s="6" t="s">
        <v>327</v>
      </c>
      <c r="D4177" s="5">
        <v>44965</v>
      </c>
    </row>
    <row r="4178" spans="2:4">
      <c r="B4178" s="6" t="s">
        <v>268</v>
      </c>
      <c r="C4178" s="6" t="s">
        <v>129</v>
      </c>
      <c r="D4178" s="5">
        <v>44965</v>
      </c>
    </row>
    <row r="4179" spans="2:4">
      <c r="B4179" s="6" t="s">
        <v>123</v>
      </c>
      <c r="C4179" s="6" t="s">
        <v>179</v>
      </c>
      <c r="D4179" s="5">
        <v>44965</v>
      </c>
    </row>
    <row r="4180" spans="2:4">
      <c r="B4180" s="6" t="s">
        <v>118</v>
      </c>
      <c r="C4180" s="6" t="s">
        <v>146</v>
      </c>
      <c r="D4180" s="5">
        <v>44965</v>
      </c>
    </row>
    <row r="4181" spans="2:4">
      <c r="B4181" s="6" t="s">
        <v>212</v>
      </c>
      <c r="C4181" s="6" t="s">
        <v>95</v>
      </c>
      <c r="D4181" s="5">
        <v>44965</v>
      </c>
    </row>
    <row r="4182" spans="2:4">
      <c r="B4182" s="6" t="s">
        <v>778</v>
      </c>
      <c r="C4182" s="6" t="s">
        <v>27</v>
      </c>
      <c r="D4182" s="5">
        <v>44965</v>
      </c>
    </row>
    <row r="4183" spans="2:4">
      <c r="B4183" s="6" t="s">
        <v>352</v>
      </c>
      <c r="C4183" s="6" t="s">
        <v>411</v>
      </c>
      <c r="D4183" s="5">
        <v>44965</v>
      </c>
    </row>
    <row r="4184" spans="2:4">
      <c r="B4184" s="6" t="s">
        <v>341</v>
      </c>
      <c r="C4184" s="6" t="s">
        <v>145</v>
      </c>
      <c r="D4184" s="5">
        <v>44965</v>
      </c>
    </row>
    <row r="4185" spans="2:4">
      <c r="B4185" s="6" t="s">
        <v>241</v>
      </c>
      <c r="C4185" s="6" t="s">
        <v>280</v>
      </c>
      <c r="D4185" s="5">
        <v>44965</v>
      </c>
    </row>
    <row r="4186" spans="2:4">
      <c r="B4186" s="6" t="s">
        <v>213</v>
      </c>
      <c r="C4186" s="6" t="s">
        <v>318</v>
      </c>
      <c r="D4186" s="5">
        <v>44965</v>
      </c>
    </row>
    <row r="4187" spans="2:4">
      <c r="B4187" s="6" t="s">
        <v>326</v>
      </c>
      <c r="C4187" s="6" t="s">
        <v>119</v>
      </c>
      <c r="D4187" s="5">
        <v>44965</v>
      </c>
    </row>
    <row r="4188" spans="2:4">
      <c r="B4188" s="6" t="s">
        <v>383</v>
      </c>
      <c r="C4188" s="6" t="s">
        <v>159</v>
      </c>
      <c r="D4188" s="5">
        <v>44965</v>
      </c>
    </row>
    <row r="4189" spans="2:4">
      <c r="B4189" s="6" t="s">
        <v>35</v>
      </c>
      <c r="C4189" s="6" t="s">
        <v>155</v>
      </c>
      <c r="D4189" s="5">
        <v>44965</v>
      </c>
    </row>
    <row r="4190" spans="2:4">
      <c r="B4190" s="6" t="s">
        <v>781</v>
      </c>
      <c r="C4190" s="6" t="s">
        <v>65</v>
      </c>
      <c r="D4190" s="5">
        <v>44965</v>
      </c>
    </row>
    <row r="4191" spans="2:4">
      <c r="B4191" s="6" t="s">
        <v>28</v>
      </c>
      <c r="C4191" s="6" t="s">
        <v>29</v>
      </c>
      <c r="D4191" s="5">
        <v>44965</v>
      </c>
    </row>
    <row r="4192" spans="2:4">
      <c r="B4192" s="6" t="s">
        <v>82</v>
      </c>
      <c r="C4192" s="6" t="s">
        <v>79</v>
      </c>
      <c r="D4192" s="5">
        <v>44965</v>
      </c>
    </row>
    <row r="4193" spans="2:4">
      <c r="B4193" s="6" t="s">
        <v>763</v>
      </c>
      <c r="C4193" s="6" t="s">
        <v>81</v>
      </c>
      <c r="D4193" s="5">
        <v>44965</v>
      </c>
    </row>
    <row r="4194" spans="2:4">
      <c r="B4194" s="6" t="s">
        <v>350</v>
      </c>
      <c r="C4194" s="6" t="s">
        <v>334</v>
      </c>
      <c r="D4194" s="5">
        <v>44965</v>
      </c>
    </row>
    <row r="4195" spans="2:4">
      <c r="B4195" s="6" t="s">
        <v>168</v>
      </c>
      <c r="C4195" s="6" t="s">
        <v>392</v>
      </c>
      <c r="D4195" s="5">
        <v>44965</v>
      </c>
    </row>
    <row r="4196" spans="2:4">
      <c r="B4196" s="6" t="s">
        <v>424</v>
      </c>
      <c r="C4196" s="6" t="s">
        <v>607</v>
      </c>
      <c r="D4196" s="5">
        <v>44965</v>
      </c>
    </row>
    <row r="4197" spans="2:4">
      <c r="B4197" s="6" t="s">
        <v>152</v>
      </c>
      <c r="C4197" s="6" t="s">
        <v>163</v>
      </c>
      <c r="D4197" s="5">
        <v>44965</v>
      </c>
    </row>
    <row r="4198" spans="2:4">
      <c r="B4198" s="6" t="s">
        <v>587</v>
      </c>
      <c r="C4198" s="6" t="s">
        <v>98</v>
      </c>
      <c r="D4198" s="5">
        <v>44966</v>
      </c>
    </row>
    <row r="4199" spans="2:4">
      <c r="B4199" s="6" t="s">
        <v>274</v>
      </c>
      <c r="C4199" s="6" t="s">
        <v>373</v>
      </c>
      <c r="D4199" s="5">
        <v>44966</v>
      </c>
    </row>
    <row r="4200" spans="2:4">
      <c r="B4200" s="6" t="s">
        <v>421</v>
      </c>
      <c r="C4200" s="6" t="s">
        <v>143</v>
      </c>
      <c r="D4200" s="5">
        <v>44966</v>
      </c>
    </row>
    <row r="4201" spans="2:4">
      <c r="B4201" s="6" t="s">
        <v>58</v>
      </c>
      <c r="C4201" s="6" t="s">
        <v>61</v>
      </c>
      <c r="D4201" s="5">
        <v>44966</v>
      </c>
    </row>
    <row r="4202" spans="2:4">
      <c r="B4202" s="6" t="s">
        <v>338</v>
      </c>
      <c r="C4202" s="6" t="s">
        <v>336</v>
      </c>
      <c r="D4202" s="5">
        <v>44966</v>
      </c>
    </row>
    <row r="4203" spans="2:4">
      <c r="B4203" s="6" t="s">
        <v>175</v>
      </c>
      <c r="C4203" s="6" t="s">
        <v>590</v>
      </c>
      <c r="D4203" s="5">
        <v>44966</v>
      </c>
    </row>
    <row r="4204" spans="2:4">
      <c r="B4204" s="6" t="s">
        <v>405</v>
      </c>
      <c r="C4204" s="6" t="s">
        <v>410</v>
      </c>
      <c r="D4204" s="5">
        <v>44966</v>
      </c>
    </row>
    <row r="4205" spans="2:4">
      <c r="B4205" s="6" t="s">
        <v>289</v>
      </c>
      <c r="C4205" s="6" t="s">
        <v>409</v>
      </c>
      <c r="D4205" s="5">
        <v>44966</v>
      </c>
    </row>
    <row r="4206" spans="2:4">
      <c r="B4206" s="6" t="s">
        <v>259</v>
      </c>
      <c r="C4206" s="6" t="s">
        <v>136</v>
      </c>
      <c r="D4206" s="5">
        <v>44966</v>
      </c>
    </row>
    <row r="4207" spans="2:4">
      <c r="B4207" s="6" t="s">
        <v>294</v>
      </c>
      <c r="C4207" s="6" t="s">
        <v>193</v>
      </c>
      <c r="D4207" s="5">
        <v>44966</v>
      </c>
    </row>
    <row r="4208" spans="2:4">
      <c r="B4208" s="6" t="s">
        <v>330</v>
      </c>
      <c r="C4208" s="6" t="s">
        <v>331</v>
      </c>
      <c r="D4208" s="5">
        <v>44966</v>
      </c>
    </row>
    <row r="4209" spans="2:4">
      <c r="B4209" s="6" t="s">
        <v>201</v>
      </c>
      <c r="C4209" s="6" t="s">
        <v>248</v>
      </c>
      <c r="D4209" s="5">
        <v>44966</v>
      </c>
    </row>
    <row r="4210" spans="2:4">
      <c r="B4210" s="6" t="s">
        <v>120</v>
      </c>
      <c r="C4210" s="6" t="s">
        <v>142</v>
      </c>
      <c r="D4210" s="5">
        <v>44966</v>
      </c>
    </row>
    <row r="4211" spans="2:4">
      <c r="B4211" s="6" t="s">
        <v>610</v>
      </c>
      <c r="C4211" s="6" t="s">
        <v>255</v>
      </c>
      <c r="D4211" s="5">
        <v>44966</v>
      </c>
    </row>
    <row r="4212" spans="2:4">
      <c r="B4212" s="6" t="s">
        <v>354</v>
      </c>
      <c r="C4212" s="6" t="s">
        <v>292</v>
      </c>
      <c r="D4212" s="5">
        <v>44966</v>
      </c>
    </row>
    <row r="4213" spans="2:4">
      <c r="B4213" s="6" t="s">
        <v>344</v>
      </c>
      <c r="C4213" s="6" t="s">
        <v>323</v>
      </c>
      <c r="D4213" s="5">
        <v>44966</v>
      </c>
    </row>
    <row r="4214" spans="2:4">
      <c r="B4214" s="6" t="s">
        <v>333</v>
      </c>
      <c r="C4214" s="6" t="s">
        <v>286</v>
      </c>
      <c r="D4214" s="5">
        <v>44966</v>
      </c>
    </row>
    <row r="4215" spans="2:4">
      <c r="B4215" s="6" t="s">
        <v>240</v>
      </c>
      <c r="C4215" s="6" t="s">
        <v>305</v>
      </c>
      <c r="D4215" s="5">
        <v>44966</v>
      </c>
    </row>
    <row r="4216" spans="2:4">
      <c r="B4216" s="6" t="s">
        <v>353</v>
      </c>
      <c r="C4216" s="6" t="s">
        <v>356</v>
      </c>
      <c r="D4216" s="5">
        <v>44966</v>
      </c>
    </row>
    <row r="4217" spans="2:4">
      <c r="B4217" s="6" t="s">
        <v>313</v>
      </c>
      <c r="C4217" s="6" t="s">
        <v>242</v>
      </c>
      <c r="D4217" s="5">
        <v>44966</v>
      </c>
    </row>
    <row r="4218" spans="2:4">
      <c r="B4218" s="6" t="s">
        <v>135</v>
      </c>
      <c r="C4218" s="6" t="s">
        <v>195</v>
      </c>
      <c r="D4218" s="5">
        <v>44966</v>
      </c>
    </row>
    <row r="4219" spans="2:4">
      <c r="B4219" s="6" t="s">
        <v>319</v>
      </c>
      <c r="C4219" s="6" t="s">
        <v>134</v>
      </c>
      <c r="D4219" s="5">
        <v>44966</v>
      </c>
    </row>
    <row r="4220" spans="2:4">
      <c r="B4220" s="6" t="s">
        <v>777</v>
      </c>
      <c r="C4220" s="6" t="s">
        <v>68</v>
      </c>
      <c r="D4220" s="5">
        <v>44966</v>
      </c>
    </row>
    <row r="4221" spans="2:4">
      <c r="B4221" s="6" t="s">
        <v>150</v>
      </c>
      <c r="C4221" s="6" t="s">
        <v>367</v>
      </c>
      <c r="D4221" s="5">
        <v>44966</v>
      </c>
    </row>
    <row r="4222" spans="2:4">
      <c r="B4222" s="6" t="s">
        <v>348</v>
      </c>
      <c r="C4222" s="6" t="s">
        <v>184</v>
      </c>
      <c r="D4222" s="5">
        <v>44966</v>
      </c>
    </row>
    <row r="4223" spans="2:4">
      <c r="B4223" s="6" t="s">
        <v>359</v>
      </c>
      <c r="C4223" s="6" t="s">
        <v>357</v>
      </c>
      <c r="D4223" s="5">
        <v>44966</v>
      </c>
    </row>
    <row r="4224" spans="2:4">
      <c r="B4224" s="6" t="s">
        <v>196</v>
      </c>
      <c r="C4224" s="6" t="s">
        <v>151</v>
      </c>
      <c r="D4224" s="5">
        <v>44966</v>
      </c>
    </row>
    <row r="4225" spans="2:4">
      <c r="B4225" s="6" t="s">
        <v>324</v>
      </c>
      <c r="C4225" s="6" t="s">
        <v>101</v>
      </c>
      <c r="D4225" s="5">
        <v>44966</v>
      </c>
    </row>
    <row r="4226" spans="2:4">
      <c r="B4226" s="6" t="s">
        <v>358</v>
      </c>
      <c r="C4226" s="6" t="s">
        <v>422</v>
      </c>
      <c r="D4226" s="5">
        <v>44966</v>
      </c>
    </row>
    <row r="4227" spans="2:4">
      <c r="B4227" s="6" t="s">
        <v>426</v>
      </c>
      <c r="C4227" s="6" t="s">
        <v>402</v>
      </c>
      <c r="D4227" s="5">
        <v>44966</v>
      </c>
    </row>
    <row r="4228" spans="2:4">
      <c r="B4228" s="6" t="s">
        <v>403</v>
      </c>
      <c r="C4228" s="6" t="s">
        <v>389</v>
      </c>
      <c r="D4228" s="5">
        <v>44966</v>
      </c>
    </row>
    <row r="4229" spans="2:4">
      <c r="B4229" s="6" t="s">
        <v>194</v>
      </c>
      <c r="C4229" s="6" t="s">
        <v>306</v>
      </c>
      <c r="D4229" s="5">
        <v>44966</v>
      </c>
    </row>
    <row r="4230" spans="2:4">
      <c r="B4230" s="6" t="s">
        <v>640</v>
      </c>
      <c r="C4230" s="6" t="s">
        <v>584</v>
      </c>
      <c r="D4230" s="5">
        <v>44966</v>
      </c>
    </row>
    <row r="4231" spans="2:4">
      <c r="B4231" s="6" t="s">
        <v>342</v>
      </c>
      <c r="C4231" s="6" t="s">
        <v>183</v>
      </c>
      <c r="D4231" s="5">
        <v>44966</v>
      </c>
    </row>
    <row r="4232" spans="2:4">
      <c r="B4232" s="6" t="s">
        <v>295</v>
      </c>
      <c r="C4232" s="6" t="s">
        <v>94</v>
      </c>
      <c r="D4232" s="5">
        <v>44966</v>
      </c>
    </row>
    <row r="4233" spans="2:4">
      <c r="B4233" s="6" t="s">
        <v>316</v>
      </c>
      <c r="C4233" s="6" t="s">
        <v>365</v>
      </c>
      <c r="D4233" s="5">
        <v>44966</v>
      </c>
    </row>
    <row r="4234" spans="2:4">
      <c r="B4234" s="6" t="s">
        <v>304</v>
      </c>
      <c r="C4234" s="6" t="s">
        <v>615</v>
      </c>
      <c r="D4234" s="5">
        <v>44966</v>
      </c>
    </row>
    <row r="4235" spans="2:4">
      <c r="B4235" s="6" t="s">
        <v>329</v>
      </c>
      <c r="C4235" s="6" t="s">
        <v>250</v>
      </c>
      <c r="D4235" s="5">
        <v>44966</v>
      </c>
    </row>
    <row r="4236" spans="2:4">
      <c r="B4236" s="6" t="s">
        <v>355</v>
      </c>
      <c r="C4236" s="6" t="s">
        <v>128</v>
      </c>
      <c r="D4236" s="5">
        <v>44966</v>
      </c>
    </row>
    <row r="4237" spans="2:4">
      <c r="B4237" s="6" t="s">
        <v>173</v>
      </c>
      <c r="C4237" s="6" t="s">
        <v>147</v>
      </c>
      <c r="D4237" s="5">
        <v>44966</v>
      </c>
    </row>
    <row r="4238" spans="2:4">
      <c r="B4238" s="6" t="s">
        <v>132</v>
      </c>
      <c r="C4238" s="6" t="s">
        <v>404</v>
      </c>
      <c r="D4238" s="5">
        <v>44966</v>
      </c>
    </row>
    <row r="4239" spans="2:4">
      <c r="B4239" s="6" t="s">
        <v>779</v>
      </c>
      <c r="C4239" s="6" t="s">
        <v>75</v>
      </c>
      <c r="D4239" s="5">
        <v>44966</v>
      </c>
    </row>
    <row r="4240" spans="2:4">
      <c r="B4240" s="6" t="s">
        <v>376</v>
      </c>
      <c r="C4240" s="6" t="s">
        <v>182</v>
      </c>
      <c r="D4240" s="5">
        <v>44966</v>
      </c>
    </row>
    <row r="4241" spans="2:4">
      <c r="B4241" s="6" t="s">
        <v>588</v>
      </c>
      <c r="C4241" s="6" t="s">
        <v>343</v>
      </c>
      <c r="D4241" s="5">
        <v>44966</v>
      </c>
    </row>
    <row r="4242" spans="2:4">
      <c r="B4242" s="6" t="s">
        <v>381</v>
      </c>
      <c r="C4242" s="6" t="s">
        <v>375</v>
      </c>
      <c r="D4242" s="5">
        <v>44966</v>
      </c>
    </row>
    <row r="4243" spans="2:4">
      <c r="B4243" s="6" t="s">
        <v>378</v>
      </c>
      <c r="C4243" s="6" t="s">
        <v>388</v>
      </c>
      <c r="D4243" s="5">
        <v>44966</v>
      </c>
    </row>
    <row r="4244" spans="2:4">
      <c r="B4244" s="6" t="s">
        <v>161</v>
      </c>
      <c r="C4244" s="6" t="s">
        <v>427</v>
      </c>
      <c r="D4244" s="5">
        <v>44966</v>
      </c>
    </row>
    <row r="4245" spans="2:4">
      <c r="B4245" s="6" t="s">
        <v>309</v>
      </c>
      <c r="C4245" s="6" t="s">
        <v>321</v>
      </c>
      <c r="D4245" s="5">
        <v>44966</v>
      </c>
    </row>
    <row r="4246" spans="2:4">
      <c r="B4246" s="6" t="s">
        <v>603</v>
      </c>
      <c r="C4246" s="6" t="s">
        <v>370</v>
      </c>
      <c r="D4246" s="5">
        <v>44966</v>
      </c>
    </row>
    <row r="4247" spans="2:4">
      <c r="B4247" s="6" t="s">
        <v>206</v>
      </c>
      <c r="C4247" s="6" t="s">
        <v>391</v>
      </c>
      <c r="D4247" s="5">
        <v>44966</v>
      </c>
    </row>
    <row r="4248" spans="2:4">
      <c r="B4248" s="6" t="s">
        <v>153</v>
      </c>
      <c r="C4248" s="6" t="s">
        <v>190</v>
      </c>
      <c r="D4248" s="5">
        <v>44966</v>
      </c>
    </row>
    <row r="4249" spans="2:4">
      <c r="B4249" s="6" t="s">
        <v>93</v>
      </c>
      <c r="C4249" s="6" t="s">
        <v>719</v>
      </c>
      <c r="D4249" s="5">
        <v>44966</v>
      </c>
    </row>
    <row r="4250" spans="2:4">
      <c r="B4250" s="6" t="s">
        <v>396</v>
      </c>
      <c r="C4250" s="6" t="s">
        <v>398</v>
      </c>
      <c r="D4250" s="5">
        <v>44966</v>
      </c>
    </row>
    <row r="4251" spans="2:4">
      <c r="B4251" s="6" t="s">
        <v>160</v>
      </c>
      <c r="C4251" s="6" t="s">
        <v>166</v>
      </c>
      <c r="D4251" s="5">
        <v>44966</v>
      </c>
    </row>
    <row r="4252" spans="2:4">
      <c r="B4252" s="6" t="s">
        <v>165</v>
      </c>
      <c r="C4252" s="6" t="s">
        <v>157</v>
      </c>
      <c r="D4252" s="5">
        <v>44966</v>
      </c>
    </row>
    <row r="4253" spans="2:4">
      <c r="B4253" s="6" t="s">
        <v>586</v>
      </c>
      <c r="C4253" s="6" t="s">
        <v>599</v>
      </c>
      <c r="D4253" s="5">
        <v>44966</v>
      </c>
    </row>
    <row r="4254" spans="2:4">
      <c r="B4254" s="6" t="s">
        <v>167</v>
      </c>
      <c r="C4254" s="6" t="s">
        <v>207</v>
      </c>
      <c r="D4254" s="5">
        <v>44966</v>
      </c>
    </row>
    <row r="4255" spans="2:4">
      <c r="B4255" s="6" t="s">
        <v>154</v>
      </c>
      <c r="C4255" s="6" t="s">
        <v>141</v>
      </c>
      <c r="D4255" s="5">
        <v>44966</v>
      </c>
    </row>
    <row r="4256" spans="2:4">
      <c r="B4256" s="6" t="s">
        <v>420</v>
      </c>
      <c r="C4256" s="6" t="s">
        <v>423</v>
      </c>
      <c r="D4256" s="5">
        <v>44966</v>
      </c>
    </row>
    <row r="4257" spans="2:4">
      <c r="B4257" s="6" t="s">
        <v>164</v>
      </c>
      <c r="C4257" s="6" t="s">
        <v>70</v>
      </c>
      <c r="D4257" s="5">
        <v>44966</v>
      </c>
    </row>
    <row r="4258" spans="2:4">
      <c r="B4258" s="6" t="s">
        <v>69</v>
      </c>
      <c r="C4258" s="6" t="s">
        <v>74</v>
      </c>
      <c r="D4258" s="5">
        <v>44966</v>
      </c>
    </row>
    <row r="4259" spans="2:4">
      <c r="B4259" s="6" t="s">
        <v>428</v>
      </c>
      <c r="C4259" s="6" t="s">
        <v>236</v>
      </c>
      <c r="D4259" s="5">
        <v>44966</v>
      </c>
    </row>
    <row r="4260" spans="2:4">
      <c r="B4260" s="6" t="s">
        <v>244</v>
      </c>
      <c r="C4260" s="6" t="s">
        <v>361</v>
      </c>
      <c r="D4260" s="5">
        <v>44967</v>
      </c>
    </row>
    <row r="4261" spans="2:4">
      <c r="B4261" s="6" t="s">
        <v>117</v>
      </c>
      <c r="C4261" s="6" t="s">
        <v>112</v>
      </c>
      <c r="D4261" s="5">
        <v>44967</v>
      </c>
    </row>
    <row r="4262" spans="2:4">
      <c r="B4262" s="6" t="s">
        <v>204</v>
      </c>
      <c r="C4262" s="6" t="s">
        <v>216</v>
      </c>
      <c r="D4262" s="5">
        <v>44967</v>
      </c>
    </row>
    <row r="4263" spans="2:4">
      <c r="B4263" s="6" t="s">
        <v>233</v>
      </c>
      <c r="C4263" s="6" t="s">
        <v>130</v>
      </c>
      <c r="D4263" s="5">
        <v>44967</v>
      </c>
    </row>
    <row r="4264" spans="2:4">
      <c r="B4264" s="6" t="s">
        <v>211</v>
      </c>
      <c r="C4264" s="6" t="s">
        <v>285</v>
      </c>
      <c r="D4264" s="5">
        <v>44967</v>
      </c>
    </row>
    <row r="4265" spans="2:4">
      <c r="B4265" s="6" t="s">
        <v>42</v>
      </c>
      <c r="C4265" s="6" t="s">
        <v>39</v>
      </c>
      <c r="D4265" s="5">
        <v>44967</v>
      </c>
    </row>
    <row r="4266" spans="2:4">
      <c r="B4266" s="6" t="s">
        <v>436</v>
      </c>
      <c r="C4266" s="6" t="s">
        <v>261</v>
      </c>
      <c r="D4266" s="5">
        <v>44967</v>
      </c>
    </row>
    <row r="4267" spans="2:4">
      <c r="B4267" s="6" t="s">
        <v>266</v>
      </c>
      <c r="C4267" s="6" t="s">
        <v>256</v>
      </c>
      <c r="D4267" s="5">
        <v>44967</v>
      </c>
    </row>
    <row r="4268" spans="2:4">
      <c r="B4268" s="6" t="s">
        <v>296</v>
      </c>
      <c r="C4268" s="6" t="s">
        <v>418</v>
      </c>
      <c r="D4268" s="5">
        <v>44967</v>
      </c>
    </row>
    <row r="4269" spans="2:4">
      <c r="B4269" s="6" t="s">
        <v>397</v>
      </c>
      <c r="C4269" s="6" t="s">
        <v>412</v>
      </c>
      <c r="D4269" s="5">
        <v>44967</v>
      </c>
    </row>
    <row r="4270" spans="2:4">
      <c r="B4270" s="6" t="s">
        <v>214</v>
      </c>
      <c r="C4270" s="6" t="s">
        <v>133</v>
      </c>
      <c r="D4270" s="5">
        <v>44967</v>
      </c>
    </row>
    <row r="4271" spans="2:4">
      <c r="B4271" s="6" t="s">
        <v>198</v>
      </c>
      <c r="C4271" s="6" t="s">
        <v>189</v>
      </c>
      <c r="D4271" s="5">
        <v>44967</v>
      </c>
    </row>
    <row r="4272" spans="2:4">
      <c r="B4272" s="6" t="s">
        <v>169</v>
      </c>
      <c r="C4272" s="6" t="s">
        <v>394</v>
      </c>
      <c r="D4272" s="5">
        <v>44967</v>
      </c>
    </row>
    <row r="4273" spans="2:4">
      <c r="B4273" s="6" t="s">
        <v>69</v>
      </c>
      <c r="C4273" s="6" t="s">
        <v>75</v>
      </c>
      <c r="D4273" s="5">
        <v>44968</v>
      </c>
    </row>
    <row r="4274" spans="2:4">
      <c r="B4274" s="6" t="s">
        <v>93</v>
      </c>
      <c r="C4274" s="6" t="s">
        <v>70</v>
      </c>
      <c r="D4274" s="5">
        <v>44968</v>
      </c>
    </row>
    <row r="4275" spans="2:4">
      <c r="B4275" s="6" t="s">
        <v>301</v>
      </c>
      <c r="C4275" s="6" t="s">
        <v>106</v>
      </c>
      <c r="D4275" s="5">
        <v>44968</v>
      </c>
    </row>
    <row r="4276" spans="2:4">
      <c r="B4276" s="6" t="s">
        <v>247</v>
      </c>
      <c r="C4276" s="6" t="s">
        <v>140</v>
      </c>
      <c r="D4276" s="5">
        <v>44968</v>
      </c>
    </row>
    <row r="4277" spans="2:4">
      <c r="B4277" s="6" t="s">
        <v>127</v>
      </c>
      <c r="C4277" s="6" t="s">
        <v>105</v>
      </c>
      <c r="D4277" s="5">
        <v>44968</v>
      </c>
    </row>
    <row r="4278" spans="2:4">
      <c r="B4278" s="6" t="s">
        <v>203</v>
      </c>
      <c r="C4278" s="6" t="s">
        <v>180</v>
      </c>
      <c r="D4278" s="5">
        <v>44968</v>
      </c>
    </row>
    <row r="4279" spans="2:4">
      <c r="B4279" s="6" t="s">
        <v>427</v>
      </c>
      <c r="C4279" s="6" t="s">
        <v>166</v>
      </c>
      <c r="D4279" s="5">
        <v>44968</v>
      </c>
    </row>
    <row r="4280" spans="2:4">
      <c r="B4280" s="6" t="s">
        <v>316</v>
      </c>
      <c r="C4280" s="6" t="s">
        <v>333</v>
      </c>
      <c r="D4280" s="5">
        <v>44968</v>
      </c>
    </row>
    <row r="4281" spans="2:4">
      <c r="B4281" s="6" t="s">
        <v>167</v>
      </c>
      <c r="C4281" s="6" t="s">
        <v>154</v>
      </c>
      <c r="D4281" s="5">
        <v>44968</v>
      </c>
    </row>
    <row r="4282" spans="2:4">
      <c r="B4282" s="6" t="s">
        <v>89</v>
      </c>
      <c r="C4282" s="6" t="s">
        <v>80</v>
      </c>
      <c r="D4282" s="5">
        <v>44968</v>
      </c>
    </row>
    <row r="4283" spans="2:4">
      <c r="B4283" s="6" t="s">
        <v>30</v>
      </c>
      <c r="C4283" s="6" t="s">
        <v>32</v>
      </c>
      <c r="D4283" s="5">
        <v>44968</v>
      </c>
    </row>
    <row r="4284" spans="2:4">
      <c r="B4284" s="6" t="s">
        <v>113</v>
      </c>
      <c r="C4284" s="6" t="s">
        <v>176</v>
      </c>
      <c r="D4284" s="5">
        <v>44968</v>
      </c>
    </row>
    <row r="4285" spans="2:4">
      <c r="B4285" s="6" t="s">
        <v>737</v>
      </c>
      <c r="C4285" s="6" t="s">
        <v>49</v>
      </c>
      <c r="D4285" s="5">
        <v>44968</v>
      </c>
    </row>
    <row r="4286" spans="2:4">
      <c r="B4286" s="6" t="s">
        <v>54</v>
      </c>
      <c r="C4286" s="6" t="s">
        <v>770</v>
      </c>
      <c r="D4286" s="5">
        <v>44968</v>
      </c>
    </row>
    <row r="4287" spans="2:4">
      <c r="B4287" s="6" t="s">
        <v>302</v>
      </c>
      <c r="C4287" s="6" t="s">
        <v>40</v>
      </c>
      <c r="D4287" s="5">
        <v>44968</v>
      </c>
    </row>
    <row r="4288" spans="2:4">
      <c r="B4288" s="6" t="s">
        <v>41</v>
      </c>
      <c r="C4288" s="6" t="s">
        <v>37</v>
      </c>
      <c r="D4288" s="5">
        <v>44968</v>
      </c>
    </row>
    <row r="4289" spans="2:4">
      <c r="B4289" s="6" t="s">
        <v>56</v>
      </c>
      <c r="C4289" s="6" t="s">
        <v>781</v>
      </c>
      <c r="D4289" s="5">
        <v>44968</v>
      </c>
    </row>
    <row r="4290" spans="2:4">
      <c r="B4290" s="6" t="s">
        <v>284</v>
      </c>
      <c r="C4290" s="6" t="s">
        <v>252</v>
      </c>
      <c r="D4290" s="5">
        <v>44968</v>
      </c>
    </row>
    <row r="4291" spans="2:4">
      <c r="B4291" s="6" t="s">
        <v>29</v>
      </c>
      <c r="C4291" s="6" t="s">
        <v>26</v>
      </c>
      <c r="D4291" s="5">
        <v>44968</v>
      </c>
    </row>
    <row r="4292" spans="2:4">
      <c r="B4292" s="6" t="s">
        <v>137</v>
      </c>
      <c r="C4292" s="6" t="s">
        <v>278</v>
      </c>
      <c r="D4292" s="5">
        <v>44968</v>
      </c>
    </row>
    <row r="4293" spans="2:4">
      <c r="B4293" s="6" t="s">
        <v>762</v>
      </c>
      <c r="C4293" s="6" t="s">
        <v>90</v>
      </c>
      <c r="D4293" s="5">
        <v>44968</v>
      </c>
    </row>
    <row r="4294" spans="2:4">
      <c r="B4294" s="6" t="s">
        <v>334</v>
      </c>
      <c r="C4294" s="6" t="s">
        <v>337</v>
      </c>
      <c r="D4294" s="5">
        <v>44968</v>
      </c>
    </row>
    <row r="4295" spans="2:4">
      <c r="B4295" s="6" t="s">
        <v>98</v>
      </c>
      <c r="C4295" s="6" t="s">
        <v>405</v>
      </c>
      <c r="D4295" s="5">
        <v>44968</v>
      </c>
    </row>
    <row r="4296" spans="2:4">
      <c r="B4296" s="6" t="s">
        <v>610</v>
      </c>
      <c r="C4296" s="6" t="s">
        <v>248</v>
      </c>
      <c r="D4296" s="5">
        <v>44968</v>
      </c>
    </row>
    <row r="4297" spans="2:4">
      <c r="B4297" s="6" t="s">
        <v>220</v>
      </c>
      <c r="C4297" s="6" t="s">
        <v>148</v>
      </c>
      <c r="D4297" s="5">
        <v>44968</v>
      </c>
    </row>
    <row r="4298" spans="2:4">
      <c r="B4298" s="6" t="s">
        <v>251</v>
      </c>
      <c r="C4298" s="6" t="s">
        <v>51</v>
      </c>
      <c r="D4298" s="5">
        <v>44968</v>
      </c>
    </row>
    <row r="4299" spans="2:4">
      <c r="B4299" s="6" t="s">
        <v>38</v>
      </c>
      <c r="C4299" s="6" t="s">
        <v>732</v>
      </c>
      <c r="D4299" s="5">
        <v>44968</v>
      </c>
    </row>
    <row r="4300" spans="2:4">
      <c r="B4300" s="6" t="s">
        <v>83</v>
      </c>
      <c r="C4300" s="6" t="s">
        <v>82</v>
      </c>
      <c r="D4300" s="5">
        <v>44968</v>
      </c>
    </row>
    <row r="4301" spans="2:4">
      <c r="B4301" s="6" t="s">
        <v>60</v>
      </c>
      <c r="C4301" s="6" t="s">
        <v>64</v>
      </c>
      <c r="D4301" s="5">
        <v>44968</v>
      </c>
    </row>
    <row r="4302" spans="2:4">
      <c r="B4302" s="6" t="s">
        <v>221</v>
      </c>
      <c r="C4302" s="6" t="s">
        <v>275</v>
      </c>
      <c r="D4302" s="5">
        <v>44968</v>
      </c>
    </row>
    <row r="4303" spans="2:4">
      <c r="B4303" s="6" t="s">
        <v>360</v>
      </c>
      <c r="C4303" s="6" t="s">
        <v>131</v>
      </c>
      <c r="D4303" s="5">
        <v>44968</v>
      </c>
    </row>
    <row r="4304" spans="2:4">
      <c r="B4304" s="6" t="s">
        <v>318</v>
      </c>
      <c r="C4304" s="6" t="s">
        <v>325</v>
      </c>
      <c r="D4304" s="5">
        <v>44968</v>
      </c>
    </row>
    <row r="4305" spans="2:4">
      <c r="B4305" s="6" t="s">
        <v>139</v>
      </c>
      <c r="C4305" s="6" t="s">
        <v>326</v>
      </c>
      <c r="D4305" s="5">
        <v>44968</v>
      </c>
    </row>
    <row r="4306" spans="2:4">
      <c r="B4306" s="6" t="s">
        <v>363</v>
      </c>
      <c r="C4306" s="6" t="s">
        <v>241</v>
      </c>
      <c r="D4306" s="5">
        <v>44968</v>
      </c>
    </row>
    <row r="4307" spans="2:4">
      <c r="B4307" s="6" t="s">
        <v>186</v>
      </c>
      <c r="C4307" s="6" t="s">
        <v>280</v>
      </c>
      <c r="D4307" s="5">
        <v>44968</v>
      </c>
    </row>
    <row r="4308" spans="2:4">
      <c r="B4308" s="6" t="s">
        <v>119</v>
      </c>
      <c r="C4308" s="6" t="s">
        <v>312</v>
      </c>
      <c r="D4308" s="5">
        <v>44968</v>
      </c>
    </row>
    <row r="4309" spans="2:4">
      <c r="B4309" s="6" t="s">
        <v>421</v>
      </c>
      <c r="C4309" s="6" t="s">
        <v>373</v>
      </c>
      <c r="D4309" s="5">
        <v>44968</v>
      </c>
    </row>
    <row r="4310" spans="2:4">
      <c r="B4310" s="6" t="s">
        <v>46</v>
      </c>
      <c r="C4310" s="6" t="s">
        <v>52</v>
      </c>
      <c r="D4310" s="5">
        <v>44968</v>
      </c>
    </row>
    <row r="4311" spans="2:4">
      <c r="B4311" s="6" t="s">
        <v>126</v>
      </c>
      <c r="C4311" s="6" t="s">
        <v>215</v>
      </c>
      <c r="D4311" s="5">
        <v>44968</v>
      </c>
    </row>
    <row r="4312" spans="2:4">
      <c r="B4312" s="6" t="s">
        <v>108</v>
      </c>
      <c r="C4312" s="6" t="s">
        <v>419</v>
      </c>
      <c r="D4312" s="5">
        <v>44968</v>
      </c>
    </row>
    <row r="4313" spans="2:4">
      <c r="B4313" s="6" t="s">
        <v>351</v>
      </c>
      <c r="C4313" s="6" t="s">
        <v>97</v>
      </c>
      <c r="D4313" s="5">
        <v>44968</v>
      </c>
    </row>
    <row r="4314" spans="2:4">
      <c r="B4314" s="6" t="s">
        <v>107</v>
      </c>
      <c r="C4314" s="6" t="s">
        <v>125</v>
      </c>
      <c r="D4314" s="5">
        <v>44968</v>
      </c>
    </row>
    <row r="4315" spans="2:4">
      <c r="B4315" s="6" t="s">
        <v>281</v>
      </c>
      <c r="C4315" s="6" t="s">
        <v>124</v>
      </c>
      <c r="D4315" s="5">
        <v>44968</v>
      </c>
    </row>
    <row r="4316" spans="2:4">
      <c r="B4316" s="6" t="s">
        <v>210</v>
      </c>
      <c r="C4316" s="6" t="s">
        <v>300</v>
      </c>
      <c r="D4316" s="5">
        <v>44968</v>
      </c>
    </row>
    <row r="4317" spans="2:4">
      <c r="B4317" s="6" t="s">
        <v>192</v>
      </c>
      <c r="C4317" s="6" t="s">
        <v>297</v>
      </c>
      <c r="D4317" s="5">
        <v>44968</v>
      </c>
    </row>
    <row r="4318" spans="2:4">
      <c r="B4318" s="6" t="s">
        <v>425</v>
      </c>
      <c r="C4318" s="6" t="s">
        <v>298</v>
      </c>
      <c r="D4318" s="5">
        <v>44968</v>
      </c>
    </row>
    <row r="4319" spans="2:4">
      <c r="B4319" s="6" t="s">
        <v>111</v>
      </c>
      <c r="C4319" s="6" t="s">
        <v>287</v>
      </c>
      <c r="D4319" s="5">
        <v>44968</v>
      </c>
    </row>
    <row r="4320" spans="2:4">
      <c r="B4320" s="6" t="s">
        <v>109</v>
      </c>
      <c r="C4320" s="6" t="s">
        <v>288</v>
      </c>
      <c r="D4320" s="5">
        <v>44968</v>
      </c>
    </row>
    <row r="4321" spans="2:4">
      <c r="B4321" s="6" t="s">
        <v>590</v>
      </c>
      <c r="C4321" s="6" t="s">
        <v>587</v>
      </c>
      <c r="D4321" s="5">
        <v>44968</v>
      </c>
    </row>
    <row r="4322" spans="2:4">
      <c r="B4322" s="6" t="s">
        <v>259</v>
      </c>
      <c r="C4322" s="6" t="s">
        <v>193</v>
      </c>
      <c r="D4322" s="5">
        <v>44968</v>
      </c>
    </row>
    <row r="4323" spans="2:4">
      <c r="B4323" s="6" t="s">
        <v>294</v>
      </c>
      <c r="C4323" s="6" t="s">
        <v>409</v>
      </c>
      <c r="D4323" s="5">
        <v>44968</v>
      </c>
    </row>
    <row r="4324" spans="2:4">
      <c r="B4324" s="6" t="s">
        <v>196</v>
      </c>
      <c r="C4324" s="6" t="s">
        <v>357</v>
      </c>
      <c r="D4324" s="5">
        <v>44968</v>
      </c>
    </row>
    <row r="4325" spans="2:4">
      <c r="B4325" s="6" t="s">
        <v>359</v>
      </c>
      <c r="C4325" s="6" t="s">
        <v>151</v>
      </c>
      <c r="D4325" s="5">
        <v>44968</v>
      </c>
    </row>
    <row r="4326" spans="2:4">
      <c r="B4326" s="6" t="s">
        <v>99</v>
      </c>
      <c r="C4326" s="6" t="s">
        <v>268</v>
      </c>
      <c r="D4326" s="5">
        <v>44968</v>
      </c>
    </row>
    <row r="4327" spans="2:4">
      <c r="B4327" s="6" t="s">
        <v>129</v>
      </c>
      <c r="C4327" s="6" t="s">
        <v>413</v>
      </c>
      <c r="D4327" s="5">
        <v>44968</v>
      </c>
    </row>
    <row r="4328" spans="2:4">
      <c r="B4328" s="6" t="s">
        <v>146</v>
      </c>
      <c r="C4328" s="6" t="s">
        <v>123</v>
      </c>
      <c r="D4328" s="5">
        <v>44968</v>
      </c>
    </row>
    <row r="4329" spans="2:4">
      <c r="B4329" s="6" t="s">
        <v>115</v>
      </c>
      <c r="C4329" s="6" t="s">
        <v>178</v>
      </c>
      <c r="D4329" s="5">
        <v>44968</v>
      </c>
    </row>
    <row r="4330" spans="2:4">
      <c r="B4330" s="6" t="s">
        <v>354</v>
      </c>
      <c r="C4330" s="6" t="s">
        <v>142</v>
      </c>
      <c r="D4330" s="5">
        <v>44968</v>
      </c>
    </row>
    <row r="4331" spans="2:4">
      <c r="B4331" s="6" t="s">
        <v>199</v>
      </c>
      <c r="C4331" s="6" t="s">
        <v>349</v>
      </c>
      <c r="D4331" s="5">
        <v>44968</v>
      </c>
    </row>
    <row r="4332" spans="2:4">
      <c r="B4332" s="6" t="s">
        <v>347</v>
      </c>
      <c r="C4332" s="6" t="s">
        <v>552</v>
      </c>
      <c r="D4332" s="5">
        <v>44968</v>
      </c>
    </row>
    <row r="4333" spans="2:4">
      <c r="B4333" s="6" t="s">
        <v>102</v>
      </c>
      <c r="C4333" s="6" t="s">
        <v>282</v>
      </c>
      <c r="D4333" s="5">
        <v>44968</v>
      </c>
    </row>
    <row r="4334" spans="2:4">
      <c r="B4334" s="6" t="s">
        <v>289</v>
      </c>
      <c r="C4334" s="6" t="s">
        <v>367</v>
      </c>
      <c r="D4334" s="5">
        <v>44968</v>
      </c>
    </row>
    <row r="4335" spans="2:4">
      <c r="B4335" s="6" t="s">
        <v>330</v>
      </c>
      <c r="C4335" s="6" t="s">
        <v>184</v>
      </c>
      <c r="D4335" s="5">
        <v>44968</v>
      </c>
    </row>
    <row r="4336" spans="2:4">
      <c r="B4336" s="6" t="s">
        <v>79</v>
      </c>
      <c r="C4336" s="6" t="s">
        <v>185</v>
      </c>
      <c r="D4336" s="5">
        <v>44968</v>
      </c>
    </row>
    <row r="4337" spans="2:4">
      <c r="B4337" s="6" t="s">
        <v>104</v>
      </c>
      <c r="C4337" s="6" t="s">
        <v>171</v>
      </c>
      <c r="D4337" s="5">
        <v>44968</v>
      </c>
    </row>
    <row r="4338" spans="2:4">
      <c r="B4338" s="6" t="s">
        <v>209</v>
      </c>
      <c r="C4338" s="6" t="s">
        <v>362</v>
      </c>
      <c r="D4338" s="5">
        <v>44968</v>
      </c>
    </row>
    <row r="4339" spans="2:4">
      <c r="B4339" s="6" t="s">
        <v>34</v>
      </c>
      <c r="C4339" s="6" t="s">
        <v>28</v>
      </c>
      <c r="D4339" s="5">
        <v>44968</v>
      </c>
    </row>
    <row r="4340" spans="2:4">
      <c r="B4340" s="6" t="s">
        <v>188</v>
      </c>
      <c r="C4340" s="6" t="s">
        <v>44</v>
      </c>
      <c r="D4340" s="5">
        <v>44968</v>
      </c>
    </row>
    <row r="4341" spans="2:4">
      <c r="B4341" s="6" t="s">
        <v>392</v>
      </c>
      <c r="C4341" s="6" t="s">
        <v>163</v>
      </c>
      <c r="D4341" s="5">
        <v>44968</v>
      </c>
    </row>
    <row r="4342" spans="2:4">
      <c r="B4342" s="6" t="s">
        <v>170</v>
      </c>
      <c r="C4342" s="6" t="s">
        <v>364</v>
      </c>
      <c r="D4342" s="5">
        <v>44968</v>
      </c>
    </row>
    <row r="4343" spans="2:4">
      <c r="B4343" s="6" t="s">
        <v>277</v>
      </c>
      <c r="C4343" s="6" t="s">
        <v>238</v>
      </c>
      <c r="D4343" s="5">
        <v>44968</v>
      </c>
    </row>
    <row r="4344" spans="2:4">
      <c r="B4344" s="6" t="s">
        <v>232</v>
      </c>
      <c r="C4344" s="6" t="s">
        <v>156</v>
      </c>
      <c r="D4344" s="5">
        <v>44968</v>
      </c>
    </row>
    <row r="4345" spans="2:4">
      <c r="B4345" s="6" t="s">
        <v>264</v>
      </c>
      <c r="C4345" s="6" t="s">
        <v>96</v>
      </c>
      <c r="D4345" s="5">
        <v>44968</v>
      </c>
    </row>
    <row r="4346" spans="2:4">
      <c r="B4346" s="6" t="s">
        <v>276</v>
      </c>
      <c r="C4346" s="6" t="s">
        <v>116</v>
      </c>
      <c r="D4346" s="5">
        <v>44968</v>
      </c>
    </row>
    <row r="4347" spans="2:4">
      <c r="B4347" s="6" t="s">
        <v>177</v>
      </c>
      <c r="C4347" s="6" t="s">
        <v>174</v>
      </c>
      <c r="D4347" s="5">
        <v>44968</v>
      </c>
    </row>
    <row r="4348" spans="2:4">
      <c r="B4348" s="6" t="s">
        <v>368</v>
      </c>
      <c r="C4348" s="6" t="s">
        <v>376</v>
      </c>
      <c r="D4348" s="5">
        <v>44968</v>
      </c>
    </row>
    <row r="4349" spans="2:4">
      <c r="B4349" s="6" t="s">
        <v>195</v>
      </c>
      <c r="C4349" s="6" t="s">
        <v>242</v>
      </c>
      <c r="D4349" s="5">
        <v>44968</v>
      </c>
    </row>
    <row r="4350" spans="2:4">
      <c r="B4350" s="6" t="s">
        <v>335</v>
      </c>
      <c r="C4350" s="6" t="s">
        <v>310</v>
      </c>
      <c r="D4350" s="5">
        <v>44968</v>
      </c>
    </row>
    <row r="4351" spans="2:4">
      <c r="B4351" s="6" t="s">
        <v>67</v>
      </c>
      <c r="C4351" s="6" t="s">
        <v>65</v>
      </c>
      <c r="D4351" s="5">
        <v>44968</v>
      </c>
    </row>
    <row r="4352" spans="2:4">
      <c r="B4352" s="6" t="s">
        <v>200</v>
      </c>
      <c r="C4352" s="6" t="s">
        <v>350</v>
      </c>
      <c r="D4352" s="5">
        <v>44968</v>
      </c>
    </row>
    <row r="4353" spans="2:4">
      <c r="B4353" s="6" t="s">
        <v>110</v>
      </c>
      <c r="C4353" s="6" t="s">
        <v>395</v>
      </c>
      <c r="D4353" s="5">
        <v>44968</v>
      </c>
    </row>
    <row r="4354" spans="2:4">
      <c r="B4354" s="6" t="s">
        <v>400</v>
      </c>
      <c r="C4354" s="6" t="s">
        <v>414</v>
      </c>
      <c r="D4354" s="5">
        <v>44968</v>
      </c>
    </row>
    <row r="4355" spans="2:4">
      <c r="B4355" s="6" t="s">
        <v>338</v>
      </c>
      <c r="C4355" s="6" t="s">
        <v>175</v>
      </c>
      <c r="D4355" s="5">
        <v>44968</v>
      </c>
    </row>
    <row r="4356" spans="2:4">
      <c r="B4356" s="6" t="s">
        <v>179</v>
      </c>
      <c r="C4356" s="6" t="s">
        <v>432</v>
      </c>
      <c r="D4356" s="5">
        <v>44968</v>
      </c>
    </row>
    <row r="4357" spans="2:4">
      <c r="B4357" s="6" t="s">
        <v>403</v>
      </c>
      <c r="C4357" s="6" t="s">
        <v>402</v>
      </c>
      <c r="D4357" s="5">
        <v>44968</v>
      </c>
    </row>
    <row r="4358" spans="2:4">
      <c r="B4358" s="6" t="s">
        <v>120</v>
      </c>
      <c r="C4358" s="6" t="s">
        <v>292</v>
      </c>
      <c r="D4358" s="5">
        <v>44968</v>
      </c>
    </row>
    <row r="4359" spans="2:4">
      <c r="B4359" s="6" t="s">
        <v>355</v>
      </c>
      <c r="C4359" s="6" t="s">
        <v>147</v>
      </c>
      <c r="D4359" s="5">
        <v>44968</v>
      </c>
    </row>
    <row r="4360" spans="2:4">
      <c r="B4360" s="6" t="s">
        <v>332</v>
      </c>
      <c r="C4360" s="6" t="s">
        <v>314</v>
      </c>
      <c r="D4360" s="5">
        <v>44968</v>
      </c>
    </row>
    <row r="4361" spans="2:4">
      <c r="B4361" s="6" t="s">
        <v>640</v>
      </c>
      <c r="C4361" s="6" t="s">
        <v>94</v>
      </c>
      <c r="D4361" s="5">
        <v>44968</v>
      </c>
    </row>
    <row r="4362" spans="2:4">
      <c r="B4362" s="6" t="s">
        <v>183</v>
      </c>
      <c r="C4362" s="6" t="s">
        <v>319</v>
      </c>
      <c r="D4362" s="5">
        <v>44968</v>
      </c>
    </row>
    <row r="4363" spans="2:4">
      <c r="B4363" s="6" t="s">
        <v>343</v>
      </c>
      <c r="C4363" s="6" t="s">
        <v>588</v>
      </c>
      <c r="D4363" s="5">
        <v>44968</v>
      </c>
    </row>
    <row r="4364" spans="2:4">
      <c r="B4364" s="6" t="s">
        <v>309</v>
      </c>
      <c r="C4364" s="6" t="s">
        <v>304</v>
      </c>
      <c r="D4364" s="5">
        <v>44968</v>
      </c>
    </row>
    <row r="4365" spans="2:4">
      <c r="B4365" s="6" t="s">
        <v>370</v>
      </c>
      <c r="C4365" s="6" t="s">
        <v>329</v>
      </c>
      <c r="D4365" s="5">
        <v>44968</v>
      </c>
    </row>
    <row r="4366" spans="2:4">
      <c r="B4366" s="6" t="s">
        <v>250</v>
      </c>
      <c r="C4366" s="6" t="s">
        <v>240</v>
      </c>
      <c r="D4366" s="5">
        <v>44968</v>
      </c>
    </row>
    <row r="4367" spans="2:4">
      <c r="B4367" s="6" t="s">
        <v>356</v>
      </c>
      <c r="C4367" s="6" t="s">
        <v>353</v>
      </c>
      <c r="D4367" s="5">
        <v>44968</v>
      </c>
    </row>
    <row r="4368" spans="2:4">
      <c r="B4368" s="6" t="s">
        <v>53</v>
      </c>
      <c r="C4368" s="6" t="s">
        <v>50</v>
      </c>
      <c r="D4368" s="5">
        <v>44968</v>
      </c>
    </row>
    <row r="4369" spans="2:4">
      <c r="B4369" s="6" t="s">
        <v>134</v>
      </c>
      <c r="C4369" s="6" t="s">
        <v>342</v>
      </c>
      <c r="D4369" s="5">
        <v>44968</v>
      </c>
    </row>
    <row r="4370" spans="2:4">
      <c r="B4370" s="6" t="s">
        <v>295</v>
      </c>
      <c r="C4370" s="6" t="s">
        <v>584</v>
      </c>
      <c r="D4370" s="5">
        <v>44968</v>
      </c>
    </row>
    <row r="4371" spans="2:4">
      <c r="B4371" s="6" t="s">
        <v>191</v>
      </c>
      <c r="C4371" s="6" t="s">
        <v>273</v>
      </c>
      <c r="D4371" s="5">
        <v>44968</v>
      </c>
    </row>
    <row r="4372" spans="2:4">
      <c r="B4372" s="6" t="s">
        <v>410</v>
      </c>
      <c r="C4372" s="6" t="s">
        <v>246</v>
      </c>
      <c r="D4372" s="5">
        <v>44968</v>
      </c>
    </row>
    <row r="4373" spans="2:4">
      <c r="B4373" s="6" t="s">
        <v>194</v>
      </c>
      <c r="C4373" s="6" t="s">
        <v>365</v>
      </c>
      <c r="D4373" s="5">
        <v>44968</v>
      </c>
    </row>
    <row r="4374" spans="2:4">
      <c r="B4374" s="6" t="s">
        <v>150</v>
      </c>
      <c r="C4374" s="6" t="s">
        <v>136</v>
      </c>
      <c r="D4374" s="5">
        <v>44968</v>
      </c>
    </row>
    <row r="4375" spans="2:4">
      <c r="B4375" s="6" t="s">
        <v>321</v>
      </c>
      <c r="C4375" s="6" t="s">
        <v>305</v>
      </c>
      <c r="D4375" s="5">
        <v>44968</v>
      </c>
    </row>
    <row r="4376" spans="2:4">
      <c r="B4376" s="6" t="s">
        <v>270</v>
      </c>
      <c r="C4376" s="6" t="s">
        <v>202</v>
      </c>
      <c r="D4376" s="5">
        <v>44968</v>
      </c>
    </row>
    <row r="4377" spans="2:4">
      <c r="B4377" s="6" t="s">
        <v>84</v>
      </c>
      <c r="C4377" s="6" t="s">
        <v>763</v>
      </c>
      <c r="D4377" s="5">
        <v>44968</v>
      </c>
    </row>
    <row r="4378" spans="2:4">
      <c r="B4378" s="6" t="s">
        <v>86</v>
      </c>
      <c r="C4378" s="6" t="s">
        <v>87</v>
      </c>
      <c r="D4378" s="5">
        <v>44968</v>
      </c>
    </row>
    <row r="4379" spans="2:4">
      <c r="B4379" s="6" t="s">
        <v>59</v>
      </c>
      <c r="C4379" s="6" t="s">
        <v>62</v>
      </c>
      <c r="D4379" s="5">
        <v>44968</v>
      </c>
    </row>
    <row r="4380" spans="2:4">
      <c r="B4380" s="6" t="s">
        <v>747</v>
      </c>
      <c r="C4380" s="6" t="s">
        <v>778</v>
      </c>
      <c r="D4380" s="5">
        <v>44968</v>
      </c>
    </row>
    <row r="4381" spans="2:4">
      <c r="B4381" s="6" t="s">
        <v>779</v>
      </c>
      <c r="C4381" s="6" t="s">
        <v>74</v>
      </c>
      <c r="D4381" s="5">
        <v>44968</v>
      </c>
    </row>
    <row r="4382" spans="2:4">
      <c r="B4382" s="6" t="s">
        <v>135</v>
      </c>
      <c r="C4382" s="6" t="s">
        <v>182</v>
      </c>
      <c r="D4382" s="5">
        <v>44968</v>
      </c>
    </row>
    <row r="4383" spans="2:4">
      <c r="B4383" s="6" t="s">
        <v>161</v>
      </c>
      <c r="C4383" s="6" t="s">
        <v>398</v>
      </c>
      <c r="D4383" s="5">
        <v>44968</v>
      </c>
    </row>
    <row r="4384" spans="2:4">
      <c r="B4384" s="6" t="s">
        <v>306</v>
      </c>
      <c r="C4384" s="6" t="s">
        <v>286</v>
      </c>
      <c r="D4384" s="5">
        <v>44968</v>
      </c>
    </row>
    <row r="4385" spans="2:4">
      <c r="B4385" s="6" t="s">
        <v>181</v>
      </c>
      <c r="C4385" s="6" t="s">
        <v>399</v>
      </c>
      <c r="D4385" s="5">
        <v>44968</v>
      </c>
    </row>
    <row r="4386" spans="2:4">
      <c r="B4386" s="6" t="s">
        <v>382</v>
      </c>
      <c r="C4386" s="6" t="s">
        <v>249</v>
      </c>
      <c r="D4386" s="5">
        <v>44968</v>
      </c>
    </row>
    <row r="4387" spans="2:4">
      <c r="B4387" s="6" t="s">
        <v>158</v>
      </c>
      <c r="C4387" s="6" t="s">
        <v>393</v>
      </c>
      <c r="D4387" s="5">
        <v>44968</v>
      </c>
    </row>
    <row r="4388" spans="2:4">
      <c r="B4388" s="6" t="s">
        <v>27</v>
      </c>
      <c r="C4388" s="6" t="s">
        <v>750</v>
      </c>
      <c r="D4388" s="5">
        <v>44968</v>
      </c>
    </row>
    <row r="4389" spans="2:4">
      <c r="B4389" s="6" t="s">
        <v>303</v>
      </c>
      <c r="C4389" s="6" t="s">
        <v>308</v>
      </c>
      <c r="D4389" s="5">
        <v>44968</v>
      </c>
    </row>
    <row r="4390" spans="2:4">
      <c r="B4390" s="6" t="s">
        <v>411</v>
      </c>
      <c r="C4390" s="6" t="s">
        <v>95</v>
      </c>
      <c r="D4390" s="5">
        <v>44968</v>
      </c>
    </row>
    <row r="4391" spans="2:4">
      <c r="B4391" s="6" t="s">
        <v>187</v>
      </c>
      <c r="C4391" s="6" t="s">
        <v>231</v>
      </c>
      <c r="D4391" s="5">
        <v>44968</v>
      </c>
    </row>
    <row r="4392" spans="2:4">
      <c r="B4392" s="6" t="s">
        <v>114</v>
      </c>
      <c r="C4392" s="6" t="s">
        <v>580</v>
      </c>
      <c r="D4392" s="5">
        <v>44968</v>
      </c>
    </row>
    <row r="4393" spans="2:4">
      <c r="B4393" s="6" t="s">
        <v>48</v>
      </c>
      <c r="C4393" s="6" t="s">
        <v>43</v>
      </c>
      <c r="D4393" s="5">
        <v>44968</v>
      </c>
    </row>
    <row r="4394" spans="2:4">
      <c r="B4394" s="6" t="s">
        <v>205</v>
      </c>
      <c r="C4394" s="6" t="s">
        <v>269</v>
      </c>
      <c r="D4394" s="5">
        <v>44968</v>
      </c>
    </row>
    <row r="4395" spans="2:4">
      <c r="B4395" s="6" t="s">
        <v>100</v>
      </c>
      <c r="C4395" s="6" t="s">
        <v>138</v>
      </c>
      <c r="D4395" s="5">
        <v>44968</v>
      </c>
    </row>
    <row r="4396" spans="2:4">
      <c r="B4396" s="6" t="s">
        <v>274</v>
      </c>
      <c r="C4396" s="6" t="s">
        <v>143</v>
      </c>
      <c r="D4396" s="5">
        <v>44968</v>
      </c>
    </row>
    <row r="4397" spans="2:4">
      <c r="B4397" s="6" t="s">
        <v>345</v>
      </c>
      <c r="C4397" s="6" t="s">
        <v>415</v>
      </c>
      <c r="D4397" s="5">
        <v>44968</v>
      </c>
    </row>
    <row r="4398" spans="2:4">
      <c r="B4398" s="6" t="s">
        <v>160</v>
      </c>
      <c r="C4398" s="6" t="s">
        <v>396</v>
      </c>
      <c r="D4398" s="5">
        <v>44968</v>
      </c>
    </row>
    <row r="4399" spans="2:4">
      <c r="B4399" s="6" t="s">
        <v>385</v>
      </c>
      <c r="C4399" s="6" t="s">
        <v>208</v>
      </c>
      <c r="D4399" s="5">
        <v>44968</v>
      </c>
    </row>
    <row r="4400" spans="2:4">
      <c r="B4400" s="6" t="s">
        <v>324</v>
      </c>
      <c r="C4400" s="6" t="s">
        <v>422</v>
      </c>
      <c r="D4400" s="5">
        <v>44968</v>
      </c>
    </row>
    <row r="4401" spans="2:4">
      <c r="B4401" s="6" t="s">
        <v>358</v>
      </c>
      <c r="C4401" s="6" t="s">
        <v>101</v>
      </c>
      <c r="D4401" s="5">
        <v>44968</v>
      </c>
    </row>
    <row r="4402" spans="2:4">
      <c r="B4402" s="6" t="s">
        <v>327</v>
      </c>
      <c r="C4402" s="6" t="s">
        <v>272</v>
      </c>
      <c r="D4402" s="5">
        <v>44968</v>
      </c>
    </row>
    <row r="4403" spans="2:4">
      <c r="B4403" s="6" t="s">
        <v>201</v>
      </c>
      <c r="C4403" s="6" t="s">
        <v>255</v>
      </c>
      <c r="D4403" s="5">
        <v>44968</v>
      </c>
    </row>
    <row r="4404" spans="2:4">
      <c r="B4404" s="6" t="s">
        <v>344</v>
      </c>
      <c r="C4404" s="6" t="s">
        <v>290</v>
      </c>
      <c r="D4404" s="5">
        <v>44968</v>
      </c>
    </row>
    <row r="4405" spans="2:4">
      <c r="B4405" s="6" t="s">
        <v>35</v>
      </c>
      <c r="C4405" s="6" t="s">
        <v>36</v>
      </c>
      <c r="D4405" s="5">
        <v>44968</v>
      </c>
    </row>
    <row r="4406" spans="2:4">
      <c r="B4406" s="6" t="s">
        <v>164</v>
      </c>
      <c r="C4406" s="6" t="s">
        <v>719</v>
      </c>
      <c r="D4406" s="5">
        <v>44968</v>
      </c>
    </row>
    <row r="4407" spans="2:4">
      <c r="B4407" s="6" t="s">
        <v>162</v>
      </c>
      <c r="C4407" s="6" t="s">
        <v>152</v>
      </c>
      <c r="D4407" s="5">
        <v>44968</v>
      </c>
    </row>
    <row r="4408" spans="2:4">
      <c r="B4408" s="6" t="s">
        <v>383</v>
      </c>
      <c r="C4408" s="6" t="s">
        <v>378</v>
      </c>
      <c r="D4408" s="5">
        <v>44968</v>
      </c>
    </row>
    <row r="4409" spans="2:4">
      <c r="B4409" s="6" t="s">
        <v>348</v>
      </c>
      <c r="C4409" s="6" t="s">
        <v>331</v>
      </c>
      <c r="D4409" s="5">
        <v>44968</v>
      </c>
    </row>
    <row r="4410" spans="2:4">
      <c r="B4410" s="6" t="s">
        <v>426</v>
      </c>
      <c r="C4410" s="6" t="s">
        <v>389</v>
      </c>
      <c r="D4410" s="5">
        <v>44968</v>
      </c>
    </row>
    <row r="4411" spans="2:4">
      <c r="B4411" s="6" t="s">
        <v>153</v>
      </c>
      <c r="C4411" s="6" t="s">
        <v>391</v>
      </c>
      <c r="D4411" s="5">
        <v>44968</v>
      </c>
    </row>
    <row r="4412" spans="2:4">
      <c r="B4412" s="6" t="s">
        <v>173</v>
      </c>
      <c r="C4412" s="6" t="s">
        <v>128</v>
      </c>
      <c r="D4412" s="5">
        <v>44968</v>
      </c>
    </row>
    <row r="4413" spans="2:4">
      <c r="B4413" s="6" t="s">
        <v>81</v>
      </c>
      <c r="C4413" s="6" t="s">
        <v>91</v>
      </c>
      <c r="D4413" s="5">
        <v>44968</v>
      </c>
    </row>
    <row r="4414" spans="2:4">
      <c r="B4414" s="6" t="s">
        <v>615</v>
      </c>
      <c r="C4414" s="6" t="s">
        <v>603</v>
      </c>
      <c r="D4414" s="5">
        <v>44968</v>
      </c>
    </row>
    <row r="4415" spans="2:4">
      <c r="B4415" s="6" t="s">
        <v>607</v>
      </c>
      <c r="C4415" s="6" t="s">
        <v>388</v>
      </c>
      <c r="D4415" s="5">
        <v>44968</v>
      </c>
    </row>
    <row r="4416" spans="2:4">
      <c r="B4416" s="6" t="s">
        <v>206</v>
      </c>
      <c r="C4416" s="6" t="s">
        <v>190</v>
      </c>
      <c r="D4416" s="5">
        <v>44968</v>
      </c>
    </row>
    <row r="4417" spans="2:4">
      <c r="B4417" s="6" t="s">
        <v>132</v>
      </c>
      <c r="C4417" s="6" t="s">
        <v>157</v>
      </c>
      <c r="D4417" s="5">
        <v>44968</v>
      </c>
    </row>
    <row r="4418" spans="2:4">
      <c r="B4418" s="6" t="s">
        <v>77</v>
      </c>
      <c r="C4418" s="6" t="s">
        <v>72</v>
      </c>
      <c r="D4418" s="5">
        <v>44968</v>
      </c>
    </row>
    <row r="4419" spans="2:4">
      <c r="B4419" s="6" t="s">
        <v>433</v>
      </c>
      <c r="C4419" s="6" t="s">
        <v>168</v>
      </c>
      <c r="D4419" s="5">
        <v>44968</v>
      </c>
    </row>
    <row r="4420" spans="2:4">
      <c r="B4420" s="6" t="s">
        <v>159</v>
      </c>
      <c r="C4420" s="6" t="s">
        <v>375</v>
      </c>
      <c r="D4420" s="5">
        <v>44968</v>
      </c>
    </row>
    <row r="4421" spans="2:4">
      <c r="B4421" s="6" t="s">
        <v>424</v>
      </c>
      <c r="C4421" s="6" t="s">
        <v>381</v>
      </c>
      <c r="D4421" s="5">
        <v>44968</v>
      </c>
    </row>
    <row r="4422" spans="2:4">
      <c r="B4422" s="6" t="s">
        <v>404</v>
      </c>
      <c r="C4422" s="6" t="s">
        <v>165</v>
      </c>
      <c r="D4422" s="5">
        <v>44968</v>
      </c>
    </row>
    <row r="4423" spans="2:4">
      <c r="B4423" s="6" t="s">
        <v>599</v>
      </c>
      <c r="C4423" s="6" t="s">
        <v>207</v>
      </c>
      <c r="D4423" s="5">
        <v>44968</v>
      </c>
    </row>
    <row r="4424" spans="2:4">
      <c r="B4424" s="6" t="s">
        <v>586</v>
      </c>
      <c r="C4424" s="6" t="s">
        <v>420</v>
      </c>
      <c r="D4424" s="5">
        <v>44968</v>
      </c>
    </row>
    <row r="4425" spans="2:4">
      <c r="B4425" s="6" t="s">
        <v>423</v>
      </c>
      <c r="C4425" s="6" t="s">
        <v>141</v>
      </c>
      <c r="D4425" s="5">
        <v>44968</v>
      </c>
    </row>
    <row r="4426" spans="2:4">
      <c r="B4426" s="6" t="s">
        <v>804</v>
      </c>
      <c r="C4426" s="6" t="s">
        <v>71</v>
      </c>
      <c r="D4426" s="5">
        <v>44968</v>
      </c>
    </row>
    <row r="4427" spans="2:4">
      <c r="B4427" s="6" t="s">
        <v>428</v>
      </c>
      <c r="C4427" s="6" t="s">
        <v>621</v>
      </c>
      <c r="D4427" s="5">
        <v>44968</v>
      </c>
    </row>
    <row r="4428" spans="2:4">
      <c r="B4428" s="6" t="s">
        <v>144</v>
      </c>
      <c r="C4428" s="6" t="s">
        <v>145</v>
      </c>
      <c r="D4428" s="5">
        <v>44969</v>
      </c>
    </row>
    <row r="4429" spans="2:4">
      <c r="B4429" s="6" t="s">
        <v>204</v>
      </c>
      <c r="C4429" s="6" t="s">
        <v>285</v>
      </c>
      <c r="D4429" s="5">
        <v>44969</v>
      </c>
    </row>
    <row r="4430" spans="2:4">
      <c r="B4430" s="6" t="s">
        <v>211</v>
      </c>
      <c r="C4430" s="6" t="s">
        <v>216</v>
      </c>
      <c r="D4430" s="5">
        <v>44969</v>
      </c>
    </row>
    <row r="4431" spans="2:4">
      <c r="B4431" s="6" t="s">
        <v>63</v>
      </c>
      <c r="C4431" s="6" t="s">
        <v>61</v>
      </c>
      <c r="D4431" s="5">
        <v>44969</v>
      </c>
    </row>
    <row r="4432" spans="2:4">
      <c r="B4432" s="6" t="s">
        <v>777</v>
      </c>
      <c r="C4432" s="6" t="s">
        <v>761</v>
      </c>
      <c r="D4432" s="5">
        <v>44969</v>
      </c>
    </row>
    <row r="4433" spans="2:4">
      <c r="B4433" s="6" t="s">
        <v>256</v>
      </c>
      <c r="C4433" s="6" t="s">
        <v>172</v>
      </c>
      <c r="D4433" s="5">
        <v>44969</v>
      </c>
    </row>
    <row r="4434" spans="2:4">
      <c r="B4434" s="6" t="s">
        <v>296</v>
      </c>
      <c r="C4434" s="6" t="s">
        <v>412</v>
      </c>
      <c r="D4434" s="5">
        <v>44969</v>
      </c>
    </row>
    <row r="4435" spans="2:4">
      <c r="B4435" s="6" t="s">
        <v>397</v>
      </c>
      <c r="C4435" s="6" t="s">
        <v>418</v>
      </c>
      <c r="D4435" s="5">
        <v>44969</v>
      </c>
    </row>
    <row r="4436" spans="2:4">
      <c r="B4436" s="6" t="s">
        <v>213</v>
      </c>
      <c r="C4436" s="6" t="s">
        <v>320</v>
      </c>
      <c r="D4436" s="5">
        <v>44969</v>
      </c>
    </row>
    <row r="4437" spans="2:4">
      <c r="B4437" s="6" t="s">
        <v>130</v>
      </c>
      <c r="C4437" s="6" t="s">
        <v>361</v>
      </c>
      <c r="D4437" s="5">
        <v>44969</v>
      </c>
    </row>
    <row r="4438" spans="2:4">
      <c r="B4438" s="6" t="s">
        <v>230</v>
      </c>
      <c r="C4438" s="6" t="s">
        <v>244</v>
      </c>
      <c r="D4438" s="5">
        <v>44969</v>
      </c>
    </row>
    <row r="4439" spans="2:4">
      <c r="B4439" s="6" t="s">
        <v>112</v>
      </c>
      <c r="C4439" s="6" t="s">
        <v>233</v>
      </c>
      <c r="D4439" s="5">
        <v>44969</v>
      </c>
    </row>
    <row r="4440" spans="2:4">
      <c r="B4440" s="6" t="s">
        <v>68</v>
      </c>
      <c r="C4440" s="6" t="s">
        <v>58</v>
      </c>
      <c r="D4440" s="5">
        <v>44969</v>
      </c>
    </row>
    <row r="4441" spans="2:4">
      <c r="B4441" s="6" t="s">
        <v>267</v>
      </c>
      <c r="C4441" s="6" t="s">
        <v>103</v>
      </c>
      <c r="D4441" s="5">
        <v>44969</v>
      </c>
    </row>
    <row r="4442" spans="2:4">
      <c r="B4442" s="6" t="s">
        <v>352</v>
      </c>
      <c r="C4442" s="6" t="s">
        <v>341</v>
      </c>
      <c r="D4442" s="5">
        <v>44969</v>
      </c>
    </row>
    <row r="4443" spans="2:4">
      <c r="B4443" s="6" t="s">
        <v>303</v>
      </c>
      <c r="C4443" s="6" t="s">
        <v>314</v>
      </c>
      <c r="D4443" s="5">
        <v>44970</v>
      </c>
    </row>
    <row r="4444" spans="2:4">
      <c r="B4444" s="6" t="s">
        <v>332</v>
      </c>
      <c r="C4444" s="6" t="s">
        <v>308</v>
      </c>
      <c r="D4444" s="5">
        <v>44970</v>
      </c>
    </row>
    <row r="4445" spans="2:4">
      <c r="B4445" s="6" t="s">
        <v>251</v>
      </c>
      <c r="C4445" s="6" t="s">
        <v>48</v>
      </c>
      <c r="D4445" s="5">
        <v>44970</v>
      </c>
    </row>
    <row r="4446" spans="2:4">
      <c r="B4446" s="6" t="s">
        <v>113</v>
      </c>
      <c r="C4446" s="6" t="s">
        <v>360</v>
      </c>
      <c r="D4446" s="5">
        <v>44970</v>
      </c>
    </row>
    <row r="4447" spans="2:4">
      <c r="B4447" s="6" t="s">
        <v>115</v>
      </c>
      <c r="C4447" s="6" t="s">
        <v>268</v>
      </c>
      <c r="D4447" s="5">
        <v>44970</v>
      </c>
    </row>
    <row r="4448" spans="2:4">
      <c r="B4448" s="6" t="s">
        <v>413</v>
      </c>
      <c r="C4448" s="6" t="s">
        <v>123</v>
      </c>
      <c r="D4448" s="5">
        <v>44970</v>
      </c>
    </row>
    <row r="4449" spans="2:4">
      <c r="B4449" s="6" t="s">
        <v>178</v>
      </c>
      <c r="C4449" s="6" t="s">
        <v>146</v>
      </c>
      <c r="D4449" s="5">
        <v>44970</v>
      </c>
    </row>
    <row r="4450" spans="2:4">
      <c r="B4450" s="6" t="s">
        <v>118</v>
      </c>
      <c r="C4450" s="6" t="s">
        <v>99</v>
      </c>
      <c r="D4450" s="5">
        <v>44970</v>
      </c>
    </row>
    <row r="4451" spans="2:4">
      <c r="B4451" s="6" t="s">
        <v>432</v>
      </c>
      <c r="C4451" s="6" t="s">
        <v>272</v>
      </c>
      <c r="D4451" s="5">
        <v>44970</v>
      </c>
    </row>
    <row r="4452" spans="2:4">
      <c r="B4452" s="6" t="s">
        <v>238</v>
      </c>
      <c r="C4452" s="6" t="s">
        <v>276</v>
      </c>
      <c r="D4452" s="5">
        <v>44970</v>
      </c>
    </row>
    <row r="4453" spans="2:4">
      <c r="B4453" s="6" t="s">
        <v>96</v>
      </c>
      <c r="C4453" s="6" t="s">
        <v>335</v>
      </c>
      <c r="D4453" s="5">
        <v>44970</v>
      </c>
    </row>
    <row r="4454" spans="2:4">
      <c r="B4454" s="6" t="s">
        <v>232</v>
      </c>
      <c r="C4454" s="6" t="s">
        <v>364</v>
      </c>
      <c r="D4454" s="5">
        <v>44970</v>
      </c>
    </row>
    <row r="4455" spans="2:4">
      <c r="B4455" s="6" t="s">
        <v>170</v>
      </c>
      <c r="C4455" s="6" t="s">
        <v>156</v>
      </c>
      <c r="D4455" s="5">
        <v>44970</v>
      </c>
    </row>
    <row r="4456" spans="2:4">
      <c r="B4456" s="6" t="s">
        <v>277</v>
      </c>
      <c r="C4456" s="6" t="s">
        <v>116</v>
      </c>
      <c r="D4456" s="5">
        <v>44970</v>
      </c>
    </row>
    <row r="4457" spans="2:4">
      <c r="B4457" s="6" t="s">
        <v>310</v>
      </c>
      <c r="C4457" s="6" t="s">
        <v>264</v>
      </c>
      <c r="D4457" s="5">
        <v>44970</v>
      </c>
    </row>
    <row r="4458" spans="2:4">
      <c r="B4458" s="6" t="s">
        <v>306</v>
      </c>
      <c r="C4458" s="6" t="s">
        <v>122</v>
      </c>
      <c r="D4458" s="5">
        <v>44970</v>
      </c>
    </row>
    <row r="4459" spans="2:4">
      <c r="B4459" s="6" t="s">
        <v>382</v>
      </c>
      <c r="C4459" s="6" t="s">
        <v>399</v>
      </c>
      <c r="D4459" s="5">
        <v>44970</v>
      </c>
    </row>
    <row r="4460" spans="2:4">
      <c r="B4460" s="6" t="s">
        <v>28</v>
      </c>
      <c r="C4460" s="6" t="s">
        <v>32</v>
      </c>
      <c r="D4460" s="5">
        <v>44970</v>
      </c>
    </row>
    <row r="4461" spans="2:4">
      <c r="B4461" s="6" t="s">
        <v>27</v>
      </c>
      <c r="C4461" s="6" t="s">
        <v>30</v>
      </c>
      <c r="D4461" s="5">
        <v>44970</v>
      </c>
    </row>
    <row r="4462" spans="2:4">
      <c r="B4462" s="6" t="s">
        <v>181</v>
      </c>
      <c r="C4462" s="6" t="s">
        <v>249</v>
      </c>
      <c r="D4462" s="5">
        <v>44970</v>
      </c>
    </row>
    <row r="4463" spans="2:4">
      <c r="B4463" s="6" t="s">
        <v>129</v>
      </c>
      <c r="C4463" s="6" t="s">
        <v>179</v>
      </c>
      <c r="D4463" s="5">
        <v>44970</v>
      </c>
    </row>
    <row r="4464" spans="2:4">
      <c r="B4464" s="6" t="s">
        <v>40</v>
      </c>
      <c r="C4464" s="6" t="s">
        <v>38</v>
      </c>
      <c r="D4464" s="5">
        <v>44971</v>
      </c>
    </row>
    <row r="4465" spans="2:4">
      <c r="B4465" s="6" t="s">
        <v>155</v>
      </c>
      <c r="C4465" s="6" t="s">
        <v>302</v>
      </c>
      <c r="D4465" s="5">
        <v>44971</v>
      </c>
    </row>
    <row r="4466" spans="2:4">
      <c r="B4466" s="6" t="s">
        <v>36</v>
      </c>
      <c r="C4466" s="6" t="s">
        <v>41</v>
      </c>
      <c r="D4466" s="5">
        <v>44971</v>
      </c>
    </row>
    <row r="4467" spans="2:4">
      <c r="B4467" s="6" t="s">
        <v>90</v>
      </c>
      <c r="C4467" s="6" t="s">
        <v>185</v>
      </c>
      <c r="D4467" s="5">
        <v>44971</v>
      </c>
    </row>
    <row r="4468" spans="2:4">
      <c r="B4468" s="6" t="s">
        <v>44</v>
      </c>
      <c r="C4468" s="6" t="s">
        <v>46</v>
      </c>
      <c r="D4468" s="5">
        <v>44971</v>
      </c>
    </row>
    <row r="4469" spans="2:4">
      <c r="B4469" s="6" t="s">
        <v>83</v>
      </c>
      <c r="C4469" s="6" t="s">
        <v>87</v>
      </c>
      <c r="D4469" s="5">
        <v>44971</v>
      </c>
    </row>
    <row r="4470" spans="2:4">
      <c r="B4470" s="6" t="s">
        <v>781</v>
      </c>
      <c r="C4470" s="6" t="s">
        <v>60</v>
      </c>
      <c r="D4470" s="5">
        <v>44971</v>
      </c>
    </row>
    <row r="4471" spans="2:4">
      <c r="B4471" s="6" t="s">
        <v>139</v>
      </c>
      <c r="C4471" s="6" t="s">
        <v>241</v>
      </c>
      <c r="D4471" s="5">
        <v>44971</v>
      </c>
    </row>
    <row r="4472" spans="2:4">
      <c r="B4472" s="6" t="s">
        <v>47</v>
      </c>
      <c r="C4472" s="6" t="s">
        <v>770</v>
      </c>
      <c r="D4472" s="5">
        <v>44971</v>
      </c>
    </row>
    <row r="4473" spans="2:4">
      <c r="B4473" s="6" t="s">
        <v>300</v>
      </c>
      <c r="C4473" s="6" t="s">
        <v>350</v>
      </c>
      <c r="D4473" s="5">
        <v>44971</v>
      </c>
    </row>
    <row r="4474" spans="2:4">
      <c r="B4474" s="6" t="s">
        <v>247</v>
      </c>
      <c r="C4474" s="6" t="s">
        <v>105</v>
      </c>
      <c r="D4474" s="5">
        <v>44971</v>
      </c>
    </row>
    <row r="4475" spans="2:4">
      <c r="B4475" s="6" t="s">
        <v>140</v>
      </c>
      <c r="C4475" s="6" t="s">
        <v>209</v>
      </c>
      <c r="D4475" s="5">
        <v>44971</v>
      </c>
    </row>
    <row r="4476" spans="2:4">
      <c r="B4476" s="6" t="s">
        <v>109</v>
      </c>
      <c r="C4476" s="6" t="s">
        <v>400</v>
      </c>
      <c r="D4476" s="5">
        <v>44971</v>
      </c>
    </row>
    <row r="4477" spans="2:4">
      <c r="B4477" s="6" t="s">
        <v>288</v>
      </c>
      <c r="C4477" s="6" t="s">
        <v>362</v>
      </c>
      <c r="D4477" s="5">
        <v>44971</v>
      </c>
    </row>
    <row r="4478" spans="2:4">
      <c r="B4478" s="6" t="s">
        <v>127</v>
      </c>
      <c r="C4478" s="6" t="s">
        <v>203</v>
      </c>
      <c r="D4478" s="5">
        <v>44971</v>
      </c>
    </row>
    <row r="4479" spans="2:4">
      <c r="B4479" s="6" t="s">
        <v>414</v>
      </c>
      <c r="C4479" s="6" t="s">
        <v>180</v>
      </c>
      <c r="D4479" s="5">
        <v>44971</v>
      </c>
    </row>
    <row r="4480" spans="2:4">
      <c r="B4480" s="6" t="s">
        <v>35</v>
      </c>
      <c r="C4480" s="6" t="s">
        <v>42</v>
      </c>
      <c r="D4480" s="5">
        <v>44971</v>
      </c>
    </row>
    <row r="4481" spans="2:4">
      <c r="B4481" s="6" t="s">
        <v>64</v>
      </c>
      <c r="C4481" s="6" t="s">
        <v>67</v>
      </c>
      <c r="D4481" s="5">
        <v>44971</v>
      </c>
    </row>
    <row r="4482" spans="2:4">
      <c r="B4482" s="6" t="s">
        <v>89</v>
      </c>
      <c r="C4482" s="6" t="s">
        <v>81</v>
      </c>
      <c r="D4482" s="5">
        <v>44971</v>
      </c>
    </row>
    <row r="4483" spans="2:4">
      <c r="B4483" s="6" t="s">
        <v>778</v>
      </c>
      <c r="C4483" s="6" t="s">
        <v>26</v>
      </c>
      <c r="D4483" s="5">
        <v>44971</v>
      </c>
    </row>
    <row r="4484" spans="2:4">
      <c r="B4484" s="6" t="s">
        <v>65</v>
      </c>
      <c r="C4484" s="6" t="s">
        <v>59</v>
      </c>
      <c r="D4484" s="5">
        <v>44971</v>
      </c>
    </row>
    <row r="4485" spans="2:4">
      <c r="B4485" s="6" t="s">
        <v>29</v>
      </c>
      <c r="C4485" s="6" t="s">
        <v>750</v>
      </c>
      <c r="D4485" s="5">
        <v>44971</v>
      </c>
    </row>
    <row r="4486" spans="2:4">
      <c r="B4486" s="6" t="s">
        <v>49</v>
      </c>
      <c r="C4486" s="6" t="s">
        <v>54</v>
      </c>
      <c r="D4486" s="5">
        <v>44971</v>
      </c>
    </row>
    <row r="4487" spans="2:4">
      <c r="B4487" s="6" t="s">
        <v>168</v>
      </c>
      <c r="C4487" s="6" t="s">
        <v>198</v>
      </c>
      <c r="D4487" s="5">
        <v>44971</v>
      </c>
    </row>
    <row r="4488" spans="2:4">
      <c r="B4488" s="6" t="s">
        <v>189</v>
      </c>
      <c r="C4488" s="6" t="s">
        <v>152</v>
      </c>
      <c r="D4488" s="5">
        <v>44971</v>
      </c>
    </row>
    <row r="4489" spans="2:4">
      <c r="B4489" s="6" t="s">
        <v>163</v>
      </c>
      <c r="C4489" s="6" t="s">
        <v>433</v>
      </c>
      <c r="D4489" s="5">
        <v>44971</v>
      </c>
    </row>
    <row r="4490" spans="2:4">
      <c r="B4490" s="6" t="s">
        <v>131</v>
      </c>
      <c r="C4490" s="6" t="s">
        <v>278</v>
      </c>
      <c r="D4490" s="5">
        <v>44972</v>
      </c>
    </row>
    <row r="4491" spans="2:4">
      <c r="B4491" s="6" t="s">
        <v>386</v>
      </c>
      <c r="C4491" s="6" t="s">
        <v>162</v>
      </c>
      <c r="D4491" s="5">
        <v>44972</v>
      </c>
    </row>
    <row r="4492" spans="2:4">
      <c r="B4492" s="6" t="s">
        <v>79</v>
      </c>
      <c r="C4492" s="6" t="s">
        <v>762</v>
      </c>
      <c r="D4492" s="5">
        <v>44972</v>
      </c>
    </row>
    <row r="4493" spans="2:4">
      <c r="B4493" s="6" t="s">
        <v>86</v>
      </c>
      <c r="C4493" s="6" t="s">
        <v>82</v>
      </c>
      <c r="D4493" s="5">
        <v>44972</v>
      </c>
    </row>
    <row r="4494" spans="2:4">
      <c r="B4494" s="6" t="s">
        <v>43</v>
      </c>
      <c r="C4494" s="6" t="s">
        <v>188</v>
      </c>
      <c r="D4494" s="5">
        <v>44972</v>
      </c>
    </row>
    <row r="4495" spans="2:4">
      <c r="B4495" s="6" t="s">
        <v>275</v>
      </c>
      <c r="C4495" s="6" t="s">
        <v>187</v>
      </c>
      <c r="D4495" s="5">
        <v>44972</v>
      </c>
    </row>
    <row r="4496" spans="2:4">
      <c r="B4496" s="6" t="s">
        <v>580</v>
      </c>
      <c r="C4496" s="6" t="s">
        <v>137</v>
      </c>
      <c r="D4496" s="5">
        <v>44972</v>
      </c>
    </row>
    <row r="4497" spans="2:4">
      <c r="B4497" s="6" t="s">
        <v>176</v>
      </c>
      <c r="C4497" s="6" t="s">
        <v>148</v>
      </c>
      <c r="D4497" s="5">
        <v>44972</v>
      </c>
    </row>
    <row r="4498" spans="2:4">
      <c r="B4498" s="6" t="s">
        <v>50</v>
      </c>
      <c r="C4498" s="6" t="s">
        <v>52</v>
      </c>
      <c r="D4498" s="5">
        <v>44972</v>
      </c>
    </row>
    <row r="4499" spans="2:4">
      <c r="B4499" s="6" t="s">
        <v>51</v>
      </c>
      <c r="C4499" s="6" t="s">
        <v>737</v>
      </c>
      <c r="D4499" s="5">
        <v>44972</v>
      </c>
    </row>
    <row r="4500" spans="2:4">
      <c r="B4500" s="6" t="s">
        <v>126</v>
      </c>
      <c r="C4500" s="6" t="s">
        <v>177</v>
      </c>
      <c r="D4500" s="5">
        <v>44972</v>
      </c>
    </row>
    <row r="4501" spans="2:4">
      <c r="B4501" s="6" t="s">
        <v>205</v>
      </c>
      <c r="C4501" s="6" t="s">
        <v>253</v>
      </c>
      <c r="D4501" s="5">
        <v>44972</v>
      </c>
    </row>
    <row r="4502" spans="2:4">
      <c r="B4502" s="6" t="s">
        <v>106</v>
      </c>
      <c r="C4502" s="6" t="s">
        <v>269</v>
      </c>
      <c r="D4502" s="5">
        <v>44972</v>
      </c>
    </row>
    <row r="4503" spans="2:4">
      <c r="B4503" s="6" t="s">
        <v>215</v>
      </c>
      <c r="C4503" s="6" t="s">
        <v>301</v>
      </c>
      <c r="D4503" s="5">
        <v>44972</v>
      </c>
    </row>
    <row r="4504" spans="2:4">
      <c r="B4504" s="6" t="s">
        <v>114</v>
      </c>
      <c r="C4504" s="6" t="s">
        <v>220</v>
      </c>
      <c r="D4504" s="5">
        <v>44972</v>
      </c>
    </row>
    <row r="4505" spans="2:4">
      <c r="B4505" s="6" t="s">
        <v>37</v>
      </c>
      <c r="C4505" s="6" t="s">
        <v>39</v>
      </c>
      <c r="D4505" s="5">
        <v>44972</v>
      </c>
    </row>
    <row r="4506" spans="2:4">
      <c r="B4506" s="6" t="s">
        <v>761</v>
      </c>
      <c r="C4506" s="6" t="s">
        <v>63</v>
      </c>
      <c r="D4506" s="5">
        <v>44972</v>
      </c>
    </row>
    <row r="4507" spans="2:4">
      <c r="B4507" s="6" t="s">
        <v>124</v>
      </c>
      <c r="C4507" s="6" t="s">
        <v>121</v>
      </c>
      <c r="D4507" s="5">
        <v>44972</v>
      </c>
    </row>
    <row r="4508" spans="2:4">
      <c r="B4508" s="6" t="s">
        <v>349</v>
      </c>
      <c r="C4508" s="6" t="s">
        <v>252</v>
      </c>
      <c r="D4508" s="5">
        <v>44972</v>
      </c>
    </row>
    <row r="4509" spans="2:4">
      <c r="B4509" s="6" t="s">
        <v>284</v>
      </c>
      <c r="C4509" s="6" t="s">
        <v>334</v>
      </c>
      <c r="D4509" s="5">
        <v>44972</v>
      </c>
    </row>
    <row r="4510" spans="2:4">
      <c r="B4510" s="6" t="s">
        <v>210</v>
      </c>
      <c r="C4510" s="6" t="s">
        <v>200</v>
      </c>
      <c r="D4510" s="5">
        <v>44972</v>
      </c>
    </row>
    <row r="4511" spans="2:4">
      <c r="B4511" s="6" t="s">
        <v>337</v>
      </c>
      <c r="C4511" s="6" t="s">
        <v>281</v>
      </c>
      <c r="D4511" s="5">
        <v>44972</v>
      </c>
    </row>
    <row r="4512" spans="2:4">
      <c r="B4512" s="6" t="s">
        <v>202</v>
      </c>
      <c r="C4512" s="6" t="s">
        <v>297</v>
      </c>
      <c r="D4512" s="5">
        <v>44972</v>
      </c>
    </row>
    <row r="4513" spans="2:4">
      <c r="B4513" s="6" t="s">
        <v>273</v>
      </c>
      <c r="C4513" s="6" t="s">
        <v>395</v>
      </c>
      <c r="D4513" s="5">
        <v>44972</v>
      </c>
    </row>
    <row r="4514" spans="2:4">
      <c r="B4514" s="6" t="s">
        <v>192</v>
      </c>
      <c r="C4514" s="6" t="s">
        <v>110</v>
      </c>
      <c r="D4514" s="5">
        <v>44972</v>
      </c>
    </row>
    <row r="4515" spans="2:4">
      <c r="B4515" s="6" t="s">
        <v>425</v>
      </c>
      <c r="C4515" s="6" t="s">
        <v>191</v>
      </c>
      <c r="D4515" s="5">
        <v>44972</v>
      </c>
    </row>
    <row r="4516" spans="2:4">
      <c r="B4516" s="6" t="s">
        <v>298</v>
      </c>
      <c r="C4516" s="6" t="s">
        <v>270</v>
      </c>
      <c r="D4516" s="5">
        <v>44972</v>
      </c>
    </row>
    <row r="4517" spans="2:4">
      <c r="B4517" s="6" t="s">
        <v>261</v>
      </c>
      <c r="C4517" s="6" t="s">
        <v>104</v>
      </c>
      <c r="D4517" s="5">
        <v>44972</v>
      </c>
    </row>
    <row r="4518" spans="2:4">
      <c r="B4518" s="6" t="s">
        <v>282</v>
      </c>
      <c r="C4518" s="6" t="s">
        <v>111</v>
      </c>
      <c r="D4518" s="5">
        <v>44972</v>
      </c>
    </row>
    <row r="4519" spans="2:4">
      <c r="B4519" s="6" t="s">
        <v>287</v>
      </c>
      <c r="C4519" s="6" t="s">
        <v>436</v>
      </c>
      <c r="D4519" s="5">
        <v>44972</v>
      </c>
    </row>
    <row r="4520" spans="2:4">
      <c r="B4520" s="6" t="s">
        <v>103</v>
      </c>
      <c r="C4520" s="6" t="s">
        <v>171</v>
      </c>
      <c r="D4520" s="5">
        <v>44972</v>
      </c>
    </row>
    <row r="4521" spans="2:4">
      <c r="B4521" s="6" t="s">
        <v>101</v>
      </c>
      <c r="C4521" s="6" t="s">
        <v>172</v>
      </c>
      <c r="D4521" s="5">
        <v>44972</v>
      </c>
    </row>
    <row r="4522" spans="2:4">
      <c r="B4522" s="6" t="s">
        <v>142</v>
      </c>
      <c r="C4522" s="6" t="s">
        <v>292</v>
      </c>
      <c r="D4522" s="5">
        <v>44972</v>
      </c>
    </row>
    <row r="4523" spans="2:4">
      <c r="B4523" s="6" t="s">
        <v>186</v>
      </c>
      <c r="C4523" s="6" t="s">
        <v>213</v>
      </c>
      <c r="D4523" s="5">
        <v>44972</v>
      </c>
    </row>
    <row r="4524" spans="2:4">
      <c r="B4524" s="6" t="s">
        <v>415</v>
      </c>
      <c r="C4524" s="6" t="s">
        <v>323</v>
      </c>
      <c r="D4524" s="5">
        <v>44972</v>
      </c>
    </row>
    <row r="4525" spans="2:4">
      <c r="B4525" s="6" t="s">
        <v>102</v>
      </c>
      <c r="C4525" s="6" t="s">
        <v>267</v>
      </c>
      <c r="D4525" s="5">
        <v>44972</v>
      </c>
    </row>
    <row r="4526" spans="2:4">
      <c r="B4526" s="6" t="s">
        <v>95</v>
      </c>
      <c r="C4526" s="6" t="s">
        <v>231</v>
      </c>
      <c r="D4526" s="5">
        <v>44972</v>
      </c>
    </row>
    <row r="4527" spans="2:4">
      <c r="B4527" s="6" t="s">
        <v>280</v>
      </c>
      <c r="C4527" s="6" t="s">
        <v>325</v>
      </c>
      <c r="D4527" s="5">
        <v>44972</v>
      </c>
    </row>
    <row r="4528" spans="2:4">
      <c r="B4528" s="6" t="s">
        <v>326</v>
      </c>
      <c r="C4528" s="6" t="s">
        <v>312</v>
      </c>
      <c r="D4528" s="5">
        <v>44972</v>
      </c>
    </row>
    <row r="4529" spans="2:4">
      <c r="B4529" s="6" t="s">
        <v>119</v>
      </c>
      <c r="C4529" s="6" t="s">
        <v>320</v>
      </c>
      <c r="D4529" s="5">
        <v>44972</v>
      </c>
    </row>
    <row r="4530" spans="2:4">
      <c r="B4530" s="6" t="s">
        <v>763</v>
      </c>
      <c r="C4530" s="6" t="s">
        <v>80</v>
      </c>
      <c r="D4530" s="5">
        <v>44972</v>
      </c>
    </row>
    <row r="4531" spans="2:4">
      <c r="B4531" s="6" t="s">
        <v>91</v>
      </c>
      <c r="C4531" s="6" t="s">
        <v>84</v>
      </c>
      <c r="D4531" s="5">
        <v>44972</v>
      </c>
    </row>
    <row r="4532" spans="2:4">
      <c r="B4532" s="6" t="s">
        <v>68</v>
      </c>
      <c r="C4532" s="6" t="s">
        <v>62</v>
      </c>
      <c r="D4532" s="5">
        <v>44972</v>
      </c>
    </row>
    <row r="4533" spans="2:4">
      <c r="B4533" s="6" t="s">
        <v>747</v>
      </c>
      <c r="C4533" s="6" t="s">
        <v>34</v>
      </c>
      <c r="D4533" s="5">
        <v>44972</v>
      </c>
    </row>
    <row r="4534" spans="2:4">
      <c r="B4534" s="6" t="s">
        <v>318</v>
      </c>
      <c r="C4534" s="6" t="s">
        <v>363</v>
      </c>
      <c r="D4534" s="5">
        <v>44972</v>
      </c>
    </row>
    <row r="4535" spans="2:4">
      <c r="B4535" s="6" t="s">
        <v>133</v>
      </c>
      <c r="C4535" s="6" t="s">
        <v>199</v>
      </c>
      <c r="D4535" s="5">
        <v>44972</v>
      </c>
    </row>
    <row r="4536" spans="2:4">
      <c r="B4536" s="6" t="s">
        <v>375</v>
      </c>
      <c r="C4536" s="6" t="s">
        <v>345</v>
      </c>
      <c r="D4536" s="5">
        <v>44972</v>
      </c>
    </row>
    <row r="4537" spans="2:4">
      <c r="B4537" s="6" t="s">
        <v>381</v>
      </c>
      <c r="C4537" s="6" t="s">
        <v>344</v>
      </c>
      <c r="D4537" s="5">
        <v>44972</v>
      </c>
    </row>
    <row r="4538" spans="2:4">
      <c r="B4538" s="6" t="s">
        <v>141</v>
      </c>
      <c r="C4538" s="6" t="s">
        <v>599</v>
      </c>
      <c r="D4538" s="5">
        <v>44972</v>
      </c>
    </row>
    <row r="4539" spans="2:4">
      <c r="B4539" s="6" t="s">
        <v>159</v>
      </c>
      <c r="C4539" s="6" t="s">
        <v>424</v>
      </c>
      <c r="D4539" s="5">
        <v>44972</v>
      </c>
    </row>
    <row r="4540" spans="2:4">
      <c r="B4540" s="6" t="s">
        <v>154</v>
      </c>
      <c r="C4540" s="6" t="s">
        <v>420</v>
      </c>
      <c r="D4540" s="5">
        <v>44972</v>
      </c>
    </row>
    <row r="4541" spans="2:4">
      <c r="B4541" s="6" t="s">
        <v>207</v>
      </c>
      <c r="C4541" s="6" t="s">
        <v>586</v>
      </c>
      <c r="D4541" s="5">
        <v>44972</v>
      </c>
    </row>
    <row r="4542" spans="2:4">
      <c r="B4542" s="6" t="s">
        <v>236</v>
      </c>
      <c r="C4542" s="6" t="s">
        <v>621</v>
      </c>
      <c r="D4542" s="5">
        <v>44972</v>
      </c>
    </row>
    <row r="4543" spans="2:4">
      <c r="B4543" s="6" t="s">
        <v>423</v>
      </c>
      <c r="C4543" s="6" t="s">
        <v>167</v>
      </c>
      <c r="D4543" s="5">
        <v>44972</v>
      </c>
    </row>
    <row r="4544" spans="2:4">
      <c r="B4544" s="6" t="s">
        <v>394</v>
      </c>
      <c r="C4544" s="6" t="s">
        <v>392</v>
      </c>
      <c r="D4544" s="5">
        <v>44972</v>
      </c>
    </row>
    <row r="4545" spans="2:4">
      <c r="B4545" s="6" t="s">
        <v>71</v>
      </c>
      <c r="C4545" s="6" t="s">
        <v>69</v>
      </c>
      <c r="D4545" s="5">
        <v>44972</v>
      </c>
    </row>
    <row r="4546" spans="2:4">
      <c r="B4546" s="6" t="s">
        <v>74</v>
      </c>
      <c r="C4546" s="6" t="s">
        <v>164</v>
      </c>
      <c r="D4546" s="5">
        <v>44973</v>
      </c>
    </row>
    <row r="4547" spans="2:4">
      <c r="B4547" s="6" t="s">
        <v>427</v>
      </c>
      <c r="C4547" s="6" t="s">
        <v>404</v>
      </c>
      <c r="D4547" s="5">
        <v>44973</v>
      </c>
    </row>
    <row r="4548" spans="2:4">
      <c r="B4548" s="6" t="s">
        <v>587</v>
      </c>
      <c r="C4548" s="6" t="s">
        <v>338</v>
      </c>
      <c r="D4548" s="5">
        <v>44973</v>
      </c>
    </row>
    <row r="4549" spans="2:4">
      <c r="B4549" s="6" t="s">
        <v>56</v>
      </c>
      <c r="C4549" s="6" t="s">
        <v>58</v>
      </c>
      <c r="D4549" s="5">
        <v>44973</v>
      </c>
    </row>
    <row r="4550" spans="2:4">
      <c r="B4550" s="6" t="s">
        <v>286</v>
      </c>
      <c r="C4550" s="6" t="s">
        <v>150</v>
      </c>
      <c r="D4550" s="5">
        <v>44973</v>
      </c>
    </row>
    <row r="4551" spans="2:4">
      <c r="B4551" s="6" t="s">
        <v>341</v>
      </c>
      <c r="C4551" s="6" t="s">
        <v>212</v>
      </c>
      <c r="D4551" s="5">
        <v>44973</v>
      </c>
    </row>
    <row r="4552" spans="2:4">
      <c r="B4552" s="6" t="s">
        <v>122</v>
      </c>
      <c r="C4552" s="6" t="s">
        <v>175</v>
      </c>
      <c r="D4552" s="5">
        <v>44973</v>
      </c>
    </row>
    <row r="4553" spans="2:4">
      <c r="B4553" s="6" t="s">
        <v>145</v>
      </c>
      <c r="C4553" s="6" t="s">
        <v>352</v>
      </c>
      <c r="D4553" s="5">
        <v>44973</v>
      </c>
    </row>
    <row r="4554" spans="2:4">
      <c r="B4554" s="6" t="s">
        <v>373</v>
      </c>
      <c r="C4554" s="6" t="s">
        <v>135</v>
      </c>
      <c r="D4554" s="5">
        <v>44973</v>
      </c>
    </row>
    <row r="4555" spans="2:4">
      <c r="B4555" s="6" t="s">
        <v>242</v>
      </c>
      <c r="C4555" s="6" t="s">
        <v>421</v>
      </c>
      <c r="D4555" s="5">
        <v>44973</v>
      </c>
    </row>
    <row r="4556" spans="2:4">
      <c r="B4556" s="6" t="s">
        <v>182</v>
      </c>
      <c r="C4556" s="6" t="s">
        <v>313</v>
      </c>
      <c r="D4556" s="5">
        <v>44973</v>
      </c>
    </row>
    <row r="4557" spans="2:4">
      <c r="B4557" s="6" t="s">
        <v>590</v>
      </c>
      <c r="C4557" s="6" t="s">
        <v>405</v>
      </c>
      <c r="D4557" s="5">
        <v>44973</v>
      </c>
    </row>
    <row r="4558" spans="2:4">
      <c r="B4558" s="6" t="s">
        <v>336</v>
      </c>
      <c r="C4558" s="6" t="s">
        <v>410</v>
      </c>
      <c r="D4558" s="5">
        <v>44973</v>
      </c>
    </row>
    <row r="4559" spans="2:4">
      <c r="B4559" s="6" t="s">
        <v>246</v>
      </c>
      <c r="C4559" s="6" t="s">
        <v>98</v>
      </c>
      <c r="D4559" s="5">
        <v>44973</v>
      </c>
    </row>
    <row r="4560" spans="2:4">
      <c r="B4560" s="6" t="s">
        <v>409</v>
      </c>
      <c r="C4560" s="6" t="s">
        <v>136</v>
      </c>
      <c r="D4560" s="5">
        <v>44973</v>
      </c>
    </row>
    <row r="4561" spans="2:4">
      <c r="B4561" s="6" t="s">
        <v>193</v>
      </c>
      <c r="C4561" s="6" t="s">
        <v>289</v>
      </c>
      <c r="D4561" s="5">
        <v>44973</v>
      </c>
    </row>
    <row r="4562" spans="2:4">
      <c r="B4562" s="6" t="s">
        <v>294</v>
      </c>
      <c r="C4562" s="6" t="s">
        <v>259</v>
      </c>
      <c r="D4562" s="5">
        <v>44973</v>
      </c>
    </row>
    <row r="4563" spans="2:4">
      <c r="B4563" s="6" t="s">
        <v>305</v>
      </c>
      <c r="C4563" s="6" t="s">
        <v>309</v>
      </c>
      <c r="D4563" s="5">
        <v>44973</v>
      </c>
    </row>
    <row r="4564" spans="2:4">
      <c r="B4564" s="6" t="s">
        <v>418</v>
      </c>
      <c r="C4564" s="6" t="s">
        <v>358</v>
      </c>
      <c r="D4564" s="5">
        <v>44973</v>
      </c>
    </row>
    <row r="4565" spans="2:4">
      <c r="B4565" s="6" t="s">
        <v>412</v>
      </c>
      <c r="C4565" s="6" t="s">
        <v>324</v>
      </c>
      <c r="D4565" s="5">
        <v>44973</v>
      </c>
    </row>
    <row r="4566" spans="2:4">
      <c r="B4566" s="6" t="s">
        <v>146</v>
      </c>
      <c r="C4566" s="6" t="s">
        <v>327</v>
      </c>
      <c r="D4566" s="5">
        <v>44973</v>
      </c>
    </row>
    <row r="4567" spans="2:4">
      <c r="B4567" s="6" t="s">
        <v>129</v>
      </c>
      <c r="C4567" s="6" t="s">
        <v>432</v>
      </c>
      <c r="D4567" s="5">
        <v>44973</v>
      </c>
    </row>
    <row r="4568" spans="2:4">
      <c r="B4568" s="6" t="s">
        <v>99</v>
      </c>
      <c r="C4568" s="6" t="s">
        <v>413</v>
      </c>
      <c r="D4568" s="5">
        <v>44973</v>
      </c>
    </row>
    <row r="4569" spans="2:4">
      <c r="B4569" s="6" t="s">
        <v>178</v>
      </c>
      <c r="C4569" s="6" t="s">
        <v>179</v>
      </c>
      <c r="D4569" s="5">
        <v>44973</v>
      </c>
    </row>
    <row r="4570" spans="2:4">
      <c r="B4570" s="6" t="s">
        <v>123</v>
      </c>
      <c r="C4570" s="6" t="s">
        <v>118</v>
      </c>
      <c r="D4570" s="5">
        <v>44973</v>
      </c>
    </row>
    <row r="4571" spans="2:4">
      <c r="B4571" s="6" t="s">
        <v>272</v>
      </c>
      <c r="C4571" s="6" t="s">
        <v>115</v>
      </c>
      <c r="D4571" s="5">
        <v>44973</v>
      </c>
    </row>
    <row r="4572" spans="2:4">
      <c r="B4572" s="6" t="s">
        <v>356</v>
      </c>
      <c r="C4572" s="6" t="s">
        <v>201</v>
      </c>
      <c r="D4572" s="5">
        <v>44973</v>
      </c>
    </row>
    <row r="4573" spans="2:4">
      <c r="B4573" s="6" t="s">
        <v>353</v>
      </c>
      <c r="C4573" s="6" t="s">
        <v>610</v>
      </c>
      <c r="D4573" s="5">
        <v>44973</v>
      </c>
    </row>
    <row r="4574" spans="2:4">
      <c r="B4574" s="6" t="s">
        <v>290</v>
      </c>
      <c r="C4574" s="6" t="s">
        <v>388</v>
      </c>
      <c r="D4574" s="5">
        <v>44973</v>
      </c>
    </row>
    <row r="4575" spans="2:4">
      <c r="B4575" s="6" t="s">
        <v>248</v>
      </c>
      <c r="C4575" s="6" t="s">
        <v>173</v>
      </c>
      <c r="D4575" s="5">
        <v>44973</v>
      </c>
    </row>
    <row r="4576" spans="2:4">
      <c r="B4576" s="6" t="s">
        <v>255</v>
      </c>
      <c r="C4576" s="6" t="s">
        <v>355</v>
      </c>
      <c r="D4576" s="5">
        <v>44973</v>
      </c>
    </row>
    <row r="4577" spans="2:4">
      <c r="B4577" s="6" t="s">
        <v>144</v>
      </c>
      <c r="C4577" s="6" t="s">
        <v>411</v>
      </c>
      <c r="D4577" s="5">
        <v>44973</v>
      </c>
    </row>
    <row r="4578" spans="2:4">
      <c r="B4578" s="6" t="s">
        <v>719</v>
      </c>
      <c r="C4578" s="6" t="s">
        <v>72</v>
      </c>
      <c r="D4578" s="5">
        <v>44973</v>
      </c>
    </row>
    <row r="4579" spans="2:4">
      <c r="B4579" s="6" t="s">
        <v>143</v>
      </c>
      <c r="C4579" s="6" t="s">
        <v>368</v>
      </c>
      <c r="D4579" s="5">
        <v>44973</v>
      </c>
    </row>
    <row r="4580" spans="2:4">
      <c r="B4580" s="6" t="s">
        <v>319</v>
      </c>
      <c r="C4580" s="6" t="s">
        <v>640</v>
      </c>
      <c r="D4580" s="5">
        <v>44973</v>
      </c>
    </row>
    <row r="4581" spans="2:4">
      <c r="B4581" s="6" t="s">
        <v>94</v>
      </c>
      <c r="C4581" s="6" t="s">
        <v>584</v>
      </c>
      <c r="D4581" s="5">
        <v>44973</v>
      </c>
    </row>
    <row r="4582" spans="2:4">
      <c r="B4582" s="6" t="s">
        <v>306</v>
      </c>
      <c r="C4582" s="6" t="s">
        <v>316</v>
      </c>
      <c r="D4582" s="5">
        <v>44973</v>
      </c>
    </row>
    <row r="4583" spans="2:4">
      <c r="B4583" s="6" t="s">
        <v>365</v>
      </c>
      <c r="C4583" s="6" t="s">
        <v>333</v>
      </c>
      <c r="D4583" s="5">
        <v>44973</v>
      </c>
    </row>
    <row r="4584" spans="2:4">
      <c r="B4584" s="6" t="s">
        <v>184</v>
      </c>
      <c r="C4584" s="6" t="s">
        <v>196</v>
      </c>
      <c r="D4584" s="5">
        <v>44973</v>
      </c>
    </row>
    <row r="4585" spans="2:4">
      <c r="B4585" s="6" t="s">
        <v>331</v>
      </c>
      <c r="C4585" s="6" t="s">
        <v>359</v>
      </c>
      <c r="D4585" s="5">
        <v>44973</v>
      </c>
    </row>
    <row r="4586" spans="2:4">
      <c r="B4586" s="6" t="s">
        <v>357</v>
      </c>
      <c r="C4586" s="6" t="s">
        <v>208</v>
      </c>
      <c r="D4586" s="5">
        <v>44973</v>
      </c>
    </row>
    <row r="4587" spans="2:4">
      <c r="B4587" s="6" t="s">
        <v>321</v>
      </c>
      <c r="C4587" s="6" t="s">
        <v>329</v>
      </c>
      <c r="D4587" s="5">
        <v>44973</v>
      </c>
    </row>
    <row r="4588" spans="2:4">
      <c r="B4588" s="6" t="s">
        <v>147</v>
      </c>
      <c r="C4588" s="6" t="s">
        <v>120</v>
      </c>
      <c r="D4588" s="5">
        <v>44973</v>
      </c>
    </row>
    <row r="4589" spans="2:4">
      <c r="B4589" s="6" t="s">
        <v>128</v>
      </c>
      <c r="C4589" s="6" t="s">
        <v>354</v>
      </c>
      <c r="D4589" s="5">
        <v>44973</v>
      </c>
    </row>
    <row r="4590" spans="2:4">
      <c r="B4590" s="6" t="s">
        <v>342</v>
      </c>
      <c r="C4590" s="6" t="s">
        <v>295</v>
      </c>
      <c r="D4590" s="5">
        <v>44973</v>
      </c>
    </row>
    <row r="4591" spans="2:4">
      <c r="B4591" s="6" t="s">
        <v>367</v>
      </c>
      <c r="C4591" s="6" t="s">
        <v>194</v>
      </c>
      <c r="D4591" s="5">
        <v>44973</v>
      </c>
    </row>
    <row r="4592" spans="2:4">
      <c r="B4592" s="6" t="s">
        <v>240</v>
      </c>
      <c r="C4592" s="6" t="s">
        <v>615</v>
      </c>
      <c r="D4592" s="5">
        <v>44973</v>
      </c>
    </row>
    <row r="4593" spans="2:4">
      <c r="B4593" s="6" t="s">
        <v>304</v>
      </c>
      <c r="C4593" s="6" t="s">
        <v>603</v>
      </c>
      <c r="D4593" s="5">
        <v>44973</v>
      </c>
    </row>
    <row r="4594" spans="2:4">
      <c r="B4594" s="6" t="s">
        <v>376</v>
      </c>
      <c r="C4594" s="6" t="s">
        <v>195</v>
      </c>
      <c r="D4594" s="5">
        <v>44973</v>
      </c>
    </row>
    <row r="4595" spans="2:4">
      <c r="B4595" s="6" t="s">
        <v>588</v>
      </c>
      <c r="C4595" s="6" t="s">
        <v>134</v>
      </c>
      <c r="D4595" s="5">
        <v>44973</v>
      </c>
    </row>
    <row r="4596" spans="2:4">
      <c r="B4596" s="6" t="s">
        <v>343</v>
      </c>
      <c r="C4596" s="6" t="s">
        <v>183</v>
      </c>
      <c r="D4596" s="5">
        <v>44973</v>
      </c>
    </row>
    <row r="4597" spans="2:4">
      <c r="B4597" s="6" t="s">
        <v>61</v>
      </c>
      <c r="C4597" s="6" t="s">
        <v>777</v>
      </c>
      <c r="D4597" s="5">
        <v>44973</v>
      </c>
    </row>
    <row r="4598" spans="2:4">
      <c r="B4598" s="6" t="s">
        <v>157</v>
      </c>
      <c r="C4598" s="6" t="s">
        <v>160</v>
      </c>
      <c r="D4598" s="5">
        <v>44973</v>
      </c>
    </row>
    <row r="4599" spans="2:4">
      <c r="B4599" s="6" t="s">
        <v>151</v>
      </c>
      <c r="C4599" s="6" t="s">
        <v>385</v>
      </c>
      <c r="D4599" s="5">
        <v>44973</v>
      </c>
    </row>
    <row r="4600" spans="2:4">
      <c r="B4600" s="6" t="s">
        <v>250</v>
      </c>
      <c r="C4600" s="6" t="s">
        <v>370</v>
      </c>
      <c r="D4600" s="5">
        <v>44973</v>
      </c>
    </row>
    <row r="4601" spans="2:4">
      <c r="B4601" s="6" t="s">
        <v>158</v>
      </c>
      <c r="C4601" s="6" t="s">
        <v>426</v>
      </c>
      <c r="D4601" s="5">
        <v>44973</v>
      </c>
    </row>
    <row r="4602" spans="2:4">
      <c r="B4602" s="6" t="s">
        <v>393</v>
      </c>
      <c r="C4602" s="6" t="s">
        <v>403</v>
      </c>
      <c r="D4602" s="5">
        <v>44973</v>
      </c>
    </row>
    <row r="4603" spans="2:4">
      <c r="B4603" s="6" t="s">
        <v>70</v>
      </c>
      <c r="C4603" s="6" t="s">
        <v>77</v>
      </c>
      <c r="D4603" s="5">
        <v>44973</v>
      </c>
    </row>
    <row r="4604" spans="2:4">
      <c r="B4604" s="6" t="s">
        <v>166</v>
      </c>
      <c r="C4604" s="6" t="s">
        <v>398</v>
      </c>
      <c r="D4604" s="5">
        <v>44973</v>
      </c>
    </row>
    <row r="4605" spans="2:4">
      <c r="B4605" s="6" t="s">
        <v>389</v>
      </c>
      <c r="C4605" s="6" t="s">
        <v>206</v>
      </c>
      <c r="D4605" s="5">
        <v>44973</v>
      </c>
    </row>
    <row r="4606" spans="2:4">
      <c r="B4606" s="6" t="s">
        <v>402</v>
      </c>
      <c r="C4606" s="6" t="s">
        <v>153</v>
      </c>
      <c r="D4606" s="5">
        <v>44973</v>
      </c>
    </row>
    <row r="4607" spans="2:4">
      <c r="B4607" s="6" t="s">
        <v>396</v>
      </c>
      <c r="C4607" s="6" t="s">
        <v>132</v>
      </c>
      <c r="D4607" s="5">
        <v>44973</v>
      </c>
    </row>
    <row r="4608" spans="2:4">
      <c r="B4608" s="6" t="s">
        <v>75</v>
      </c>
      <c r="C4608" s="6" t="s">
        <v>93</v>
      </c>
      <c r="D4608" s="5">
        <v>44973</v>
      </c>
    </row>
    <row r="4609" spans="2:4">
      <c r="B4609" s="6" t="s">
        <v>804</v>
      </c>
      <c r="C4609" s="6" t="s">
        <v>779</v>
      </c>
      <c r="D4609" s="5">
        <v>44973</v>
      </c>
    </row>
    <row r="4610" spans="2:4">
      <c r="B4610" s="6" t="s">
        <v>152</v>
      </c>
      <c r="C4610" s="6" t="s">
        <v>198</v>
      </c>
      <c r="D4610" s="5">
        <v>44974</v>
      </c>
    </row>
    <row r="4611" spans="2:4">
      <c r="B4611" s="6" t="s">
        <v>125</v>
      </c>
      <c r="C4611" s="6" t="s">
        <v>351</v>
      </c>
      <c r="D4611" s="5">
        <v>44974</v>
      </c>
    </row>
    <row r="4612" spans="2:4">
      <c r="B4612" s="6" t="s">
        <v>350</v>
      </c>
      <c r="C4612" s="6" t="s">
        <v>214</v>
      </c>
      <c r="D4612" s="5">
        <v>44974</v>
      </c>
    </row>
    <row r="4613" spans="2:4">
      <c r="B4613" s="6" t="s">
        <v>419</v>
      </c>
      <c r="C4613" s="6" t="s">
        <v>100</v>
      </c>
      <c r="D4613" s="5">
        <v>44974</v>
      </c>
    </row>
    <row r="4614" spans="2:4">
      <c r="B4614" s="6" t="s">
        <v>138</v>
      </c>
      <c r="C4614" s="6" t="s">
        <v>108</v>
      </c>
      <c r="D4614" s="5">
        <v>44974</v>
      </c>
    </row>
    <row r="4615" spans="2:4">
      <c r="B4615" s="6" t="s">
        <v>97</v>
      </c>
      <c r="C4615" s="6" t="s">
        <v>107</v>
      </c>
      <c r="D4615" s="5">
        <v>44974</v>
      </c>
    </row>
    <row r="4616" spans="2:4">
      <c r="B4616" s="6" t="s">
        <v>130</v>
      </c>
      <c r="C4616" s="6" t="s">
        <v>216</v>
      </c>
      <c r="D4616" s="5">
        <v>44974</v>
      </c>
    </row>
    <row r="4617" spans="2:4">
      <c r="B4617" s="6" t="s">
        <v>117</v>
      </c>
      <c r="C4617" s="6" t="s">
        <v>211</v>
      </c>
      <c r="D4617" s="5">
        <v>44974</v>
      </c>
    </row>
    <row r="4618" spans="2:4">
      <c r="B4618" s="6" t="s">
        <v>233</v>
      </c>
      <c r="C4618" s="6" t="s">
        <v>204</v>
      </c>
      <c r="D4618" s="5">
        <v>44974</v>
      </c>
    </row>
    <row r="4619" spans="2:4">
      <c r="B4619" s="6" t="s">
        <v>361</v>
      </c>
      <c r="C4619" s="6" t="s">
        <v>112</v>
      </c>
      <c r="D4619" s="5">
        <v>44974</v>
      </c>
    </row>
    <row r="4620" spans="2:4">
      <c r="B4620" s="6" t="s">
        <v>285</v>
      </c>
      <c r="C4620" s="6" t="s">
        <v>230</v>
      </c>
      <c r="D4620" s="5">
        <v>44974</v>
      </c>
    </row>
    <row r="4621" spans="2:4">
      <c r="B4621" s="6" t="s">
        <v>397</v>
      </c>
      <c r="C4621" s="6" t="s">
        <v>266</v>
      </c>
      <c r="D4621" s="5">
        <v>44974</v>
      </c>
    </row>
    <row r="4622" spans="2:4">
      <c r="B4622" s="6" t="s">
        <v>296</v>
      </c>
      <c r="C4622" s="6" t="s">
        <v>256</v>
      </c>
      <c r="D4622" s="5">
        <v>44974</v>
      </c>
    </row>
    <row r="4623" spans="2:4">
      <c r="B4623" s="6" t="s">
        <v>101</v>
      </c>
      <c r="C4623" s="6" t="s">
        <v>422</v>
      </c>
      <c r="D4623" s="5">
        <v>44974</v>
      </c>
    </row>
    <row r="4624" spans="2:4">
      <c r="B4624" s="6" t="s">
        <v>347</v>
      </c>
      <c r="C4624" s="6" t="s">
        <v>674</v>
      </c>
      <c r="D4624" s="5">
        <v>44974</v>
      </c>
    </row>
    <row r="4625" spans="2:4">
      <c r="B4625" s="6" t="s">
        <v>378</v>
      </c>
      <c r="C4625" s="6" t="s">
        <v>607</v>
      </c>
      <c r="D4625" s="5">
        <v>44974</v>
      </c>
    </row>
    <row r="4626" spans="2:4">
      <c r="B4626" s="6" t="s">
        <v>433</v>
      </c>
      <c r="C4626" s="6" t="s">
        <v>189</v>
      </c>
      <c r="D4626" s="5">
        <v>44974</v>
      </c>
    </row>
    <row r="4627" spans="2:4">
      <c r="B4627" s="6" t="s">
        <v>381</v>
      </c>
      <c r="C4627" s="6" t="s">
        <v>345</v>
      </c>
      <c r="D4627" s="5">
        <v>44974</v>
      </c>
    </row>
    <row r="4628" spans="2:4">
      <c r="B4628" s="6" t="s">
        <v>70</v>
      </c>
      <c r="C4628" s="6" t="s">
        <v>72</v>
      </c>
      <c r="D4628" s="5">
        <v>44975</v>
      </c>
    </row>
    <row r="4629" spans="2:4">
      <c r="B4629" s="6" t="s">
        <v>314</v>
      </c>
      <c r="C4629" s="6" t="s">
        <v>170</v>
      </c>
      <c r="D4629" s="5">
        <v>44975</v>
      </c>
    </row>
    <row r="4630" spans="2:4">
      <c r="B4630" s="6" t="s">
        <v>74</v>
      </c>
      <c r="C4630" s="6" t="s">
        <v>93</v>
      </c>
      <c r="D4630" s="5">
        <v>44975</v>
      </c>
    </row>
    <row r="4631" spans="2:4">
      <c r="B4631" s="6" t="s">
        <v>39</v>
      </c>
      <c r="C4631" s="6" t="s">
        <v>155</v>
      </c>
      <c r="D4631" s="5">
        <v>44975</v>
      </c>
    </row>
    <row r="4632" spans="2:4">
      <c r="B4632" s="6" t="s">
        <v>395</v>
      </c>
      <c r="C4632" s="6" t="s">
        <v>202</v>
      </c>
      <c r="D4632" s="5">
        <v>44975</v>
      </c>
    </row>
    <row r="4633" spans="2:4">
      <c r="B4633" s="6" t="s">
        <v>171</v>
      </c>
      <c r="C4633" s="6" t="s">
        <v>287</v>
      </c>
      <c r="D4633" s="5">
        <v>44975</v>
      </c>
    </row>
    <row r="4634" spans="2:4">
      <c r="B4634" s="6" t="s">
        <v>105</v>
      </c>
      <c r="C4634" s="6" t="s">
        <v>203</v>
      </c>
      <c r="D4634" s="5">
        <v>44975</v>
      </c>
    </row>
    <row r="4635" spans="2:4">
      <c r="B4635" s="6" t="s">
        <v>362</v>
      </c>
      <c r="C4635" s="6" t="s">
        <v>127</v>
      </c>
      <c r="D4635" s="5">
        <v>44975</v>
      </c>
    </row>
    <row r="4636" spans="2:4">
      <c r="B4636" s="6" t="s">
        <v>396</v>
      </c>
      <c r="C4636" s="6" t="s">
        <v>427</v>
      </c>
      <c r="D4636" s="5">
        <v>44975</v>
      </c>
    </row>
    <row r="4637" spans="2:4">
      <c r="B4637" s="6" t="s">
        <v>62</v>
      </c>
      <c r="C4637" s="6" t="s">
        <v>60</v>
      </c>
      <c r="D4637" s="5">
        <v>44975</v>
      </c>
    </row>
    <row r="4638" spans="2:4">
      <c r="B4638" s="6" t="s">
        <v>188</v>
      </c>
      <c r="C4638" s="6" t="s">
        <v>46</v>
      </c>
      <c r="D4638" s="5">
        <v>44975</v>
      </c>
    </row>
    <row r="4639" spans="2:4">
      <c r="B4639" s="6" t="s">
        <v>32</v>
      </c>
      <c r="C4639" s="6" t="s">
        <v>27</v>
      </c>
      <c r="D4639" s="5">
        <v>44975</v>
      </c>
    </row>
    <row r="4640" spans="2:4">
      <c r="B4640" s="6" t="s">
        <v>737</v>
      </c>
      <c r="C4640" s="6" t="s">
        <v>54</v>
      </c>
      <c r="D4640" s="5">
        <v>44975</v>
      </c>
    </row>
    <row r="4641" spans="2:4">
      <c r="B4641" s="6" t="s">
        <v>732</v>
      </c>
      <c r="C4641" s="6" t="s">
        <v>36</v>
      </c>
      <c r="D4641" s="5">
        <v>44975</v>
      </c>
    </row>
    <row r="4642" spans="2:4">
      <c r="B4642" s="6" t="s">
        <v>65</v>
      </c>
      <c r="C4642" s="6" t="s">
        <v>64</v>
      </c>
      <c r="D4642" s="5">
        <v>44975</v>
      </c>
    </row>
    <row r="4643" spans="2:4">
      <c r="B4643" s="6" t="s">
        <v>104</v>
      </c>
      <c r="C4643" s="6" t="s">
        <v>267</v>
      </c>
      <c r="D4643" s="5">
        <v>44975</v>
      </c>
    </row>
    <row r="4644" spans="2:4">
      <c r="B4644" s="6" t="s">
        <v>272</v>
      </c>
      <c r="C4644" s="6" t="s">
        <v>413</v>
      </c>
      <c r="D4644" s="5">
        <v>44975</v>
      </c>
    </row>
    <row r="4645" spans="2:4">
      <c r="B4645" s="6" t="s">
        <v>199</v>
      </c>
      <c r="C4645" s="6" t="s">
        <v>334</v>
      </c>
      <c r="D4645" s="5">
        <v>44975</v>
      </c>
    </row>
    <row r="4646" spans="2:4">
      <c r="B4646" s="6" t="s">
        <v>80</v>
      </c>
      <c r="C4646" s="6" t="s">
        <v>86</v>
      </c>
      <c r="D4646" s="5">
        <v>44975</v>
      </c>
    </row>
    <row r="4647" spans="2:4">
      <c r="B4647" s="6" t="s">
        <v>278</v>
      </c>
      <c r="C4647" s="6" t="s">
        <v>113</v>
      </c>
      <c r="D4647" s="5">
        <v>44975</v>
      </c>
    </row>
    <row r="4648" spans="2:4">
      <c r="B4648" s="6" t="s">
        <v>148</v>
      </c>
      <c r="C4648" s="6" t="s">
        <v>137</v>
      </c>
      <c r="D4648" s="5">
        <v>44975</v>
      </c>
    </row>
    <row r="4649" spans="2:4">
      <c r="B4649" s="6" t="s">
        <v>253</v>
      </c>
      <c r="C4649" s="6" t="s">
        <v>301</v>
      </c>
      <c r="D4649" s="5">
        <v>44975</v>
      </c>
    </row>
    <row r="4650" spans="2:4">
      <c r="B4650" s="6" t="s">
        <v>269</v>
      </c>
      <c r="C4650" s="6" t="s">
        <v>126</v>
      </c>
      <c r="D4650" s="5">
        <v>44975</v>
      </c>
    </row>
    <row r="4651" spans="2:4">
      <c r="B4651" s="6" t="s">
        <v>81</v>
      </c>
      <c r="C4651" s="6" t="s">
        <v>90</v>
      </c>
      <c r="D4651" s="5">
        <v>44975</v>
      </c>
    </row>
    <row r="4652" spans="2:4">
      <c r="B4652" s="6" t="s">
        <v>261</v>
      </c>
      <c r="C4652" s="6" t="s">
        <v>102</v>
      </c>
      <c r="D4652" s="5">
        <v>44975</v>
      </c>
    </row>
    <row r="4653" spans="2:4">
      <c r="B4653" s="6" t="s">
        <v>282</v>
      </c>
      <c r="C4653" s="6" t="s">
        <v>103</v>
      </c>
      <c r="D4653" s="5">
        <v>44975</v>
      </c>
    </row>
    <row r="4654" spans="2:4">
      <c r="B4654" s="6" t="s">
        <v>246</v>
      </c>
      <c r="C4654" s="6" t="s">
        <v>590</v>
      </c>
      <c r="D4654" s="5">
        <v>44975</v>
      </c>
    </row>
    <row r="4655" spans="2:4">
      <c r="B4655" s="6" t="s">
        <v>405</v>
      </c>
      <c r="C4655" s="6" t="s">
        <v>338</v>
      </c>
      <c r="D4655" s="5">
        <v>44975</v>
      </c>
    </row>
    <row r="4656" spans="2:4">
      <c r="B4656" s="6" t="s">
        <v>84</v>
      </c>
      <c r="C4656" s="6" t="s">
        <v>79</v>
      </c>
      <c r="D4656" s="5">
        <v>44975</v>
      </c>
    </row>
    <row r="4657" spans="2:4">
      <c r="B4657" s="6" t="s">
        <v>30</v>
      </c>
      <c r="C4657" s="6" t="s">
        <v>29</v>
      </c>
      <c r="D4657" s="5">
        <v>44975</v>
      </c>
    </row>
    <row r="4658" spans="2:4">
      <c r="B4658" s="6" t="s">
        <v>34</v>
      </c>
      <c r="C4658" s="6" t="s">
        <v>778</v>
      </c>
      <c r="D4658" s="5">
        <v>44975</v>
      </c>
    </row>
    <row r="4659" spans="2:4">
      <c r="B4659" s="6" t="s">
        <v>50</v>
      </c>
      <c r="C4659" s="6" t="s">
        <v>536</v>
      </c>
      <c r="D4659" s="5">
        <v>44975</v>
      </c>
    </row>
    <row r="4660" spans="2:4">
      <c r="B4660" s="6" t="s">
        <v>176</v>
      </c>
      <c r="C4660" s="6" t="s">
        <v>131</v>
      </c>
      <c r="D4660" s="5">
        <v>44975</v>
      </c>
    </row>
    <row r="4661" spans="2:4">
      <c r="B4661" s="6" t="s">
        <v>360</v>
      </c>
      <c r="C4661" s="6" t="s">
        <v>114</v>
      </c>
      <c r="D4661" s="5">
        <v>44975</v>
      </c>
    </row>
    <row r="4662" spans="2:4">
      <c r="B4662" s="6" t="s">
        <v>325</v>
      </c>
      <c r="C4662" s="6" t="s">
        <v>326</v>
      </c>
      <c r="D4662" s="5">
        <v>44975</v>
      </c>
    </row>
    <row r="4663" spans="2:4">
      <c r="B4663" s="6" t="s">
        <v>48</v>
      </c>
      <c r="C4663" s="6" t="s">
        <v>53</v>
      </c>
      <c r="D4663" s="5">
        <v>44975</v>
      </c>
    </row>
    <row r="4664" spans="2:4">
      <c r="B4664" s="6" t="s">
        <v>174</v>
      </c>
      <c r="C4664" s="6" t="s">
        <v>215</v>
      </c>
      <c r="D4664" s="5">
        <v>44975</v>
      </c>
    </row>
    <row r="4665" spans="2:4">
      <c r="B4665" s="6" t="s">
        <v>124</v>
      </c>
      <c r="C4665" s="6" t="s">
        <v>300</v>
      </c>
      <c r="D4665" s="5">
        <v>44975</v>
      </c>
    </row>
    <row r="4666" spans="2:4">
      <c r="B4666" s="6" t="s">
        <v>298</v>
      </c>
      <c r="C4666" s="6" t="s">
        <v>192</v>
      </c>
      <c r="D4666" s="5">
        <v>44975</v>
      </c>
    </row>
    <row r="4667" spans="2:4">
      <c r="B4667" s="6" t="s">
        <v>336</v>
      </c>
      <c r="C4667" s="6" t="s">
        <v>175</v>
      </c>
      <c r="D4667" s="5">
        <v>44975</v>
      </c>
    </row>
    <row r="4668" spans="2:4">
      <c r="B4668" s="6" t="s">
        <v>294</v>
      </c>
      <c r="C4668" s="6" t="s">
        <v>150</v>
      </c>
      <c r="D4668" s="5">
        <v>44975</v>
      </c>
    </row>
    <row r="4669" spans="2:4">
      <c r="B4669" s="6" t="s">
        <v>418</v>
      </c>
      <c r="C4669" s="6" t="s">
        <v>324</v>
      </c>
      <c r="D4669" s="5">
        <v>44975</v>
      </c>
    </row>
    <row r="4670" spans="2:4">
      <c r="B4670" s="6" t="s">
        <v>115</v>
      </c>
      <c r="C4670" s="6" t="s">
        <v>129</v>
      </c>
      <c r="D4670" s="5">
        <v>44975</v>
      </c>
    </row>
    <row r="4671" spans="2:4">
      <c r="B4671" s="6" t="s">
        <v>158</v>
      </c>
      <c r="C4671" s="6" t="s">
        <v>403</v>
      </c>
      <c r="D4671" s="5">
        <v>44975</v>
      </c>
    </row>
    <row r="4672" spans="2:4">
      <c r="B4672" s="6" t="s">
        <v>356</v>
      </c>
      <c r="C4672" s="6" t="s">
        <v>610</v>
      </c>
      <c r="D4672" s="5">
        <v>44975</v>
      </c>
    </row>
    <row r="4673" spans="2:4">
      <c r="B4673" s="6" t="s">
        <v>121</v>
      </c>
      <c r="C4673" s="6" t="s">
        <v>349</v>
      </c>
      <c r="D4673" s="5">
        <v>44975</v>
      </c>
    </row>
    <row r="4674" spans="2:4">
      <c r="B4674" s="6" t="s">
        <v>414</v>
      </c>
      <c r="C4674" s="6" t="s">
        <v>109</v>
      </c>
      <c r="D4674" s="5">
        <v>44975</v>
      </c>
    </row>
    <row r="4675" spans="2:4">
      <c r="B4675" s="6" t="s">
        <v>373</v>
      </c>
      <c r="C4675" s="6" t="s">
        <v>182</v>
      </c>
      <c r="D4675" s="5">
        <v>44975</v>
      </c>
    </row>
    <row r="4676" spans="2:4">
      <c r="B4676" s="6" t="s">
        <v>290</v>
      </c>
      <c r="C4676" s="6" t="s">
        <v>323</v>
      </c>
      <c r="D4676" s="5">
        <v>44975</v>
      </c>
    </row>
    <row r="4677" spans="2:4">
      <c r="B4677" s="6" t="s">
        <v>297</v>
      </c>
      <c r="C4677" s="6" t="s">
        <v>425</v>
      </c>
      <c r="D4677" s="5">
        <v>44975</v>
      </c>
    </row>
    <row r="4678" spans="2:4">
      <c r="B4678" s="6" t="s">
        <v>316</v>
      </c>
      <c r="C4678" s="6" t="s">
        <v>289</v>
      </c>
      <c r="D4678" s="5">
        <v>44975</v>
      </c>
    </row>
    <row r="4679" spans="2:4">
      <c r="B4679" s="6" t="s">
        <v>367</v>
      </c>
      <c r="C4679" s="6" t="s">
        <v>259</v>
      </c>
      <c r="D4679" s="5">
        <v>44975</v>
      </c>
    </row>
    <row r="4680" spans="2:4">
      <c r="B4680" s="6" t="s">
        <v>151</v>
      </c>
      <c r="C4680" s="6" t="s">
        <v>208</v>
      </c>
      <c r="D4680" s="5">
        <v>44975</v>
      </c>
    </row>
    <row r="4681" spans="2:4">
      <c r="B4681" s="6" t="s">
        <v>305</v>
      </c>
      <c r="C4681" s="6" t="s">
        <v>603</v>
      </c>
      <c r="D4681" s="5">
        <v>44975</v>
      </c>
    </row>
    <row r="4682" spans="2:4">
      <c r="B4682" s="6" t="s">
        <v>762</v>
      </c>
      <c r="C4682" s="6" t="s">
        <v>763</v>
      </c>
      <c r="D4682" s="5">
        <v>44975</v>
      </c>
    </row>
    <row r="4683" spans="2:4">
      <c r="B4683" s="6" t="s">
        <v>26</v>
      </c>
      <c r="C4683" s="6" t="s">
        <v>28</v>
      </c>
      <c r="D4683" s="5">
        <v>44975</v>
      </c>
    </row>
    <row r="4684" spans="2:4">
      <c r="B4684" s="6" t="s">
        <v>116</v>
      </c>
      <c r="C4684" s="6" t="s">
        <v>96</v>
      </c>
      <c r="D4684" s="5">
        <v>44975</v>
      </c>
    </row>
    <row r="4685" spans="2:4">
      <c r="B4685" s="6" t="s">
        <v>335</v>
      </c>
      <c r="C4685" s="6" t="s">
        <v>276</v>
      </c>
      <c r="D4685" s="5">
        <v>44975</v>
      </c>
    </row>
    <row r="4686" spans="2:4">
      <c r="B4686" s="6" t="s">
        <v>382</v>
      </c>
      <c r="C4686" s="6" t="s">
        <v>181</v>
      </c>
      <c r="D4686" s="5">
        <v>44975</v>
      </c>
    </row>
    <row r="4687" spans="2:4">
      <c r="B4687" s="6" t="s">
        <v>264</v>
      </c>
      <c r="C4687" s="6" t="s">
        <v>277</v>
      </c>
      <c r="D4687" s="5">
        <v>44975</v>
      </c>
    </row>
    <row r="4688" spans="2:4">
      <c r="B4688" s="6" t="s">
        <v>320</v>
      </c>
      <c r="C4688" s="6" t="s">
        <v>318</v>
      </c>
      <c r="D4688" s="5">
        <v>44975</v>
      </c>
    </row>
    <row r="4689" spans="2:4">
      <c r="B4689" s="6" t="s">
        <v>312</v>
      </c>
      <c r="C4689" s="6" t="s">
        <v>213</v>
      </c>
      <c r="D4689" s="5">
        <v>44975</v>
      </c>
    </row>
    <row r="4690" spans="2:4">
      <c r="B4690" s="6" t="s">
        <v>220</v>
      </c>
      <c r="C4690" s="6" t="s">
        <v>580</v>
      </c>
      <c r="D4690" s="5">
        <v>44975</v>
      </c>
    </row>
    <row r="4691" spans="2:4">
      <c r="B4691" s="6" t="s">
        <v>368</v>
      </c>
      <c r="C4691" s="6" t="s">
        <v>195</v>
      </c>
      <c r="D4691" s="5">
        <v>44975</v>
      </c>
    </row>
    <row r="4692" spans="2:4">
      <c r="B4692" s="6" t="s">
        <v>310</v>
      </c>
      <c r="C4692" s="6" t="s">
        <v>238</v>
      </c>
      <c r="D4692" s="5">
        <v>44975</v>
      </c>
    </row>
    <row r="4693" spans="2:4">
      <c r="B4693" s="6" t="s">
        <v>319</v>
      </c>
      <c r="C4693" s="6" t="s">
        <v>295</v>
      </c>
      <c r="D4693" s="5">
        <v>44975</v>
      </c>
    </row>
    <row r="4694" spans="2:4">
      <c r="B4694" s="6" t="s">
        <v>281</v>
      </c>
      <c r="C4694" s="6" t="s">
        <v>210</v>
      </c>
      <c r="D4694" s="5">
        <v>44975</v>
      </c>
    </row>
    <row r="4695" spans="2:4">
      <c r="B4695" s="6" t="s">
        <v>110</v>
      </c>
      <c r="C4695" s="6" t="s">
        <v>273</v>
      </c>
      <c r="D4695" s="5">
        <v>44975</v>
      </c>
    </row>
    <row r="4696" spans="2:4">
      <c r="B4696" s="6" t="s">
        <v>180</v>
      </c>
      <c r="C4696" s="6" t="s">
        <v>247</v>
      </c>
      <c r="D4696" s="5">
        <v>44975</v>
      </c>
    </row>
    <row r="4697" spans="2:4">
      <c r="B4697" s="6" t="s">
        <v>98</v>
      </c>
      <c r="C4697" s="6" t="s">
        <v>410</v>
      </c>
      <c r="D4697" s="5">
        <v>44975</v>
      </c>
    </row>
    <row r="4698" spans="2:4">
      <c r="B4698" s="6" t="s">
        <v>306</v>
      </c>
      <c r="C4698" s="6" t="s">
        <v>333</v>
      </c>
      <c r="D4698" s="5">
        <v>44975</v>
      </c>
    </row>
    <row r="4699" spans="2:4">
      <c r="B4699" s="6" t="s">
        <v>286</v>
      </c>
      <c r="C4699" s="6" t="s">
        <v>136</v>
      </c>
      <c r="D4699" s="5">
        <v>44975</v>
      </c>
    </row>
    <row r="4700" spans="2:4">
      <c r="B4700" s="6" t="s">
        <v>304</v>
      </c>
      <c r="C4700" s="6" t="s">
        <v>250</v>
      </c>
      <c r="D4700" s="5">
        <v>44975</v>
      </c>
    </row>
    <row r="4701" spans="2:4">
      <c r="B4701" s="6" t="s">
        <v>118</v>
      </c>
      <c r="C4701" s="6" t="s">
        <v>327</v>
      </c>
      <c r="D4701" s="5">
        <v>44975</v>
      </c>
    </row>
    <row r="4702" spans="2:4">
      <c r="B4702" s="6" t="s">
        <v>123</v>
      </c>
      <c r="C4702" s="6" t="s">
        <v>268</v>
      </c>
      <c r="D4702" s="5">
        <v>44975</v>
      </c>
    </row>
    <row r="4703" spans="2:4">
      <c r="B4703" s="6" t="s">
        <v>179</v>
      </c>
      <c r="C4703" s="6" t="s">
        <v>146</v>
      </c>
      <c r="D4703" s="5">
        <v>44975</v>
      </c>
    </row>
    <row r="4704" spans="2:4">
      <c r="B4704" s="6" t="s">
        <v>147</v>
      </c>
      <c r="C4704" s="6" t="s">
        <v>354</v>
      </c>
      <c r="D4704" s="5">
        <v>44975</v>
      </c>
    </row>
    <row r="4705" spans="2:4">
      <c r="B4705" s="6" t="s">
        <v>353</v>
      </c>
      <c r="C4705" s="6" t="s">
        <v>201</v>
      </c>
      <c r="D4705" s="5">
        <v>44975</v>
      </c>
    </row>
    <row r="4706" spans="2:4">
      <c r="B4706" s="6" t="s">
        <v>248</v>
      </c>
      <c r="C4706" s="6" t="s">
        <v>355</v>
      </c>
      <c r="D4706" s="5">
        <v>44975</v>
      </c>
    </row>
    <row r="4707" spans="2:4">
      <c r="B4707" s="6" t="s">
        <v>40</v>
      </c>
      <c r="C4707" s="6" t="s">
        <v>35</v>
      </c>
      <c r="D4707" s="5">
        <v>44975</v>
      </c>
    </row>
    <row r="4708" spans="2:4">
      <c r="B4708" s="6" t="s">
        <v>364</v>
      </c>
      <c r="C4708" s="6" t="s">
        <v>156</v>
      </c>
      <c r="D4708" s="5">
        <v>44975</v>
      </c>
    </row>
    <row r="4709" spans="2:4">
      <c r="B4709" s="6" t="s">
        <v>343</v>
      </c>
      <c r="C4709" s="6" t="s">
        <v>134</v>
      </c>
      <c r="D4709" s="5">
        <v>44975</v>
      </c>
    </row>
    <row r="4710" spans="2:4">
      <c r="B4710" s="6" t="s">
        <v>342</v>
      </c>
      <c r="C4710" s="6" t="s">
        <v>640</v>
      </c>
      <c r="D4710" s="5">
        <v>44975</v>
      </c>
    </row>
    <row r="4711" spans="2:4">
      <c r="B4711" s="6" t="s">
        <v>400</v>
      </c>
      <c r="C4711" s="6" t="s">
        <v>209</v>
      </c>
      <c r="D4711" s="5">
        <v>44975</v>
      </c>
    </row>
    <row r="4712" spans="2:4">
      <c r="B4712" s="6" t="s">
        <v>309</v>
      </c>
      <c r="C4712" s="6" t="s">
        <v>370</v>
      </c>
      <c r="D4712" s="5">
        <v>44975</v>
      </c>
    </row>
    <row r="4713" spans="2:4">
      <c r="B4713" s="6" t="s">
        <v>240</v>
      </c>
      <c r="C4713" s="6" t="s">
        <v>329</v>
      </c>
      <c r="D4713" s="5">
        <v>44975</v>
      </c>
    </row>
    <row r="4714" spans="2:4">
      <c r="B4714" s="6" t="s">
        <v>52</v>
      </c>
      <c r="C4714" s="6" t="s">
        <v>49</v>
      </c>
      <c r="D4714" s="5">
        <v>44975</v>
      </c>
    </row>
    <row r="4715" spans="2:4">
      <c r="B4715" s="6" t="s">
        <v>394</v>
      </c>
      <c r="C4715" s="6" t="s">
        <v>386</v>
      </c>
      <c r="D4715" s="5">
        <v>44975</v>
      </c>
    </row>
    <row r="4716" spans="2:4">
      <c r="B4716" s="6" t="s">
        <v>288</v>
      </c>
      <c r="C4716" s="6" t="s">
        <v>140</v>
      </c>
      <c r="D4716" s="5">
        <v>44975</v>
      </c>
    </row>
    <row r="4717" spans="2:4">
      <c r="B4717" s="6" t="s">
        <v>321</v>
      </c>
      <c r="C4717" s="6" t="s">
        <v>615</v>
      </c>
      <c r="D4717" s="5">
        <v>44975</v>
      </c>
    </row>
    <row r="4718" spans="2:4">
      <c r="B4718" s="6" t="s">
        <v>393</v>
      </c>
      <c r="C4718" s="6" t="s">
        <v>426</v>
      </c>
      <c r="D4718" s="5">
        <v>44975</v>
      </c>
    </row>
    <row r="4719" spans="2:4">
      <c r="B4719" s="6" t="s">
        <v>128</v>
      </c>
      <c r="C4719" s="6" t="s">
        <v>120</v>
      </c>
      <c r="D4719" s="5">
        <v>44975</v>
      </c>
    </row>
    <row r="4720" spans="2:4">
      <c r="B4720" s="6" t="s">
        <v>588</v>
      </c>
      <c r="C4720" s="6" t="s">
        <v>183</v>
      </c>
      <c r="D4720" s="5">
        <v>44975</v>
      </c>
    </row>
    <row r="4721" spans="2:4">
      <c r="B4721" s="6" t="s">
        <v>270</v>
      </c>
      <c r="C4721" s="6" t="s">
        <v>191</v>
      </c>
      <c r="D4721" s="5">
        <v>44975</v>
      </c>
    </row>
    <row r="4722" spans="2:4">
      <c r="B4722" s="6" t="s">
        <v>47</v>
      </c>
      <c r="C4722" s="6" t="s">
        <v>44</v>
      </c>
      <c r="D4722" s="5">
        <v>44975</v>
      </c>
    </row>
    <row r="4723" spans="2:4">
      <c r="B4723" s="6" t="s">
        <v>82</v>
      </c>
      <c r="C4723" s="6" t="s">
        <v>89</v>
      </c>
      <c r="D4723" s="5">
        <v>44975</v>
      </c>
    </row>
    <row r="4724" spans="2:4">
      <c r="B4724" s="6" t="s">
        <v>750</v>
      </c>
      <c r="C4724" s="6" t="s">
        <v>747</v>
      </c>
      <c r="D4724" s="5">
        <v>44975</v>
      </c>
    </row>
    <row r="4725" spans="2:4">
      <c r="B4725" s="6" t="s">
        <v>719</v>
      </c>
      <c r="C4725" s="6" t="s">
        <v>77</v>
      </c>
      <c r="D4725" s="5">
        <v>44975</v>
      </c>
    </row>
    <row r="4726" spans="2:4">
      <c r="B4726" s="6" t="s">
        <v>242</v>
      </c>
      <c r="C4726" s="6" t="s">
        <v>274</v>
      </c>
      <c r="D4726" s="5">
        <v>44975</v>
      </c>
    </row>
    <row r="4727" spans="2:4">
      <c r="B4727" s="6" t="s">
        <v>97</v>
      </c>
      <c r="C4727" s="6" t="s">
        <v>100</v>
      </c>
      <c r="D4727" s="5">
        <v>44975</v>
      </c>
    </row>
    <row r="4728" spans="2:4">
      <c r="B4728" s="6" t="s">
        <v>125</v>
      </c>
      <c r="C4728" s="6" t="s">
        <v>108</v>
      </c>
      <c r="D4728" s="5">
        <v>44975</v>
      </c>
    </row>
    <row r="4729" spans="2:4">
      <c r="B4729" s="6" t="s">
        <v>419</v>
      </c>
      <c r="C4729" s="6" t="s">
        <v>107</v>
      </c>
      <c r="D4729" s="5">
        <v>44975</v>
      </c>
    </row>
    <row r="4730" spans="2:4">
      <c r="B4730" s="6" t="s">
        <v>87</v>
      </c>
      <c r="C4730" s="6" t="s">
        <v>91</v>
      </c>
      <c r="D4730" s="5">
        <v>44975</v>
      </c>
    </row>
    <row r="4731" spans="2:4">
      <c r="B4731" s="6" t="s">
        <v>292</v>
      </c>
      <c r="C4731" s="6" t="s">
        <v>142</v>
      </c>
      <c r="D4731" s="5">
        <v>44975</v>
      </c>
    </row>
    <row r="4732" spans="2:4">
      <c r="B4732" s="6" t="s">
        <v>399</v>
      </c>
      <c r="C4732" s="6" t="s">
        <v>332</v>
      </c>
      <c r="D4732" s="5">
        <v>44975</v>
      </c>
    </row>
    <row r="4733" spans="2:4">
      <c r="B4733" s="6" t="s">
        <v>99</v>
      </c>
      <c r="C4733" s="6" t="s">
        <v>178</v>
      </c>
      <c r="D4733" s="5">
        <v>44975</v>
      </c>
    </row>
    <row r="4734" spans="2:4">
      <c r="B4734" s="6" t="s">
        <v>165</v>
      </c>
      <c r="C4734" s="6" t="s">
        <v>132</v>
      </c>
      <c r="D4734" s="5">
        <v>44975</v>
      </c>
    </row>
    <row r="4735" spans="2:4">
      <c r="B4735" s="6" t="s">
        <v>249</v>
      </c>
      <c r="C4735" s="6" t="s">
        <v>303</v>
      </c>
      <c r="D4735" s="5">
        <v>44975</v>
      </c>
    </row>
    <row r="4736" spans="2:4">
      <c r="B4736" s="6" t="s">
        <v>43</v>
      </c>
      <c r="C4736" s="6" t="s">
        <v>51</v>
      </c>
      <c r="D4736" s="5">
        <v>44975</v>
      </c>
    </row>
    <row r="4737" spans="2:4">
      <c r="B4737" s="6" t="s">
        <v>177</v>
      </c>
      <c r="C4737" s="6" t="s">
        <v>205</v>
      </c>
      <c r="D4737" s="5">
        <v>44975</v>
      </c>
    </row>
    <row r="4738" spans="2:4">
      <c r="B4738" s="6" t="s">
        <v>138</v>
      </c>
      <c r="C4738" s="6" t="s">
        <v>351</v>
      </c>
      <c r="D4738" s="5">
        <v>44975</v>
      </c>
    </row>
    <row r="4739" spans="2:4">
      <c r="B4739" s="6" t="s">
        <v>63</v>
      </c>
      <c r="C4739" s="6" t="s">
        <v>781</v>
      </c>
      <c r="D4739" s="5">
        <v>44975</v>
      </c>
    </row>
    <row r="4740" spans="2:4">
      <c r="B4740" s="6" t="s">
        <v>193</v>
      </c>
      <c r="C4740" s="6" t="s">
        <v>194</v>
      </c>
      <c r="D4740" s="5">
        <v>44975</v>
      </c>
    </row>
    <row r="4741" spans="2:4">
      <c r="B4741" s="6" t="s">
        <v>409</v>
      </c>
      <c r="C4741" s="6" t="s">
        <v>365</v>
      </c>
      <c r="D4741" s="5">
        <v>44975</v>
      </c>
    </row>
    <row r="4742" spans="2:4">
      <c r="B4742" s="6" t="s">
        <v>412</v>
      </c>
      <c r="C4742" s="6" t="s">
        <v>358</v>
      </c>
      <c r="D4742" s="5">
        <v>44975</v>
      </c>
    </row>
    <row r="4743" spans="2:4">
      <c r="B4743" s="6" t="s">
        <v>621</v>
      </c>
      <c r="C4743" s="6" t="s">
        <v>207</v>
      </c>
      <c r="D4743" s="5">
        <v>44975</v>
      </c>
    </row>
    <row r="4744" spans="2:4">
      <c r="B4744" s="6" t="s">
        <v>420</v>
      </c>
      <c r="C4744" s="6" t="s">
        <v>428</v>
      </c>
      <c r="D4744" s="5">
        <v>44975</v>
      </c>
    </row>
    <row r="4745" spans="2:4">
      <c r="B4745" s="6" t="s">
        <v>255</v>
      </c>
      <c r="C4745" s="6" t="s">
        <v>173</v>
      </c>
      <c r="D4745" s="5">
        <v>44975</v>
      </c>
    </row>
    <row r="4746" spans="2:4">
      <c r="B4746" s="6" t="s">
        <v>302</v>
      </c>
      <c r="C4746" s="6" t="s">
        <v>38</v>
      </c>
      <c r="D4746" s="5">
        <v>44975</v>
      </c>
    </row>
    <row r="4747" spans="2:4">
      <c r="B4747" s="6" t="s">
        <v>231</v>
      </c>
      <c r="C4747" s="6" t="s">
        <v>221</v>
      </c>
      <c r="D4747" s="5">
        <v>44975</v>
      </c>
    </row>
    <row r="4748" spans="2:4">
      <c r="B4748" s="6" t="s">
        <v>308</v>
      </c>
      <c r="C4748" s="6" t="s">
        <v>232</v>
      </c>
      <c r="D4748" s="5">
        <v>44975</v>
      </c>
    </row>
    <row r="4749" spans="2:4">
      <c r="B4749" s="6" t="s">
        <v>71</v>
      </c>
      <c r="C4749" s="6" t="s">
        <v>779</v>
      </c>
      <c r="D4749" s="5">
        <v>44975</v>
      </c>
    </row>
    <row r="4750" spans="2:4">
      <c r="B4750" s="6" t="s">
        <v>143</v>
      </c>
      <c r="C4750" s="6" t="s">
        <v>313</v>
      </c>
      <c r="D4750" s="5">
        <v>44975</v>
      </c>
    </row>
    <row r="4751" spans="2:4">
      <c r="B4751" s="6" t="s">
        <v>584</v>
      </c>
      <c r="C4751" s="6" t="s">
        <v>94</v>
      </c>
      <c r="D4751" s="5">
        <v>44975</v>
      </c>
    </row>
    <row r="4752" spans="2:4">
      <c r="B4752" s="6" t="s">
        <v>133</v>
      </c>
      <c r="C4752" s="6" t="s">
        <v>284</v>
      </c>
      <c r="D4752" s="5">
        <v>44975</v>
      </c>
    </row>
    <row r="4753" spans="2:4">
      <c r="B4753" s="6" t="s">
        <v>168</v>
      </c>
      <c r="C4753" s="6" t="s">
        <v>169</v>
      </c>
      <c r="D4753" s="5">
        <v>44975</v>
      </c>
    </row>
    <row r="4754" spans="2:4">
      <c r="B4754" s="6" t="s">
        <v>388</v>
      </c>
      <c r="C4754" s="6" t="s">
        <v>415</v>
      </c>
      <c r="D4754" s="5">
        <v>44975</v>
      </c>
    </row>
    <row r="4755" spans="2:4">
      <c r="B4755" s="6" t="s">
        <v>424</v>
      </c>
      <c r="C4755" s="6" t="s">
        <v>383</v>
      </c>
      <c r="D4755" s="5">
        <v>44975</v>
      </c>
    </row>
    <row r="4756" spans="2:4">
      <c r="B4756" s="6" t="s">
        <v>348</v>
      </c>
      <c r="C4756" s="6" t="s">
        <v>330</v>
      </c>
      <c r="D4756" s="5">
        <v>44975</v>
      </c>
    </row>
    <row r="4757" spans="2:4">
      <c r="B4757" s="6" t="s">
        <v>184</v>
      </c>
      <c r="C4757" s="6" t="s">
        <v>359</v>
      </c>
      <c r="D4757" s="5">
        <v>44975</v>
      </c>
    </row>
    <row r="4758" spans="2:4">
      <c r="B4758" s="6" t="s">
        <v>331</v>
      </c>
      <c r="C4758" s="6" t="s">
        <v>196</v>
      </c>
      <c r="D4758" s="5">
        <v>44975</v>
      </c>
    </row>
    <row r="4759" spans="2:4">
      <c r="B4759" s="6" t="s">
        <v>357</v>
      </c>
      <c r="C4759" s="6" t="s">
        <v>385</v>
      </c>
      <c r="D4759" s="5">
        <v>44975</v>
      </c>
    </row>
    <row r="4760" spans="2:4">
      <c r="B4760" s="6" t="s">
        <v>154</v>
      </c>
      <c r="C4760" s="6" t="s">
        <v>423</v>
      </c>
      <c r="D4760" s="5">
        <v>44975</v>
      </c>
    </row>
    <row r="4761" spans="2:4">
      <c r="B4761" s="6" t="s">
        <v>185</v>
      </c>
      <c r="C4761" s="6" t="s">
        <v>83</v>
      </c>
      <c r="D4761" s="5">
        <v>44975</v>
      </c>
    </row>
    <row r="4762" spans="2:4">
      <c r="B4762" s="6" t="s">
        <v>161</v>
      </c>
      <c r="C4762" s="6" t="s">
        <v>160</v>
      </c>
      <c r="D4762" s="5">
        <v>44975</v>
      </c>
    </row>
    <row r="4763" spans="2:4">
      <c r="B4763" s="6" t="s">
        <v>59</v>
      </c>
      <c r="C4763" s="6" t="s">
        <v>761</v>
      </c>
      <c r="D4763" s="5">
        <v>44975</v>
      </c>
    </row>
    <row r="4764" spans="2:4">
      <c r="B4764" s="6" t="s">
        <v>376</v>
      </c>
      <c r="C4764" s="6" t="s">
        <v>135</v>
      </c>
      <c r="D4764" s="5">
        <v>44975</v>
      </c>
    </row>
    <row r="4765" spans="2:4">
      <c r="B4765" s="6" t="s">
        <v>375</v>
      </c>
      <c r="C4765" s="6" t="s">
        <v>344</v>
      </c>
      <c r="D4765" s="5">
        <v>44975</v>
      </c>
    </row>
    <row r="4766" spans="2:4">
      <c r="B4766" s="6" t="s">
        <v>167</v>
      </c>
      <c r="C4766" s="6" t="s">
        <v>141</v>
      </c>
      <c r="D4766" s="5">
        <v>44975</v>
      </c>
    </row>
    <row r="4767" spans="2:4">
      <c r="B4767" s="6" t="s">
        <v>391</v>
      </c>
      <c r="C4767" s="6" t="s">
        <v>190</v>
      </c>
      <c r="D4767" s="5">
        <v>44975</v>
      </c>
    </row>
    <row r="4768" spans="2:4">
      <c r="B4768" s="6" t="s">
        <v>398</v>
      </c>
      <c r="C4768" s="6" t="s">
        <v>157</v>
      </c>
      <c r="D4768" s="5">
        <v>44975</v>
      </c>
    </row>
    <row r="4769" spans="2:4">
      <c r="B4769" s="6" t="s">
        <v>236</v>
      </c>
      <c r="C4769" s="6" t="s">
        <v>599</v>
      </c>
      <c r="D4769" s="5">
        <v>44975</v>
      </c>
    </row>
    <row r="4770" spans="2:4">
      <c r="B4770" s="6" t="s">
        <v>402</v>
      </c>
      <c r="C4770" s="6" t="s">
        <v>206</v>
      </c>
      <c r="D4770" s="5">
        <v>44975</v>
      </c>
    </row>
    <row r="4771" spans="2:4">
      <c r="B4771" s="6" t="s">
        <v>389</v>
      </c>
      <c r="C4771" s="6" t="s">
        <v>153</v>
      </c>
      <c r="D4771" s="5">
        <v>44975</v>
      </c>
    </row>
    <row r="4772" spans="2:4">
      <c r="B4772" s="6" t="s">
        <v>75</v>
      </c>
      <c r="C4772" s="6" t="s">
        <v>164</v>
      </c>
      <c r="D4772" s="5">
        <v>44975</v>
      </c>
    </row>
    <row r="4773" spans="2:4">
      <c r="B4773" s="6" t="s">
        <v>411</v>
      </c>
      <c r="C4773" s="6" t="s">
        <v>187</v>
      </c>
      <c r="D4773" s="5">
        <v>44976</v>
      </c>
    </row>
    <row r="4774" spans="2:4">
      <c r="B4774" s="6" t="s">
        <v>770</v>
      </c>
      <c r="C4774" s="6" t="s">
        <v>251</v>
      </c>
      <c r="D4774" s="5">
        <v>44976</v>
      </c>
    </row>
    <row r="4775" spans="2:4">
      <c r="B4775" s="6" t="s">
        <v>58</v>
      </c>
      <c r="C4775" s="6" t="s">
        <v>777</v>
      </c>
      <c r="D4775" s="5">
        <v>44976</v>
      </c>
    </row>
    <row r="4776" spans="2:4">
      <c r="B4776" s="6" t="s">
        <v>422</v>
      </c>
      <c r="C4776" s="6" t="s">
        <v>172</v>
      </c>
      <c r="D4776" s="5">
        <v>44976</v>
      </c>
    </row>
    <row r="4777" spans="2:4">
      <c r="B4777" s="6" t="s">
        <v>145</v>
      </c>
      <c r="C4777" s="6" t="s">
        <v>95</v>
      </c>
      <c r="D4777" s="5">
        <v>44976</v>
      </c>
    </row>
    <row r="4778" spans="2:4">
      <c r="B4778" s="6" t="s">
        <v>363</v>
      </c>
      <c r="C4778" s="6" t="s">
        <v>186</v>
      </c>
      <c r="D4778" s="5">
        <v>44976</v>
      </c>
    </row>
    <row r="4779" spans="2:4">
      <c r="B4779" s="6" t="s">
        <v>280</v>
      </c>
      <c r="C4779" s="6" t="s">
        <v>139</v>
      </c>
      <c r="D4779" s="5">
        <v>44976</v>
      </c>
    </row>
    <row r="4780" spans="2:4">
      <c r="B4780" s="6" t="s">
        <v>241</v>
      </c>
      <c r="C4780" s="6" t="s">
        <v>119</v>
      </c>
      <c r="D4780" s="5">
        <v>44976</v>
      </c>
    </row>
    <row r="4781" spans="2:4">
      <c r="B4781" s="6" t="s">
        <v>244</v>
      </c>
      <c r="C4781" s="6" t="s">
        <v>285</v>
      </c>
      <c r="D4781" s="5">
        <v>44976</v>
      </c>
    </row>
    <row r="4782" spans="2:4">
      <c r="B4782" s="6" t="s">
        <v>216</v>
      </c>
      <c r="C4782" s="6" t="s">
        <v>117</v>
      </c>
      <c r="D4782" s="5">
        <v>44976</v>
      </c>
    </row>
    <row r="4783" spans="2:4">
      <c r="B4783" s="6" t="s">
        <v>233</v>
      </c>
      <c r="C4783" s="6" t="s">
        <v>211</v>
      </c>
      <c r="D4783" s="5">
        <v>44976</v>
      </c>
    </row>
    <row r="4784" spans="2:4">
      <c r="B4784" s="6" t="s">
        <v>361</v>
      </c>
      <c r="C4784" s="6" t="s">
        <v>204</v>
      </c>
      <c r="D4784" s="5">
        <v>44976</v>
      </c>
    </row>
    <row r="4785" spans="2:4">
      <c r="B4785" s="6" t="s">
        <v>112</v>
      </c>
      <c r="C4785" s="6" t="s">
        <v>230</v>
      </c>
      <c r="D4785" s="5">
        <v>44976</v>
      </c>
    </row>
    <row r="4786" spans="2:4">
      <c r="B4786" s="6" t="s">
        <v>252</v>
      </c>
      <c r="C4786" s="6" t="s">
        <v>337</v>
      </c>
      <c r="D4786" s="5">
        <v>44976</v>
      </c>
    </row>
    <row r="4787" spans="2:4">
      <c r="B4787" s="6" t="s">
        <v>296</v>
      </c>
      <c r="C4787" s="6" t="s">
        <v>266</v>
      </c>
      <c r="D4787" s="5">
        <v>44976</v>
      </c>
    </row>
    <row r="4788" spans="2:4">
      <c r="B4788" s="6" t="s">
        <v>212</v>
      </c>
      <c r="C4788" s="6" t="s">
        <v>144</v>
      </c>
      <c r="D4788" s="5">
        <v>44976</v>
      </c>
    </row>
    <row r="4789" spans="2:4">
      <c r="B4789" s="6" t="s">
        <v>347</v>
      </c>
      <c r="C4789" s="6" t="s">
        <v>122</v>
      </c>
      <c r="D4789" s="5">
        <v>44976</v>
      </c>
    </row>
    <row r="4790" spans="2:4">
      <c r="B4790" s="6" t="s">
        <v>341</v>
      </c>
      <c r="C4790" s="6" t="s">
        <v>275</v>
      </c>
      <c r="D4790" s="5">
        <v>44976</v>
      </c>
    </row>
    <row r="4791" spans="2:4">
      <c r="B4791" s="6" t="s">
        <v>42</v>
      </c>
      <c r="C4791" s="6" t="s">
        <v>41</v>
      </c>
      <c r="D4791" s="5">
        <v>44976</v>
      </c>
    </row>
    <row r="4792" spans="2:4">
      <c r="B4792" s="6" t="s">
        <v>397</v>
      </c>
      <c r="C4792" s="6" t="s">
        <v>256</v>
      </c>
      <c r="D4792" s="5">
        <v>44976</v>
      </c>
    </row>
    <row r="4793" spans="2:4">
      <c r="B4793" s="6" t="s">
        <v>67</v>
      </c>
      <c r="C4793" s="6" t="s">
        <v>56</v>
      </c>
      <c r="D4793" s="5">
        <v>44976</v>
      </c>
    </row>
    <row r="4794" spans="2:4">
      <c r="B4794" s="6" t="s">
        <v>111</v>
      </c>
      <c r="C4794" s="6" t="s">
        <v>436</v>
      </c>
      <c r="D4794" s="5">
        <v>44976</v>
      </c>
    </row>
    <row r="4795" spans="2:4">
      <c r="B4795" s="6" t="s">
        <v>68</v>
      </c>
      <c r="C4795" s="6" t="s">
        <v>61</v>
      </c>
      <c r="D4795" s="5">
        <v>44976</v>
      </c>
    </row>
    <row r="4796" spans="2:4">
      <c r="B4796" s="6" t="s">
        <v>804</v>
      </c>
      <c r="C4796" s="6" t="s">
        <v>69</v>
      </c>
      <c r="D4796" s="5">
        <v>44976</v>
      </c>
    </row>
    <row r="4797" spans="2:4">
      <c r="B4797" s="6" t="s">
        <v>162</v>
      </c>
      <c r="C4797" s="6" t="s">
        <v>163</v>
      </c>
      <c r="D4797" s="5">
        <v>44976</v>
      </c>
    </row>
    <row r="4798" spans="2:4">
      <c r="B4798" s="6" t="s">
        <v>249</v>
      </c>
      <c r="C4798" s="6" t="s">
        <v>332</v>
      </c>
      <c r="D4798" s="5">
        <v>44977</v>
      </c>
    </row>
    <row r="4799" spans="2:4">
      <c r="B4799" s="6" t="s">
        <v>314</v>
      </c>
      <c r="C4799" s="6" t="s">
        <v>232</v>
      </c>
      <c r="D4799" s="5">
        <v>44977</v>
      </c>
    </row>
    <row r="4800" spans="2:4">
      <c r="B4800" s="6" t="s">
        <v>141</v>
      </c>
      <c r="C4800" s="6" t="s">
        <v>236</v>
      </c>
      <c r="D4800" s="5">
        <v>44977</v>
      </c>
    </row>
    <row r="4801" spans="2:4">
      <c r="B4801" s="6" t="s">
        <v>44</v>
      </c>
      <c r="C4801" s="6" t="s">
        <v>43</v>
      </c>
      <c r="D4801" s="5">
        <v>44977</v>
      </c>
    </row>
    <row r="4802" spans="2:4">
      <c r="B4802" s="6" t="s">
        <v>32</v>
      </c>
      <c r="C4802" s="6" t="s">
        <v>778</v>
      </c>
      <c r="D4802" s="5">
        <v>44977</v>
      </c>
    </row>
    <row r="4803" spans="2:4">
      <c r="B4803" s="6" t="s">
        <v>238</v>
      </c>
      <c r="C4803" s="6" t="s">
        <v>96</v>
      </c>
      <c r="D4803" s="5">
        <v>44977</v>
      </c>
    </row>
    <row r="4804" spans="2:4">
      <c r="B4804" s="6" t="s">
        <v>335</v>
      </c>
      <c r="C4804" s="6" t="s">
        <v>277</v>
      </c>
      <c r="D4804" s="5">
        <v>44977</v>
      </c>
    </row>
    <row r="4805" spans="2:4">
      <c r="B4805" s="6" t="s">
        <v>264</v>
      </c>
      <c r="C4805" s="6" t="s">
        <v>276</v>
      </c>
      <c r="D4805" s="5">
        <v>44977</v>
      </c>
    </row>
    <row r="4806" spans="2:4">
      <c r="B4806" s="6" t="s">
        <v>310</v>
      </c>
      <c r="C4806" s="6" t="s">
        <v>116</v>
      </c>
      <c r="D4806" s="5">
        <v>44977</v>
      </c>
    </row>
    <row r="4807" spans="2:4">
      <c r="B4807" s="6" t="s">
        <v>399</v>
      </c>
      <c r="C4807" s="6" t="s">
        <v>303</v>
      </c>
      <c r="D4807" s="5">
        <v>44977</v>
      </c>
    </row>
    <row r="4808" spans="2:4">
      <c r="B4808" s="6" t="s">
        <v>34</v>
      </c>
      <c r="C4808" s="6" t="s">
        <v>26</v>
      </c>
      <c r="D4808" s="5">
        <v>44977</v>
      </c>
    </row>
    <row r="4809" spans="2:4">
      <c r="B4809" s="6" t="s">
        <v>308</v>
      </c>
      <c r="C4809" s="6" t="s">
        <v>170</v>
      </c>
      <c r="D4809" s="5">
        <v>44977</v>
      </c>
    </row>
    <row r="4810" spans="2:4">
      <c r="B4810" s="6" t="s">
        <v>586</v>
      </c>
      <c r="C4810" s="6" t="s">
        <v>428</v>
      </c>
      <c r="D4810" s="5">
        <v>44977</v>
      </c>
    </row>
    <row r="4811" spans="2:4">
      <c r="B4811" s="6" t="s">
        <v>423</v>
      </c>
      <c r="C4811" s="6" t="s">
        <v>621</v>
      </c>
      <c r="D4811" s="5">
        <v>44977</v>
      </c>
    </row>
    <row r="4812" spans="2:4">
      <c r="B4812" s="6" t="s">
        <v>599</v>
      </c>
      <c r="C4812" s="6" t="s">
        <v>154</v>
      </c>
      <c r="D4812" s="5">
        <v>44977</v>
      </c>
    </row>
    <row r="4813" spans="2:4">
      <c r="B4813" s="6" t="s">
        <v>207</v>
      </c>
      <c r="C4813" s="6" t="s">
        <v>167</v>
      </c>
      <c r="D4813" s="5">
        <v>44977</v>
      </c>
    </row>
    <row r="4814" spans="2:4">
      <c r="B4814" s="6" t="s">
        <v>169</v>
      </c>
      <c r="C4814" s="6" t="s">
        <v>433</v>
      </c>
      <c r="D4814" s="5">
        <v>44978</v>
      </c>
    </row>
    <row r="4815" spans="2:4">
      <c r="B4815" s="6" t="s">
        <v>203</v>
      </c>
      <c r="C4815" s="6" t="s">
        <v>362</v>
      </c>
      <c r="D4815" s="5">
        <v>44978</v>
      </c>
    </row>
    <row r="4816" spans="2:4">
      <c r="B4816" s="6" t="s">
        <v>39</v>
      </c>
      <c r="C4816" s="6" t="s">
        <v>35</v>
      </c>
      <c r="D4816" s="5">
        <v>44978</v>
      </c>
    </row>
    <row r="4817" spans="2:4">
      <c r="B4817" s="6" t="s">
        <v>750</v>
      </c>
      <c r="C4817" s="6" t="s">
        <v>28</v>
      </c>
      <c r="D4817" s="5">
        <v>44978</v>
      </c>
    </row>
    <row r="4818" spans="2:4">
      <c r="B4818" s="6" t="s">
        <v>91</v>
      </c>
      <c r="C4818" s="6" t="s">
        <v>86</v>
      </c>
      <c r="D4818" s="5">
        <v>44978</v>
      </c>
    </row>
    <row r="4819" spans="2:4">
      <c r="B4819" s="6" t="s">
        <v>320</v>
      </c>
      <c r="C4819" s="6" t="s">
        <v>312</v>
      </c>
      <c r="D4819" s="5">
        <v>44978</v>
      </c>
    </row>
    <row r="4820" spans="2:4">
      <c r="B4820" s="6" t="s">
        <v>52</v>
      </c>
      <c r="C4820" s="6" t="s">
        <v>48</v>
      </c>
      <c r="D4820" s="5">
        <v>44978</v>
      </c>
    </row>
    <row r="4821" spans="2:4">
      <c r="B4821" s="6" t="s">
        <v>49</v>
      </c>
      <c r="C4821" s="6" t="s">
        <v>50</v>
      </c>
      <c r="D4821" s="5">
        <v>44978</v>
      </c>
    </row>
    <row r="4822" spans="2:4">
      <c r="B4822" s="6" t="s">
        <v>87</v>
      </c>
      <c r="C4822" s="6" t="s">
        <v>763</v>
      </c>
      <c r="D4822" s="5">
        <v>44978</v>
      </c>
    </row>
    <row r="4823" spans="2:4">
      <c r="B4823" s="6" t="s">
        <v>334</v>
      </c>
      <c r="C4823" s="6" t="s">
        <v>121</v>
      </c>
      <c r="D4823" s="5">
        <v>44978</v>
      </c>
    </row>
    <row r="4824" spans="2:4">
      <c r="B4824" s="6" t="s">
        <v>200</v>
      </c>
      <c r="C4824" s="6" t="s">
        <v>133</v>
      </c>
      <c r="D4824" s="5">
        <v>44978</v>
      </c>
    </row>
    <row r="4825" spans="2:4">
      <c r="B4825" s="6" t="s">
        <v>247</v>
      </c>
      <c r="C4825" s="6" t="s">
        <v>414</v>
      </c>
      <c r="D4825" s="5">
        <v>44978</v>
      </c>
    </row>
    <row r="4826" spans="2:4">
      <c r="B4826" s="6" t="s">
        <v>140</v>
      </c>
      <c r="C4826" s="6" t="s">
        <v>105</v>
      </c>
      <c r="D4826" s="5">
        <v>44978</v>
      </c>
    </row>
    <row r="4827" spans="2:4">
      <c r="B4827" s="6" t="s">
        <v>109</v>
      </c>
      <c r="C4827" s="6" t="s">
        <v>180</v>
      </c>
      <c r="D4827" s="5">
        <v>44978</v>
      </c>
    </row>
    <row r="4828" spans="2:4">
      <c r="B4828" s="6" t="s">
        <v>127</v>
      </c>
      <c r="C4828" s="6" t="s">
        <v>400</v>
      </c>
      <c r="D4828" s="5">
        <v>44978</v>
      </c>
    </row>
    <row r="4829" spans="2:4">
      <c r="B4829" s="6" t="s">
        <v>209</v>
      </c>
      <c r="C4829" s="6" t="s">
        <v>288</v>
      </c>
      <c r="D4829" s="5">
        <v>44978</v>
      </c>
    </row>
    <row r="4830" spans="2:4">
      <c r="B4830" s="6" t="s">
        <v>412</v>
      </c>
      <c r="C4830" s="6" t="s">
        <v>418</v>
      </c>
      <c r="D4830" s="5">
        <v>44978</v>
      </c>
    </row>
    <row r="4831" spans="2:4">
      <c r="B4831" s="6" t="s">
        <v>95</v>
      </c>
      <c r="C4831" s="6" t="s">
        <v>275</v>
      </c>
      <c r="D4831" s="5">
        <v>44978</v>
      </c>
    </row>
    <row r="4832" spans="2:4">
      <c r="B4832" s="6" t="s">
        <v>38</v>
      </c>
      <c r="C4832" s="6" t="s">
        <v>37</v>
      </c>
      <c r="D4832" s="5">
        <v>44978</v>
      </c>
    </row>
    <row r="4833" spans="2:4">
      <c r="B4833" s="6" t="s">
        <v>84</v>
      </c>
      <c r="C4833" s="6" t="s">
        <v>89</v>
      </c>
      <c r="D4833" s="5">
        <v>44978</v>
      </c>
    </row>
    <row r="4834" spans="2:4">
      <c r="B4834" s="6" t="s">
        <v>30</v>
      </c>
      <c r="C4834" s="6" t="s">
        <v>747</v>
      </c>
      <c r="D4834" s="5">
        <v>44978</v>
      </c>
    </row>
    <row r="4835" spans="2:4">
      <c r="B4835" s="6" t="s">
        <v>761</v>
      </c>
      <c r="C4835" s="6" t="s">
        <v>62</v>
      </c>
      <c r="D4835" s="5">
        <v>44978</v>
      </c>
    </row>
    <row r="4836" spans="2:4">
      <c r="B4836" s="6" t="s">
        <v>29</v>
      </c>
      <c r="C4836" s="6" t="s">
        <v>27</v>
      </c>
      <c r="D4836" s="5">
        <v>44978</v>
      </c>
    </row>
    <row r="4837" spans="2:4">
      <c r="B4837" s="6" t="s">
        <v>152</v>
      </c>
      <c r="C4837" s="6" t="s">
        <v>168</v>
      </c>
      <c r="D4837" s="5">
        <v>44978</v>
      </c>
    </row>
    <row r="4838" spans="2:4">
      <c r="B4838" s="6" t="s">
        <v>198</v>
      </c>
      <c r="C4838" s="6" t="s">
        <v>394</v>
      </c>
      <c r="D4838" s="5">
        <v>44978</v>
      </c>
    </row>
    <row r="4839" spans="2:4">
      <c r="B4839" s="6" t="s">
        <v>392</v>
      </c>
      <c r="C4839" s="6" t="s">
        <v>386</v>
      </c>
      <c r="D4839" s="5">
        <v>44978</v>
      </c>
    </row>
    <row r="4840" spans="2:4">
      <c r="B4840" s="6" t="s">
        <v>120</v>
      </c>
      <c r="C4840" s="6" t="s">
        <v>248</v>
      </c>
      <c r="D4840" s="5">
        <v>44979</v>
      </c>
    </row>
    <row r="4841" spans="2:4">
      <c r="B4841" s="6" t="s">
        <v>148</v>
      </c>
      <c r="C4841" s="6" t="s">
        <v>278</v>
      </c>
      <c r="D4841" s="5">
        <v>44979</v>
      </c>
    </row>
    <row r="4842" spans="2:4">
      <c r="B4842" s="6" t="s">
        <v>732</v>
      </c>
      <c r="C4842" s="6" t="s">
        <v>40</v>
      </c>
      <c r="D4842" s="5">
        <v>44979</v>
      </c>
    </row>
    <row r="4843" spans="2:4">
      <c r="B4843" s="6" t="s">
        <v>79</v>
      </c>
      <c r="C4843" s="6" t="s">
        <v>80</v>
      </c>
      <c r="D4843" s="5">
        <v>44979</v>
      </c>
    </row>
    <row r="4844" spans="2:4">
      <c r="B4844" s="6" t="s">
        <v>54</v>
      </c>
      <c r="C4844" s="6" t="s">
        <v>188</v>
      </c>
      <c r="D4844" s="5">
        <v>44979</v>
      </c>
    </row>
    <row r="4845" spans="2:4">
      <c r="B4845" s="6" t="s">
        <v>300</v>
      </c>
      <c r="C4845" s="6" t="s">
        <v>214</v>
      </c>
      <c r="D4845" s="5">
        <v>44979</v>
      </c>
    </row>
    <row r="4846" spans="2:4">
      <c r="B4846" s="6" t="s">
        <v>114</v>
      </c>
      <c r="C4846" s="6" t="s">
        <v>113</v>
      </c>
      <c r="D4846" s="5">
        <v>44979</v>
      </c>
    </row>
    <row r="4847" spans="2:4">
      <c r="B4847" s="6" t="s">
        <v>187</v>
      </c>
      <c r="C4847" s="6" t="s">
        <v>145</v>
      </c>
      <c r="D4847" s="5">
        <v>44979</v>
      </c>
    </row>
    <row r="4848" spans="2:4">
      <c r="B4848" s="6" t="s">
        <v>411</v>
      </c>
      <c r="C4848" s="6" t="s">
        <v>231</v>
      </c>
      <c r="D4848" s="5">
        <v>44979</v>
      </c>
    </row>
    <row r="4849" spans="2:4">
      <c r="B4849" s="6" t="s">
        <v>137</v>
      </c>
      <c r="C4849" s="6" t="s">
        <v>176</v>
      </c>
      <c r="D4849" s="5">
        <v>44979</v>
      </c>
    </row>
    <row r="4850" spans="2:4">
      <c r="B4850" s="6" t="s">
        <v>580</v>
      </c>
      <c r="C4850" s="6" t="s">
        <v>131</v>
      </c>
      <c r="D4850" s="5">
        <v>44979</v>
      </c>
    </row>
    <row r="4851" spans="2:4">
      <c r="B4851" s="6" t="s">
        <v>139</v>
      </c>
      <c r="C4851" s="6" t="s">
        <v>119</v>
      </c>
      <c r="D4851" s="5">
        <v>44979</v>
      </c>
    </row>
    <row r="4852" spans="2:4">
      <c r="B4852" s="6" t="s">
        <v>51</v>
      </c>
      <c r="C4852" s="6" t="s">
        <v>47</v>
      </c>
      <c r="D4852" s="5">
        <v>44979</v>
      </c>
    </row>
    <row r="4853" spans="2:4">
      <c r="B4853" s="6" t="s">
        <v>301</v>
      </c>
      <c r="C4853" s="6" t="s">
        <v>269</v>
      </c>
      <c r="D4853" s="5">
        <v>44979</v>
      </c>
    </row>
    <row r="4854" spans="2:4">
      <c r="B4854" s="6" t="s">
        <v>253</v>
      </c>
      <c r="C4854" s="6" t="s">
        <v>174</v>
      </c>
      <c r="D4854" s="5">
        <v>44979</v>
      </c>
    </row>
    <row r="4855" spans="2:4">
      <c r="B4855" s="6" t="s">
        <v>177</v>
      </c>
      <c r="C4855" s="6" t="s">
        <v>106</v>
      </c>
      <c r="D4855" s="5">
        <v>44979</v>
      </c>
    </row>
    <row r="4856" spans="2:4">
      <c r="B4856" s="6" t="s">
        <v>205</v>
      </c>
      <c r="C4856" s="6" t="s">
        <v>126</v>
      </c>
      <c r="D4856" s="5">
        <v>44979</v>
      </c>
    </row>
    <row r="4857" spans="2:4">
      <c r="B4857" s="6" t="s">
        <v>360</v>
      </c>
      <c r="C4857" s="6" t="s">
        <v>220</v>
      </c>
      <c r="D4857" s="5">
        <v>44979</v>
      </c>
    </row>
    <row r="4858" spans="2:4">
      <c r="B4858" s="6" t="s">
        <v>56</v>
      </c>
      <c r="C4858" s="6" t="s">
        <v>63</v>
      </c>
      <c r="D4858" s="5">
        <v>44979</v>
      </c>
    </row>
    <row r="4859" spans="2:4">
      <c r="B4859" s="6" t="s">
        <v>81</v>
      </c>
      <c r="C4859" s="6" t="s">
        <v>185</v>
      </c>
      <c r="D4859" s="5">
        <v>44979</v>
      </c>
    </row>
    <row r="4860" spans="2:4">
      <c r="B4860" s="6" t="s">
        <v>199</v>
      </c>
      <c r="C4860" s="6" t="s">
        <v>252</v>
      </c>
      <c r="D4860" s="5">
        <v>44979</v>
      </c>
    </row>
    <row r="4861" spans="2:4">
      <c r="B4861" s="6" t="s">
        <v>124</v>
      </c>
      <c r="C4861" s="6" t="s">
        <v>337</v>
      </c>
      <c r="D4861" s="5">
        <v>44979</v>
      </c>
    </row>
    <row r="4862" spans="2:4">
      <c r="B4862" s="6" t="s">
        <v>210</v>
      </c>
      <c r="C4862" s="6" t="s">
        <v>284</v>
      </c>
      <c r="D4862" s="5">
        <v>44979</v>
      </c>
    </row>
    <row r="4863" spans="2:4">
      <c r="B4863" s="6" t="s">
        <v>192</v>
      </c>
      <c r="C4863" s="6" t="s">
        <v>273</v>
      </c>
      <c r="D4863" s="5">
        <v>44979</v>
      </c>
    </row>
    <row r="4864" spans="2:4">
      <c r="B4864" s="6" t="s">
        <v>110</v>
      </c>
      <c r="C4864" s="6" t="s">
        <v>202</v>
      </c>
      <c r="D4864" s="5">
        <v>44979</v>
      </c>
    </row>
    <row r="4865" spans="2:4">
      <c r="B4865" s="6" t="s">
        <v>425</v>
      </c>
      <c r="C4865" s="6" t="s">
        <v>395</v>
      </c>
      <c r="D4865" s="5">
        <v>44979</v>
      </c>
    </row>
    <row r="4866" spans="2:4">
      <c r="B4866" s="6" t="s">
        <v>297</v>
      </c>
      <c r="C4866" s="6" t="s">
        <v>270</v>
      </c>
      <c r="D4866" s="5">
        <v>44979</v>
      </c>
    </row>
    <row r="4867" spans="2:4">
      <c r="B4867" s="6" t="s">
        <v>191</v>
      </c>
      <c r="C4867" s="6" t="s">
        <v>298</v>
      </c>
      <c r="D4867" s="5">
        <v>44979</v>
      </c>
    </row>
    <row r="4868" spans="2:4">
      <c r="B4868" s="6" t="s">
        <v>104</v>
      </c>
      <c r="C4868" s="6" t="s">
        <v>102</v>
      </c>
      <c r="D4868" s="5">
        <v>44979</v>
      </c>
    </row>
    <row r="4869" spans="2:4">
      <c r="B4869" s="6" t="s">
        <v>436</v>
      </c>
      <c r="C4869" s="6" t="s">
        <v>282</v>
      </c>
      <c r="D4869" s="5">
        <v>44979</v>
      </c>
    </row>
    <row r="4870" spans="2:4">
      <c r="B4870" s="6" t="s">
        <v>111</v>
      </c>
      <c r="C4870" s="6" t="s">
        <v>171</v>
      </c>
      <c r="D4870" s="5">
        <v>44979</v>
      </c>
    </row>
    <row r="4871" spans="2:4">
      <c r="B4871" s="6" t="s">
        <v>267</v>
      </c>
      <c r="C4871" s="6" t="s">
        <v>287</v>
      </c>
      <c r="D4871" s="5">
        <v>44979</v>
      </c>
    </row>
    <row r="4872" spans="2:4">
      <c r="B4872" s="6" t="s">
        <v>261</v>
      </c>
      <c r="C4872" s="6" t="s">
        <v>103</v>
      </c>
      <c r="D4872" s="5">
        <v>44979</v>
      </c>
    </row>
    <row r="4873" spans="2:4">
      <c r="B4873" s="6" t="s">
        <v>136</v>
      </c>
      <c r="C4873" s="6" t="s">
        <v>316</v>
      </c>
      <c r="D4873" s="5">
        <v>44979</v>
      </c>
    </row>
    <row r="4874" spans="2:4">
      <c r="B4874" s="6" t="s">
        <v>409</v>
      </c>
      <c r="C4874" s="6" t="s">
        <v>193</v>
      </c>
      <c r="D4874" s="5">
        <v>44979</v>
      </c>
    </row>
    <row r="4875" spans="2:4">
      <c r="B4875" s="6" t="s">
        <v>289</v>
      </c>
      <c r="C4875" s="6" t="s">
        <v>294</v>
      </c>
      <c r="D4875" s="5">
        <v>44979</v>
      </c>
    </row>
    <row r="4876" spans="2:4">
      <c r="B4876" s="6" t="s">
        <v>259</v>
      </c>
      <c r="C4876" s="6" t="s">
        <v>286</v>
      </c>
      <c r="D4876" s="5">
        <v>44979</v>
      </c>
    </row>
    <row r="4877" spans="2:4">
      <c r="B4877" s="6" t="s">
        <v>355</v>
      </c>
      <c r="C4877" s="6" t="s">
        <v>353</v>
      </c>
      <c r="D4877" s="5">
        <v>44979</v>
      </c>
    </row>
    <row r="4878" spans="2:4">
      <c r="B4878" s="6" t="s">
        <v>610</v>
      </c>
      <c r="C4878" s="6" t="s">
        <v>201</v>
      </c>
      <c r="D4878" s="5">
        <v>44979</v>
      </c>
    </row>
    <row r="4879" spans="2:4">
      <c r="B4879" s="6" t="s">
        <v>142</v>
      </c>
      <c r="C4879" s="6" t="s">
        <v>147</v>
      </c>
      <c r="D4879" s="5">
        <v>44979</v>
      </c>
    </row>
    <row r="4880" spans="2:4">
      <c r="B4880" s="6" t="s">
        <v>354</v>
      </c>
      <c r="C4880" s="6" t="s">
        <v>255</v>
      </c>
      <c r="D4880" s="5">
        <v>44979</v>
      </c>
    </row>
    <row r="4881" spans="2:4">
      <c r="B4881" s="6" t="s">
        <v>292</v>
      </c>
      <c r="C4881" s="6" t="s">
        <v>128</v>
      </c>
      <c r="D4881" s="5">
        <v>44979</v>
      </c>
    </row>
    <row r="4882" spans="2:4">
      <c r="B4882" s="6" t="s">
        <v>173</v>
      </c>
      <c r="C4882" s="6" t="s">
        <v>356</v>
      </c>
      <c r="D4882" s="5">
        <v>44979</v>
      </c>
    </row>
    <row r="4883" spans="2:4">
      <c r="B4883" s="6" t="s">
        <v>186</v>
      </c>
      <c r="C4883" s="6" t="s">
        <v>325</v>
      </c>
      <c r="D4883" s="5">
        <v>44979</v>
      </c>
    </row>
    <row r="4884" spans="2:4">
      <c r="B4884" s="6" t="s">
        <v>333</v>
      </c>
      <c r="C4884" s="6" t="s">
        <v>194</v>
      </c>
      <c r="D4884" s="5">
        <v>44979</v>
      </c>
    </row>
    <row r="4885" spans="2:4">
      <c r="B4885" s="6" t="s">
        <v>241</v>
      </c>
      <c r="C4885" s="6" t="s">
        <v>318</v>
      </c>
      <c r="D4885" s="5">
        <v>44979</v>
      </c>
    </row>
    <row r="4886" spans="2:4">
      <c r="B4886" s="6" t="s">
        <v>213</v>
      </c>
      <c r="C4886" s="6" t="s">
        <v>280</v>
      </c>
      <c r="D4886" s="5">
        <v>44979</v>
      </c>
    </row>
    <row r="4887" spans="2:4">
      <c r="B4887" s="6" t="s">
        <v>363</v>
      </c>
      <c r="C4887" s="6" t="s">
        <v>326</v>
      </c>
      <c r="D4887" s="5">
        <v>44979</v>
      </c>
    </row>
    <row r="4888" spans="2:4">
      <c r="B4888" s="6" t="s">
        <v>345</v>
      </c>
      <c r="C4888" s="6" t="s">
        <v>290</v>
      </c>
      <c r="D4888" s="5">
        <v>44979</v>
      </c>
    </row>
    <row r="4889" spans="2:4">
      <c r="B4889" s="6" t="s">
        <v>365</v>
      </c>
      <c r="C4889" s="6" t="s">
        <v>367</v>
      </c>
      <c r="D4889" s="5">
        <v>44979</v>
      </c>
    </row>
    <row r="4890" spans="2:4">
      <c r="B4890" s="6" t="s">
        <v>150</v>
      </c>
      <c r="C4890" s="6" t="s">
        <v>306</v>
      </c>
      <c r="D4890" s="5">
        <v>44979</v>
      </c>
    </row>
    <row r="4891" spans="2:4">
      <c r="B4891" s="6" t="s">
        <v>155</v>
      </c>
      <c r="C4891" s="6" t="s">
        <v>42</v>
      </c>
      <c r="D4891" s="5">
        <v>44979</v>
      </c>
    </row>
    <row r="4892" spans="2:4">
      <c r="B4892" s="6" t="s">
        <v>46</v>
      </c>
      <c r="C4892" s="6" t="s">
        <v>251</v>
      </c>
      <c r="D4892" s="5">
        <v>44979</v>
      </c>
    </row>
    <row r="4893" spans="2:4">
      <c r="B4893" s="6" t="s">
        <v>212</v>
      </c>
      <c r="C4893" s="6" t="s">
        <v>221</v>
      </c>
      <c r="D4893" s="5">
        <v>44979</v>
      </c>
    </row>
    <row r="4894" spans="2:4">
      <c r="B4894" s="6" t="s">
        <v>83</v>
      </c>
      <c r="C4894" s="6" t="s">
        <v>762</v>
      </c>
      <c r="D4894" s="5">
        <v>44979</v>
      </c>
    </row>
    <row r="4895" spans="2:4">
      <c r="B4895" s="6" t="s">
        <v>90</v>
      </c>
      <c r="C4895" s="6" t="s">
        <v>82</v>
      </c>
      <c r="D4895" s="5">
        <v>44979</v>
      </c>
    </row>
    <row r="4896" spans="2:4">
      <c r="B4896" s="6" t="s">
        <v>770</v>
      </c>
      <c r="C4896" s="6" t="s">
        <v>53</v>
      </c>
      <c r="D4896" s="5">
        <v>44979</v>
      </c>
    </row>
    <row r="4897" spans="2:4">
      <c r="B4897" s="6" t="s">
        <v>41</v>
      </c>
      <c r="C4897" s="6" t="s">
        <v>302</v>
      </c>
      <c r="D4897" s="5">
        <v>44979</v>
      </c>
    </row>
    <row r="4898" spans="2:4">
      <c r="B4898" s="6" t="s">
        <v>65</v>
      </c>
      <c r="C4898" s="6" t="s">
        <v>61</v>
      </c>
      <c r="D4898" s="5">
        <v>44979</v>
      </c>
    </row>
    <row r="4899" spans="2:4">
      <c r="B4899" s="6" t="s">
        <v>350</v>
      </c>
      <c r="C4899" s="6" t="s">
        <v>349</v>
      </c>
      <c r="D4899" s="5">
        <v>44979</v>
      </c>
    </row>
    <row r="4900" spans="2:4">
      <c r="B4900" s="6" t="s">
        <v>375</v>
      </c>
      <c r="C4900" s="6" t="s">
        <v>381</v>
      </c>
      <c r="D4900" s="5">
        <v>44979</v>
      </c>
    </row>
    <row r="4901" spans="2:4">
      <c r="B4901" s="6" t="s">
        <v>162</v>
      </c>
      <c r="C4901" s="6" t="s">
        <v>189</v>
      </c>
      <c r="D4901" s="5">
        <v>44979</v>
      </c>
    </row>
    <row r="4902" spans="2:4">
      <c r="B4902" s="6" t="s">
        <v>167</v>
      </c>
      <c r="C4902" s="6" t="s">
        <v>236</v>
      </c>
      <c r="D4902" s="5">
        <v>44980</v>
      </c>
    </row>
    <row r="4903" spans="2:4">
      <c r="B4903" s="6" t="s">
        <v>196</v>
      </c>
      <c r="C4903" s="6" t="s">
        <v>330</v>
      </c>
      <c r="D4903" s="5">
        <v>44980</v>
      </c>
    </row>
    <row r="4904" spans="2:4">
      <c r="B4904" s="6" t="s">
        <v>777</v>
      </c>
      <c r="C4904" s="6" t="s">
        <v>781</v>
      </c>
      <c r="D4904" s="5">
        <v>44980</v>
      </c>
    </row>
    <row r="4905" spans="2:4">
      <c r="B4905" s="6" t="s">
        <v>352</v>
      </c>
      <c r="C4905" s="6" t="s">
        <v>144</v>
      </c>
      <c r="D4905" s="5">
        <v>44980</v>
      </c>
    </row>
    <row r="4906" spans="2:4">
      <c r="B4906" s="6" t="s">
        <v>421</v>
      </c>
      <c r="C4906" s="6" t="s">
        <v>368</v>
      </c>
      <c r="D4906" s="5">
        <v>44980</v>
      </c>
    </row>
    <row r="4907" spans="2:4">
      <c r="B4907" s="6" t="s">
        <v>274</v>
      </c>
      <c r="C4907" s="6" t="s">
        <v>376</v>
      </c>
      <c r="D4907" s="5">
        <v>44980</v>
      </c>
    </row>
    <row r="4908" spans="2:4">
      <c r="B4908" s="6" t="s">
        <v>182</v>
      </c>
      <c r="C4908" s="6" t="s">
        <v>135</v>
      </c>
      <c r="D4908" s="5">
        <v>44980</v>
      </c>
    </row>
    <row r="4909" spans="2:4">
      <c r="B4909" s="6" t="s">
        <v>98</v>
      </c>
      <c r="C4909" s="6" t="s">
        <v>590</v>
      </c>
      <c r="D4909" s="5">
        <v>44980</v>
      </c>
    </row>
    <row r="4910" spans="2:4">
      <c r="B4910" s="6" t="s">
        <v>336</v>
      </c>
      <c r="C4910" s="6" t="s">
        <v>587</v>
      </c>
      <c r="D4910" s="5">
        <v>44980</v>
      </c>
    </row>
    <row r="4911" spans="2:4">
      <c r="B4911" s="6" t="s">
        <v>338</v>
      </c>
      <c r="C4911" s="6" t="s">
        <v>410</v>
      </c>
      <c r="D4911" s="5">
        <v>44980</v>
      </c>
    </row>
    <row r="4912" spans="2:4">
      <c r="B4912" s="6" t="s">
        <v>175</v>
      </c>
      <c r="C4912" s="6" t="s">
        <v>246</v>
      </c>
      <c r="D4912" s="5">
        <v>44980</v>
      </c>
    </row>
    <row r="4913" spans="2:4">
      <c r="B4913" s="6" t="s">
        <v>101</v>
      </c>
      <c r="C4913" s="6" t="s">
        <v>266</v>
      </c>
      <c r="D4913" s="5">
        <v>44980</v>
      </c>
    </row>
    <row r="4914" spans="2:4">
      <c r="B4914" s="6" t="s">
        <v>422</v>
      </c>
      <c r="C4914" s="6" t="s">
        <v>256</v>
      </c>
      <c r="D4914" s="5">
        <v>44980</v>
      </c>
    </row>
    <row r="4915" spans="2:4">
      <c r="B4915" s="6" t="s">
        <v>413</v>
      </c>
      <c r="C4915" s="6" t="s">
        <v>129</v>
      </c>
      <c r="D4915" s="5">
        <v>44980</v>
      </c>
    </row>
    <row r="4916" spans="2:4">
      <c r="B4916" s="6" t="s">
        <v>432</v>
      </c>
      <c r="C4916" s="6" t="s">
        <v>123</v>
      </c>
      <c r="D4916" s="5">
        <v>44980</v>
      </c>
    </row>
    <row r="4917" spans="2:4">
      <c r="B4917" s="6" t="s">
        <v>268</v>
      </c>
      <c r="C4917" s="6" t="s">
        <v>118</v>
      </c>
      <c r="D4917" s="5">
        <v>44980</v>
      </c>
    </row>
    <row r="4918" spans="2:4">
      <c r="B4918" s="6" t="s">
        <v>179</v>
      </c>
      <c r="C4918" s="6" t="s">
        <v>115</v>
      </c>
      <c r="D4918" s="5">
        <v>44980</v>
      </c>
    </row>
    <row r="4919" spans="2:4">
      <c r="B4919" s="6" t="s">
        <v>327</v>
      </c>
      <c r="C4919" s="6" t="s">
        <v>99</v>
      </c>
      <c r="D4919" s="5">
        <v>44980</v>
      </c>
    </row>
    <row r="4920" spans="2:4">
      <c r="B4920" s="6" t="s">
        <v>146</v>
      </c>
      <c r="C4920" s="6" t="s">
        <v>272</v>
      </c>
      <c r="D4920" s="5">
        <v>44980</v>
      </c>
    </row>
    <row r="4921" spans="2:4">
      <c r="B4921" s="6" t="s">
        <v>195</v>
      </c>
      <c r="C4921" s="6" t="s">
        <v>143</v>
      </c>
      <c r="D4921" s="5">
        <v>44980</v>
      </c>
    </row>
    <row r="4922" spans="2:4">
      <c r="B4922" s="6" t="s">
        <v>344</v>
      </c>
      <c r="C4922" s="6" t="s">
        <v>607</v>
      </c>
      <c r="D4922" s="5">
        <v>44980</v>
      </c>
    </row>
    <row r="4923" spans="2:4">
      <c r="B4923" s="6" t="s">
        <v>415</v>
      </c>
      <c r="C4923" s="6" t="s">
        <v>159</v>
      </c>
      <c r="D4923" s="5">
        <v>44980</v>
      </c>
    </row>
    <row r="4924" spans="2:4">
      <c r="B4924" s="6" t="s">
        <v>172</v>
      </c>
      <c r="C4924" s="6" t="s">
        <v>412</v>
      </c>
      <c r="D4924" s="5">
        <v>44980</v>
      </c>
    </row>
    <row r="4925" spans="2:4">
      <c r="B4925" s="6" t="s">
        <v>134</v>
      </c>
      <c r="C4925" s="6" t="s">
        <v>319</v>
      </c>
      <c r="D4925" s="5">
        <v>44980</v>
      </c>
    </row>
    <row r="4926" spans="2:4">
      <c r="B4926" s="6" t="s">
        <v>94</v>
      </c>
      <c r="C4926" s="6" t="s">
        <v>183</v>
      </c>
      <c r="D4926" s="5">
        <v>44980</v>
      </c>
    </row>
    <row r="4927" spans="2:4">
      <c r="B4927" s="6" t="s">
        <v>584</v>
      </c>
      <c r="C4927" s="6" t="s">
        <v>342</v>
      </c>
      <c r="D4927" s="5">
        <v>44980</v>
      </c>
    </row>
    <row r="4928" spans="2:4">
      <c r="B4928" s="6" t="s">
        <v>323</v>
      </c>
      <c r="C4928" s="6" t="s">
        <v>378</v>
      </c>
      <c r="D4928" s="5">
        <v>44980</v>
      </c>
    </row>
    <row r="4929" spans="2:4">
      <c r="B4929" s="6" t="s">
        <v>388</v>
      </c>
      <c r="C4929" s="6" t="s">
        <v>383</v>
      </c>
      <c r="D4929" s="5">
        <v>44980</v>
      </c>
    </row>
    <row r="4930" spans="2:4">
      <c r="B4930" s="6" t="s">
        <v>359</v>
      </c>
      <c r="C4930" s="6" t="s">
        <v>348</v>
      </c>
      <c r="D4930" s="5">
        <v>44980</v>
      </c>
    </row>
    <row r="4931" spans="2:4">
      <c r="B4931" s="6" t="s">
        <v>208</v>
      </c>
      <c r="C4931" s="6" t="s">
        <v>184</v>
      </c>
      <c r="D4931" s="5">
        <v>44980</v>
      </c>
    </row>
    <row r="4932" spans="2:4">
      <c r="B4932" s="6" t="s">
        <v>385</v>
      </c>
      <c r="C4932" s="6" t="s">
        <v>331</v>
      </c>
      <c r="D4932" s="5">
        <v>44980</v>
      </c>
    </row>
    <row r="4933" spans="2:4">
      <c r="B4933" s="6" t="s">
        <v>64</v>
      </c>
      <c r="C4933" s="6" t="s">
        <v>59</v>
      </c>
      <c r="D4933" s="5">
        <v>44980</v>
      </c>
    </row>
    <row r="4934" spans="2:4">
      <c r="B4934" s="6" t="s">
        <v>640</v>
      </c>
      <c r="C4934" s="6" t="s">
        <v>588</v>
      </c>
      <c r="D4934" s="5">
        <v>44980</v>
      </c>
    </row>
    <row r="4935" spans="2:4">
      <c r="B4935" s="6" t="s">
        <v>295</v>
      </c>
      <c r="C4935" s="6" t="s">
        <v>343</v>
      </c>
      <c r="D4935" s="5">
        <v>44980</v>
      </c>
    </row>
    <row r="4936" spans="2:4">
      <c r="B4936" s="6" t="s">
        <v>615</v>
      </c>
      <c r="C4936" s="6" t="s">
        <v>304</v>
      </c>
      <c r="D4936" s="5">
        <v>44980</v>
      </c>
    </row>
    <row r="4937" spans="2:4">
      <c r="B4937" s="6" t="s">
        <v>329</v>
      </c>
      <c r="C4937" s="6" t="s">
        <v>305</v>
      </c>
      <c r="D4937" s="5">
        <v>44980</v>
      </c>
    </row>
    <row r="4938" spans="2:4">
      <c r="B4938" s="6" t="s">
        <v>370</v>
      </c>
      <c r="C4938" s="6" t="s">
        <v>240</v>
      </c>
      <c r="D4938" s="5">
        <v>44980</v>
      </c>
    </row>
    <row r="4939" spans="2:4">
      <c r="B4939" s="6" t="s">
        <v>358</v>
      </c>
      <c r="C4939" s="6" t="s">
        <v>296</v>
      </c>
      <c r="D4939" s="5">
        <v>44980</v>
      </c>
    </row>
    <row r="4940" spans="2:4">
      <c r="B4940" s="6" t="s">
        <v>60</v>
      </c>
      <c r="C4940" s="6" t="s">
        <v>68</v>
      </c>
      <c r="D4940" s="5">
        <v>44980</v>
      </c>
    </row>
    <row r="4941" spans="2:4">
      <c r="B4941" s="6" t="s">
        <v>313</v>
      </c>
      <c r="C4941" s="6" t="s">
        <v>373</v>
      </c>
      <c r="D4941" s="5">
        <v>44980</v>
      </c>
    </row>
    <row r="4942" spans="2:4">
      <c r="B4942" s="6" t="s">
        <v>72</v>
      </c>
      <c r="C4942" s="6" t="s">
        <v>74</v>
      </c>
      <c r="D4942" s="5">
        <v>44980</v>
      </c>
    </row>
    <row r="4943" spans="2:4">
      <c r="B4943" s="6" t="s">
        <v>164</v>
      </c>
      <c r="C4943" s="6" t="s">
        <v>71</v>
      </c>
      <c r="D4943" s="5">
        <v>44980</v>
      </c>
    </row>
    <row r="4944" spans="2:4">
      <c r="B4944" s="6" t="s">
        <v>250</v>
      </c>
      <c r="C4944" s="6" t="s">
        <v>309</v>
      </c>
      <c r="D4944" s="5">
        <v>44980</v>
      </c>
    </row>
    <row r="4945" spans="2:4">
      <c r="B4945" s="6" t="s">
        <v>603</v>
      </c>
      <c r="C4945" s="6" t="s">
        <v>321</v>
      </c>
      <c r="D4945" s="5">
        <v>44980</v>
      </c>
    </row>
    <row r="4946" spans="2:4">
      <c r="B4946" s="6" t="s">
        <v>324</v>
      </c>
      <c r="C4946" s="6" t="s">
        <v>397</v>
      </c>
      <c r="D4946" s="5">
        <v>44980</v>
      </c>
    </row>
    <row r="4947" spans="2:4">
      <c r="B4947" s="6" t="s">
        <v>391</v>
      </c>
      <c r="C4947" s="6" t="s">
        <v>389</v>
      </c>
      <c r="D4947" s="5">
        <v>44980</v>
      </c>
    </row>
    <row r="4948" spans="2:4">
      <c r="B4948" s="6" t="s">
        <v>190</v>
      </c>
      <c r="C4948" s="6" t="s">
        <v>402</v>
      </c>
      <c r="D4948" s="5">
        <v>44980</v>
      </c>
    </row>
    <row r="4949" spans="2:4">
      <c r="B4949" s="6" t="s">
        <v>153</v>
      </c>
      <c r="C4949" s="6" t="s">
        <v>158</v>
      </c>
      <c r="D4949" s="5">
        <v>44980</v>
      </c>
    </row>
    <row r="4950" spans="2:4">
      <c r="B4950" s="6" t="s">
        <v>206</v>
      </c>
      <c r="C4950" s="6" t="s">
        <v>393</v>
      </c>
      <c r="D4950" s="5">
        <v>44980</v>
      </c>
    </row>
    <row r="4951" spans="2:4">
      <c r="B4951" s="6" t="s">
        <v>398</v>
      </c>
      <c r="C4951" s="6" t="s">
        <v>427</v>
      </c>
      <c r="D4951" s="5">
        <v>44980</v>
      </c>
    </row>
    <row r="4952" spans="2:4">
      <c r="B4952" s="6" t="s">
        <v>160</v>
      </c>
      <c r="C4952" s="6" t="s">
        <v>165</v>
      </c>
      <c r="D4952" s="5">
        <v>44980</v>
      </c>
    </row>
    <row r="4953" spans="2:4">
      <c r="B4953" s="6" t="s">
        <v>423</v>
      </c>
      <c r="C4953" s="6" t="s">
        <v>420</v>
      </c>
      <c r="D4953" s="5">
        <v>44980</v>
      </c>
    </row>
    <row r="4954" spans="2:4">
      <c r="B4954" s="6" t="s">
        <v>599</v>
      </c>
      <c r="C4954" s="6" t="s">
        <v>586</v>
      </c>
      <c r="D4954" s="5">
        <v>44980</v>
      </c>
    </row>
    <row r="4955" spans="2:4">
      <c r="B4955" s="6" t="s">
        <v>621</v>
      </c>
      <c r="C4955" s="6" t="s">
        <v>141</v>
      </c>
      <c r="D4955" s="5">
        <v>44980</v>
      </c>
    </row>
    <row r="4956" spans="2:4">
      <c r="B4956" s="6" t="s">
        <v>77</v>
      </c>
      <c r="C4956" s="6" t="s">
        <v>75</v>
      </c>
      <c r="D4956" s="5">
        <v>44980</v>
      </c>
    </row>
    <row r="4957" spans="2:4">
      <c r="B4957" s="6" t="s">
        <v>132</v>
      </c>
      <c r="C4957" s="6" t="s">
        <v>166</v>
      </c>
      <c r="D4957" s="5">
        <v>44980</v>
      </c>
    </row>
    <row r="4958" spans="2:4">
      <c r="B4958" s="6" t="s">
        <v>93</v>
      </c>
      <c r="C4958" s="6" t="s">
        <v>804</v>
      </c>
      <c r="D4958" s="5">
        <v>44980</v>
      </c>
    </row>
    <row r="4959" spans="2:4">
      <c r="B4959" s="6" t="s">
        <v>404</v>
      </c>
      <c r="C4959" s="6" t="s">
        <v>161</v>
      </c>
      <c r="D4959" s="5">
        <v>44980</v>
      </c>
    </row>
    <row r="4960" spans="2:4">
      <c r="B4960" s="6" t="s">
        <v>428</v>
      </c>
      <c r="C4960" s="6" t="s">
        <v>154</v>
      </c>
      <c r="D4960" s="5">
        <v>44980</v>
      </c>
    </row>
    <row r="4961" spans="2:4">
      <c r="B4961" s="6" t="s">
        <v>142</v>
      </c>
      <c r="C4961" s="6" t="s">
        <v>128</v>
      </c>
      <c r="D4961" s="5">
        <v>44981</v>
      </c>
    </row>
    <row r="4962" spans="2:4">
      <c r="B4962" s="6" t="s">
        <v>173</v>
      </c>
      <c r="C4962" s="6" t="s">
        <v>353</v>
      </c>
      <c r="D4962" s="5">
        <v>44981</v>
      </c>
    </row>
    <row r="4963" spans="2:4">
      <c r="B4963" s="6" t="s">
        <v>117</v>
      </c>
      <c r="C4963" s="6" t="s">
        <v>130</v>
      </c>
      <c r="D4963" s="5">
        <v>44981</v>
      </c>
    </row>
    <row r="4964" spans="2:4">
      <c r="B4964" s="6" t="s">
        <v>204</v>
      </c>
      <c r="C4964" s="6" t="s">
        <v>112</v>
      </c>
      <c r="D4964" s="5">
        <v>44981</v>
      </c>
    </row>
    <row r="4965" spans="2:4">
      <c r="B4965" s="6" t="s">
        <v>233</v>
      </c>
      <c r="C4965" s="6" t="s">
        <v>285</v>
      </c>
      <c r="D4965" s="5">
        <v>44981</v>
      </c>
    </row>
    <row r="4966" spans="2:4">
      <c r="B4966" s="6" t="s">
        <v>230</v>
      </c>
      <c r="C4966" s="6" t="s">
        <v>361</v>
      </c>
      <c r="D4966" s="5">
        <v>44981</v>
      </c>
    </row>
    <row r="4967" spans="2:4">
      <c r="B4967" s="6" t="s">
        <v>211</v>
      </c>
      <c r="C4967" s="6" t="s">
        <v>244</v>
      </c>
      <c r="D4967" s="5">
        <v>44981</v>
      </c>
    </row>
    <row r="4968" spans="2:4">
      <c r="B4968" s="6" t="s">
        <v>36</v>
      </c>
      <c r="C4968" s="6" t="s">
        <v>39</v>
      </c>
      <c r="D4968" s="5">
        <v>44981</v>
      </c>
    </row>
    <row r="4969" spans="2:4">
      <c r="B4969" s="6" t="s">
        <v>121</v>
      </c>
      <c r="C4969" s="6" t="s">
        <v>200</v>
      </c>
      <c r="D4969" s="5">
        <v>44981</v>
      </c>
    </row>
    <row r="4970" spans="2:4">
      <c r="B4970" s="6" t="s">
        <v>136</v>
      </c>
      <c r="C4970" s="6" t="s">
        <v>193</v>
      </c>
      <c r="D4970" s="5">
        <v>44981</v>
      </c>
    </row>
    <row r="4971" spans="2:4">
      <c r="B4971" s="6" t="s">
        <v>194</v>
      </c>
      <c r="C4971" s="6" t="s">
        <v>294</v>
      </c>
      <c r="D4971" s="5">
        <v>44981</v>
      </c>
    </row>
    <row r="4972" spans="2:4">
      <c r="B4972" s="6" t="s">
        <v>289</v>
      </c>
      <c r="C4972" s="6" t="s">
        <v>286</v>
      </c>
      <c r="D4972" s="5">
        <v>44981</v>
      </c>
    </row>
    <row r="4973" spans="2:4">
      <c r="B4973" s="6" t="s">
        <v>355</v>
      </c>
      <c r="C4973" s="6" t="s">
        <v>356</v>
      </c>
      <c r="D4973" s="5">
        <v>44981</v>
      </c>
    </row>
    <row r="4974" spans="2:4">
      <c r="B4974" s="6" t="s">
        <v>354</v>
      </c>
      <c r="C4974" s="6" t="s">
        <v>248</v>
      </c>
      <c r="D4974" s="5">
        <v>44981</v>
      </c>
    </row>
    <row r="4975" spans="2:4">
      <c r="B4975" s="6" t="s">
        <v>120</v>
      </c>
      <c r="C4975" s="6" t="s">
        <v>255</v>
      </c>
      <c r="D4975" s="5">
        <v>44981</v>
      </c>
    </row>
    <row r="4976" spans="2:4">
      <c r="B4976" s="6" t="s">
        <v>201</v>
      </c>
      <c r="C4976" s="6" t="s">
        <v>610</v>
      </c>
      <c r="D4976" s="5">
        <v>44981</v>
      </c>
    </row>
    <row r="4977" spans="2:4">
      <c r="B4977" s="6" t="s">
        <v>292</v>
      </c>
      <c r="C4977" s="6" t="s">
        <v>147</v>
      </c>
      <c r="D4977" s="5">
        <v>44981</v>
      </c>
    </row>
    <row r="4978" spans="2:4">
      <c r="B4978" s="6" t="s">
        <v>333</v>
      </c>
      <c r="C4978" s="6" t="s">
        <v>367</v>
      </c>
      <c r="D4978" s="5">
        <v>44981</v>
      </c>
    </row>
    <row r="4979" spans="2:4">
      <c r="B4979" s="6" t="s">
        <v>365</v>
      </c>
      <c r="C4979" s="6" t="s">
        <v>306</v>
      </c>
      <c r="D4979" s="5">
        <v>44981</v>
      </c>
    </row>
    <row r="4980" spans="2:4">
      <c r="B4980" s="6" t="s">
        <v>150</v>
      </c>
      <c r="C4980" s="6" t="s">
        <v>316</v>
      </c>
      <c r="D4980" s="5">
        <v>44981</v>
      </c>
    </row>
    <row r="4981" spans="2:4">
      <c r="B4981" s="6" t="s">
        <v>409</v>
      </c>
      <c r="C4981" s="6" t="s">
        <v>259</v>
      </c>
      <c r="D4981" s="5">
        <v>44981</v>
      </c>
    </row>
    <row r="4982" spans="2:4">
      <c r="B4982" s="6" t="s">
        <v>386</v>
      </c>
      <c r="C4982" s="6" t="s">
        <v>152</v>
      </c>
      <c r="D4982" s="5">
        <v>44981</v>
      </c>
    </row>
    <row r="4983" spans="2:4">
      <c r="B4983" s="6" t="s">
        <v>381</v>
      </c>
      <c r="C4983" s="6" t="s">
        <v>424</v>
      </c>
      <c r="D4983" s="5">
        <v>44981</v>
      </c>
    </row>
    <row r="4984" spans="2:4">
      <c r="B4984" s="6" t="s">
        <v>163</v>
      </c>
      <c r="C4984" s="6" t="s">
        <v>198</v>
      </c>
      <c r="D4984" s="5">
        <v>44981</v>
      </c>
    </row>
    <row r="4985" spans="2:4">
      <c r="B4985" s="6" t="s">
        <v>394</v>
      </c>
      <c r="C4985" s="6" t="s">
        <v>169</v>
      </c>
      <c r="D4985" s="5">
        <v>44981</v>
      </c>
    </row>
    <row r="4986" spans="2:4">
      <c r="B4986" s="6" t="s">
        <v>251</v>
      </c>
      <c r="C4986" s="6" t="s">
        <v>188</v>
      </c>
      <c r="D4986" s="5">
        <v>44982</v>
      </c>
    </row>
    <row r="4987" spans="2:4">
      <c r="B4987" s="6" t="s">
        <v>44</v>
      </c>
      <c r="C4987" s="6" t="s">
        <v>52</v>
      </c>
      <c r="D4987" s="5">
        <v>44982</v>
      </c>
    </row>
    <row r="4988" spans="2:4">
      <c r="B4988" s="6" t="s">
        <v>82</v>
      </c>
      <c r="C4988" s="6" t="s">
        <v>84</v>
      </c>
      <c r="D4988" s="5">
        <v>44982</v>
      </c>
    </row>
    <row r="4989" spans="2:4">
      <c r="B4989" s="6" t="s">
        <v>314</v>
      </c>
      <c r="C4989" s="6" t="s">
        <v>308</v>
      </c>
      <c r="D4989" s="5">
        <v>44982</v>
      </c>
    </row>
    <row r="4990" spans="2:4">
      <c r="B4990" s="6" t="s">
        <v>131</v>
      </c>
      <c r="C4990" s="6" t="s">
        <v>148</v>
      </c>
      <c r="D4990" s="5">
        <v>44982</v>
      </c>
    </row>
    <row r="4991" spans="2:4">
      <c r="B4991" s="6" t="s">
        <v>77</v>
      </c>
      <c r="C4991" s="6" t="s">
        <v>74</v>
      </c>
      <c r="D4991" s="5">
        <v>44982</v>
      </c>
    </row>
    <row r="4992" spans="2:4">
      <c r="B4992" s="6" t="s">
        <v>395</v>
      </c>
      <c r="C4992" s="6" t="s">
        <v>297</v>
      </c>
      <c r="D4992" s="5">
        <v>44982</v>
      </c>
    </row>
    <row r="4993" spans="2:4">
      <c r="B4993" s="6" t="s">
        <v>171</v>
      </c>
      <c r="C4993" s="6" t="s">
        <v>282</v>
      </c>
      <c r="D4993" s="5">
        <v>44982</v>
      </c>
    </row>
    <row r="4994" spans="2:4">
      <c r="B4994" s="6" t="s">
        <v>362</v>
      </c>
      <c r="C4994" s="6" t="s">
        <v>400</v>
      </c>
      <c r="D4994" s="5">
        <v>44982</v>
      </c>
    </row>
    <row r="4995" spans="2:4">
      <c r="B4995" s="6" t="s">
        <v>165</v>
      </c>
      <c r="C4995" s="6" t="s">
        <v>396</v>
      </c>
      <c r="D4995" s="5">
        <v>44982</v>
      </c>
    </row>
    <row r="4996" spans="2:4">
      <c r="B4996" s="6" t="s">
        <v>427</v>
      </c>
      <c r="C4996" s="6" t="s">
        <v>161</v>
      </c>
      <c r="D4996" s="5">
        <v>44982</v>
      </c>
    </row>
    <row r="4997" spans="2:4">
      <c r="B4997" s="6" t="s">
        <v>35</v>
      </c>
      <c r="C4997" s="6" t="s">
        <v>38</v>
      </c>
      <c r="D4997" s="5">
        <v>44982</v>
      </c>
    </row>
    <row r="4998" spans="2:4">
      <c r="B4998" s="6" t="s">
        <v>27</v>
      </c>
      <c r="C4998" s="6" t="s">
        <v>34</v>
      </c>
      <c r="D4998" s="5">
        <v>44982</v>
      </c>
    </row>
    <row r="4999" spans="2:4">
      <c r="B4999" s="6" t="s">
        <v>747</v>
      </c>
      <c r="C4999" s="6" t="s">
        <v>29</v>
      </c>
      <c r="D4999" s="5">
        <v>44982</v>
      </c>
    </row>
    <row r="5000" spans="2:4">
      <c r="B5000" s="6" t="s">
        <v>770</v>
      </c>
      <c r="C5000" s="6" t="s">
        <v>51</v>
      </c>
      <c r="D5000" s="5">
        <v>44982</v>
      </c>
    </row>
    <row r="5001" spans="2:4">
      <c r="B5001" s="6" t="s">
        <v>302</v>
      </c>
      <c r="C5001" s="6" t="s">
        <v>732</v>
      </c>
      <c r="D5001" s="5">
        <v>44982</v>
      </c>
    </row>
    <row r="5002" spans="2:4">
      <c r="B5002" s="6" t="s">
        <v>61</v>
      </c>
      <c r="C5002" s="6" t="s">
        <v>761</v>
      </c>
      <c r="D5002" s="5">
        <v>44982</v>
      </c>
    </row>
    <row r="5003" spans="2:4">
      <c r="B5003" s="6" t="s">
        <v>278</v>
      </c>
      <c r="C5003" s="6" t="s">
        <v>114</v>
      </c>
      <c r="D5003" s="5">
        <v>44982</v>
      </c>
    </row>
    <row r="5004" spans="2:4">
      <c r="B5004" s="6" t="s">
        <v>89</v>
      </c>
      <c r="C5004" s="6" t="s">
        <v>87</v>
      </c>
      <c r="D5004" s="5">
        <v>44982</v>
      </c>
    </row>
    <row r="5005" spans="2:4">
      <c r="B5005" s="6" t="s">
        <v>209</v>
      </c>
      <c r="C5005" s="6" t="s">
        <v>127</v>
      </c>
      <c r="D5005" s="5">
        <v>44982</v>
      </c>
    </row>
    <row r="5006" spans="2:4">
      <c r="B5006" s="6" t="s">
        <v>405</v>
      </c>
      <c r="C5006" s="6" t="s">
        <v>175</v>
      </c>
      <c r="D5006" s="5">
        <v>44982</v>
      </c>
    </row>
    <row r="5007" spans="2:4">
      <c r="B5007" s="6" t="s">
        <v>246</v>
      </c>
      <c r="C5007" s="6" t="s">
        <v>336</v>
      </c>
      <c r="D5007" s="5">
        <v>44982</v>
      </c>
    </row>
    <row r="5008" spans="2:4">
      <c r="B5008" s="6" t="s">
        <v>410</v>
      </c>
      <c r="C5008" s="6" t="s">
        <v>587</v>
      </c>
      <c r="D5008" s="5">
        <v>44982</v>
      </c>
    </row>
    <row r="5009" spans="2:4">
      <c r="B5009" s="6" t="s">
        <v>422</v>
      </c>
      <c r="C5009" s="6" t="s">
        <v>266</v>
      </c>
      <c r="D5009" s="5">
        <v>44982</v>
      </c>
    </row>
    <row r="5010" spans="2:4">
      <c r="B5010" s="6" t="s">
        <v>28</v>
      </c>
      <c r="C5010" s="6" t="s">
        <v>30</v>
      </c>
      <c r="D5010" s="5">
        <v>44982</v>
      </c>
    </row>
    <row r="5011" spans="2:4">
      <c r="B5011" s="6" t="s">
        <v>70</v>
      </c>
      <c r="C5011" s="6" t="s">
        <v>719</v>
      </c>
      <c r="D5011" s="5">
        <v>44982</v>
      </c>
    </row>
    <row r="5012" spans="2:4">
      <c r="B5012" s="6" t="s">
        <v>113</v>
      </c>
      <c r="C5012" s="6" t="s">
        <v>137</v>
      </c>
      <c r="D5012" s="5">
        <v>44982</v>
      </c>
    </row>
    <row r="5013" spans="2:4">
      <c r="B5013" s="6" t="s">
        <v>778</v>
      </c>
      <c r="C5013" s="6" t="s">
        <v>750</v>
      </c>
      <c r="D5013" s="5">
        <v>44982</v>
      </c>
    </row>
    <row r="5014" spans="2:4">
      <c r="B5014" s="6" t="s">
        <v>50</v>
      </c>
      <c r="C5014" s="6" t="s">
        <v>43</v>
      </c>
      <c r="D5014" s="5">
        <v>44982</v>
      </c>
    </row>
    <row r="5015" spans="2:4">
      <c r="B5015" s="6" t="s">
        <v>48</v>
      </c>
      <c r="C5015" s="6" t="s">
        <v>737</v>
      </c>
      <c r="D5015" s="5">
        <v>44982</v>
      </c>
    </row>
    <row r="5016" spans="2:4">
      <c r="B5016" s="6" t="s">
        <v>126</v>
      </c>
      <c r="C5016" s="6" t="s">
        <v>174</v>
      </c>
      <c r="D5016" s="5">
        <v>44982</v>
      </c>
    </row>
    <row r="5017" spans="2:4">
      <c r="B5017" s="6" t="s">
        <v>108</v>
      </c>
      <c r="C5017" s="6" t="s">
        <v>97</v>
      </c>
      <c r="D5017" s="5">
        <v>44982</v>
      </c>
    </row>
    <row r="5018" spans="2:4">
      <c r="B5018" s="6" t="s">
        <v>419</v>
      </c>
      <c r="C5018" s="6" t="s">
        <v>351</v>
      </c>
      <c r="D5018" s="5">
        <v>44982</v>
      </c>
    </row>
    <row r="5019" spans="2:4">
      <c r="B5019" s="6" t="s">
        <v>138</v>
      </c>
      <c r="C5019" s="6" t="s">
        <v>107</v>
      </c>
      <c r="D5019" s="5">
        <v>44982</v>
      </c>
    </row>
    <row r="5020" spans="2:4">
      <c r="B5020" s="6" t="s">
        <v>421</v>
      </c>
      <c r="C5020" s="6" t="s">
        <v>376</v>
      </c>
      <c r="D5020" s="5">
        <v>44982</v>
      </c>
    </row>
    <row r="5021" spans="2:4">
      <c r="B5021" s="6" t="s">
        <v>191</v>
      </c>
      <c r="C5021" s="6" t="s">
        <v>110</v>
      </c>
      <c r="D5021" s="5">
        <v>44982</v>
      </c>
    </row>
    <row r="5022" spans="2:4">
      <c r="B5022" s="6" t="s">
        <v>273</v>
      </c>
      <c r="C5022" s="6" t="s">
        <v>425</v>
      </c>
      <c r="D5022" s="5">
        <v>44982</v>
      </c>
    </row>
    <row r="5023" spans="2:4">
      <c r="B5023" s="6" t="s">
        <v>202</v>
      </c>
      <c r="C5023" s="6" t="s">
        <v>298</v>
      </c>
      <c r="D5023" s="5">
        <v>44982</v>
      </c>
    </row>
    <row r="5024" spans="2:4">
      <c r="B5024" s="6" t="s">
        <v>140</v>
      </c>
      <c r="C5024" s="6" t="s">
        <v>203</v>
      </c>
      <c r="D5024" s="5">
        <v>44982</v>
      </c>
    </row>
    <row r="5025" spans="2:4">
      <c r="B5025" s="6" t="s">
        <v>359</v>
      </c>
      <c r="C5025" s="6" t="s">
        <v>330</v>
      </c>
      <c r="D5025" s="5">
        <v>44982</v>
      </c>
    </row>
    <row r="5026" spans="2:4">
      <c r="B5026" s="6" t="s">
        <v>196</v>
      </c>
      <c r="C5026" s="6" t="s">
        <v>348</v>
      </c>
      <c r="D5026" s="5">
        <v>44982</v>
      </c>
    </row>
    <row r="5027" spans="2:4">
      <c r="B5027" s="6" t="s">
        <v>268</v>
      </c>
      <c r="C5027" s="6" t="s">
        <v>179</v>
      </c>
      <c r="D5027" s="5">
        <v>44982</v>
      </c>
    </row>
    <row r="5028" spans="2:4">
      <c r="B5028" s="6" t="s">
        <v>413</v>
      </c>
      <c r="C5028" s="6" t="s">
        <v>115</v>
      </c>
      <c r="D5028" s="5">
        <v>44982</v>
      </c>
    </row>
    <row r="5029" spans="2:4">
      <c r="B5029" s="6" t="s">
        <v>178</v>
      </c>
      <c r="C5029" s="6" t="s">
        <v>272</v>
      </c>
      <c r="D5029" s="5">
        <v>44982</v>
      </c>
    </row>
    <row r="5030" spans="2:4">
      <c r="B5030" s="6" t="s">
        <v>349</v>
      </c>
      <c r="C5030" s="6" t="s">
        <v>124</v>
      </c>
      <c r="D5030" s="5">
        <v>44982</v>
      </c>
    </row>
    <row r="5031" spans="2:4">
      <c r="B5031" s="6" t="s">
        <v>323</v>
      </c>
      <c r="C5031" s="6" t="s">
        <v>607</v>
      </c>
      <c r="D5031" s="5">
        <v>44982</v>
      </c>
    </row>
    <row r="5032" spans="2:4">
      <c r="B5032" s="6" t="s">
        <v>102</v>
      </c>
      <c r="C5032" s="6" t="s">
        <v>111</v>
      </c>
      <c r="D5032" s="5">
        <v>44982</v>
      </c>
    </row>
    <row r="5033" spans="2:4">
      <c r="B5033" s="6" t="s">
        <v>385</v>
      </c>
      <c r="C5033" s="6" t="s">
        <v>184</v>
      </c>
      <c r="D5033" s="5">
        <v>44982</v>
      </c>
    </row>
    <row r="5034" spans="2:4">
      <c r="B5034" s="6" t="s">
        <v>305</v>
      </c>
      <c r="C5034" s="6" t="s">
        <v>250</v>
      </c>
      <c r="D5034" s="5">
        <v>44982</v>
      </c>
    </row>
    <row r="5035" spans="2:4">
      <c r="B5035" s="6" t="s">
        <v>101</v>
      </c>
      <c r="C5035" s="6" t="s">
        <v>256</v>
      </c>
      <c r="D5035" s="5">
        <v>44982</v>
      </c>
    </row>
    <row r="5036" spans="2:4">
      <c r="B5036" s="6" t="s">
        <v>67</v>
      </c>
      <c r="C5036" s="6" t="s">
        <v>63</v>
      </c>
      <c r="D5036" s="5">
        <v>44982</v>
      </c>
    </row>
    <row r="5037" spans="2:4">
      <c r="B5037" s="6" t="s">
        <v>763</v>
      </c>
      <c r="C5037" s="6" t="s">
        <v>91</v>
      </c>
      <c r="D5037" s="5">
        <v>44982</v>
      </c>
    </row>
    <row r="5038" spans="2:4">
      <c r="B5038" s="6" t="s">
        <v>247</v>
      </c>
      <c r="C5038" s="6" t="s">
        <v>109</v>
      </c>
      <c r="D5038" s="5">
        <v>44982</v>
      </c>
    </row>
    <row r="5039" spans="2:4">
      <c r="B5039" s="6" t="s">
        <v>80</v>
      </c>
      <c r="C5039" s="6" t="s">
        <v>83</v>
      </c>
      <c r="D5039" s="5">
        <v>44982</v>
      </c>
    </row>
    <row r="5040" spans="2:4">
      <c r="B5040" s="6" t="s">
        <v>26</v>
      </c>
      <c r="C5040" s="6" t="s">
        <v>32</v>
      </c>
      <c r="D5040" s="5">
        <v>44982</v>
      </c>
    </row>
    <row r="5041" spans="2:4">
      <c r="B5041" s="6" t="s">
        <v>277</v>
      </c>
      <c r="C5041" s="6" t="s">
        <v>96</v>
      </c>
      <c r="D5041" s="5">
        <v>44982</v>
      </c>
    </row>
    <row r="5042" spans="2:4">
      <c r="B5042" s="6" t="s">
        <v>170</v>
      </c>
      <c r="C5042" s="6" t="s">
        <v>382</v>
      </c>
      <c r="D5042" s="5">
        <v>44982</v>
      </c>
    </row>
    <row r="5043" spans="2:4">
      <c r="B5043" s="6" t="s">
        <v>238</v>
      </c>
      <c r="C5043" s="6" t="s">
        <v>264</v>
      </c>
      <c r="D5043" s="5">
        <v>44982</v>
      </c>
    </row>
    <row r="5044" spans="2:4">
      <c r="B5044" s="6" t="s">
        <v>116</v>
      </c>
      <c r="C5044" s="6" t="s">
        <v>335</v>
      </c>
      <c r="D5044" s="5">
        <v>44982</v>
      </c>
    </row>
    <row r="5045" spans="2:4">
      <c r="B5045" s="6" t="s">
        <v>242</v>
      </c>
      <c r="C5045" s="6" t="s">
        <v>373</v>
      </c>
      <c r="D5045" s="5">
        <v>44982</v>
      </c>
    </row>
    <row r="5046" spans="2:4">
      <c r="B5046" s="6" t="s">
        <v>220</v>
      </c>
      <c r="C5046" s="6" t="s">
        <v>176</v>
      </c>
      <c r="D5046" s="5">
        <v>44982</v>
      </c>
    </row>
    <row r="5047" spans="2:4">
      <c r="B5047" s="6" t="s">
        <v>182</v>
      </c>
      <c r="C5047" s="6" t="s">
        <v>143</v>
      </c>
      <c r="D5047" s="5">
        <v>44982</v>
      </c>
    </row>
    <row r="5048" spans="2:4">
      <c r="B5048" s="6" t="s">
        <v>276</v>
      </c>
      <c r="C5048" s="6" t="s">
        <v>310</v>
      </c>
      <c r="D5048" s="5">
        <v>44982</v>
      </c>
    </row>
    <row r="5049" spans="2:4">
      <c r="B5049" s="6" t="s">
        <v>319</v>
      </c>
      <c r="C5049" s="6" t="s">
        <v>584</v>
      </c>
      <c r="D5049" s="5">
        <v>44982</v>
      </c>
    </row>
    <row r="5050" spans="2:4">
      <c r="B5050" s="6" t="s">
        <v>433</v>
      </c>
      <c r="C5050" s="6" t="s">
        <v>162</v>
      </c>
      <c r="D5050" s="5">
        <v>44982</v>
      </c>
    </row>
    <row r="5051" spans="2:4">
      <c r="B5051" s="6" t="s">
        <v>287</v>
      </c>
      <c r="C5051" s="6" t="s">
        <v>261</v>
      </c>
      <c r="D5051" s="5">
        <v>44982</v>
      </c>
    </row>
    <row r="5052" spans="2:4">
      <c r="B5052" s="6" t="s">
        <v>436</v>
      </c>
      <c r="C5052" s="6" t="s">
        <v>267</v>
      </c>
      <c r="D5052" s="5">
        <v>44982</v>
      </c>
    </row>
    <row r="5053" spans="2:4">
      <c r="B5053" s="6" t="s">
        <v>105</v>
      </c>
      <c r="C5053" s="6" t="s">
        <v>414</v>
      </c>
      <c r="D5053" s="5">
        <v>44982</v>
      </c>
    </row>
    <row r="5054" spans="2:4">
      <c r="B5054" s="6" t="s">
        <v>338</v>
      </c>
      <c r="C5054" s="6" t="s">
        <v>98</v>
      </c>
      <c r="D5054" s="5">
        <v>44982</v>
      </c>
    </row>
    <row r="5055" spans="2:4">
      <c r="B5055" s="6" t="s">
        <v>432</v>
      </c>
      <c r="C5055" s="6" t="s">
        <v>99</v>
      </c>
      <c r="D5055" s="5">
        <v>44982</v>
      </c>
    </row>
    <row r="5056" spans="2:4">
      <c r="B5056" s="6" t="s">
        <v>426</v>
      </c>
      <c r="C5056" s="6" t="s">
        <v>403</v>
      </c>
      <c r="D5056" s="5">
        <v>44982</v>
      </c>
    </row>
    <row r="5057" spans="2:4">
      <c r="B5057" s="6" t="s">
        <v>183</v>
      </c>
      <c r="C5057" s="6" t="s">
        <v>342</v>
      </c>
      <c r="D5057" s="5">
        <v>44982</v>
      </c>
    </row>
    <row r="5058" spans="2:4">
      <c r="B5058" s="6" t="s">
        <v>370</v>
      </c>
      <c r="C5058" s="6" t="s">
        <v>321</v>
      </c>
      <c r="D5058" s="5">
        <v>44982</v>
      </c>
    </row>
    <row r="5059" spans="2:4">
      <c r="B5059" s="6" t="s">
        <v>309</v>
      </c>
      <c r="C5059" s="6" t="s">
        <v>615</v>
      </c>
      <c r="D5059" s="5">
        <v>44982</v>
      </c>
    </row>
    <row r="5060" spans="2:4">
      <c r="B5060" s="6" t="s">
        <v>329</v>
      </c>
      <c r="C5060" s="6" t="s">
        <v>304</v>
      </c>
      <c r="D5060" s="5">
        <v>44982</v>
      </c>
    </row>
    <row r="5061" spans="2:4">
      <c r="B5061" s="6" t="s">
        <v>603</v>
      </c>
      <c r="C5061" s="6" t="s">
        <v>240</v>
      </c>
      <c r="D5061" s="5">
        <v>44982</v>
      </c>
    </row>
    <row r="5062" spans="2:4">
      <c r="B5062" s="6" t="s">
        <v>232</v>
      </c>
      <c r="C5062" s="6" t="s">
        <v>181</v>
      </c>
      <c r="D5062" s="5">
        <v>44982</v>
      </c>
    </row>
    <row r="5063" spans="2:4">
      <c r="B5063" s="6" t="s">
        <v>156</v>
      </c>
      <c r="C5063" s="6" t="s">
        <v>399</v>
      </c>
      <c r="D5063" s="5">
        <v>44982</v>
      </c>
    </row>
    <row r="5064" spans="2:4">
      <c r="B5064" s="6" t="s">
        <v>580</v>
      </c>
      <c r="C5064" s="6" t="s">
        <v>360</v>
      </c>
      <c r="D5064" s="5">
        <v>44982</v>
      </c>
    </row>
    <row r="5065" spans="2:4">
      <c r="B5065" s="6" t="s">
        <v>164</v>
      </c>
      <c r="C5065" s="6" t="s">
        <v>804</v>
      </c>
      <c r="D5065" s="5">
        <v>44982</v>
      </c>
    </row>
    <row r="5066" spans="2:4">
      <c r="B5066" s="6" t="s">
        <v>49</v>
      </c>
      <c r="C5066" s="6" t="s">
        <v>47</v>
      </c>
      <c r="D5066" s="5">
        <v>44982</v>
      </c>
    </row>
    <row r="5067" spans="2:4">
      <c r="B5067" s="6" t="s">
        <v>269</v>
      </c>
      <c r="C5067" s="6" t="s">
        <v>253</v>
      </c>
      <c r="D5067" s="5">
        <v>44982</v>
      </c>
    </row>
    <row r="5068" spans="2:4">
      <c r="B5068" s="6" t="s">
        <v>295</v>
      </c>
      <c r="C5068" s="6" t="s">
        <v>588</v>
      </c>
      <c r="D5068" s="5">
        <v>44982</v>
      </c>
    </row>
    <row r="5069" spans="2:4">
      <c r="B5069" s="6" t="s">
        <v>288</v>
      </c>
      <c r="C5069" s="6" t="s">
        <v>180</v>
      </c>
      <c r="D5069" s="5">
        <v>44982</v>
      </c>
    </row>
    <row r="5070" spans="2:4">
      <c r="B5070" s="6" t="s">
        <v>151</v>
      </c>
      <c r="C5070" s="6" t="s">
        <v>357</v>
      </c>
      <c r="D5070" s="5">
        <v>44982</v>
      </c>
    </row>
    <row r="5071" spans="2:4">
      <c r="B5071" s="6" t="s">
        <v>640</v>
      </c>
      <c r="C5071" s="6" t="s">
        <v>343</v>
      </c>
      <c r="D5071" s="5">
        <v>44982</v>
      </c>
    </row>
    <row r="5072" spans="2:4">
      <c r="B5072" s="6" t="s">
        <v>415</v>
      </c>
      <c r="C5072" s="6" t="s">
        <v>378</v>
      </c>
      <c r="D5072" s="5">
        <v>44982</v>
      </c>
    </row>
    <row r="5073" spans="2:4">
      <c r="B5073" s="6" t="s">
        <v>270</v>
      </c>
      <c r="C5073" s="6" t="s">
        <v>192</v>
      </c>
      <c r="D5073" s="5">
        <v>44982</v>
      </c>
    </row>
    <row r="5074" spans="2:4">
      <c r="B5074" s="6" t="s">
        <v>86</v>
      </c>
      <c r="C5074" s="6" t="s">
        <v>90</v>
      </c>
      <c r="D5074" s="5">
        <v>44982</v>
      </c>
    </row>
    <row r="5075" spans="2:4">
      <c r="B5075" s="6" t="s">
        <v>214</v>
      </c>
      <c r="C5075" s="6" t="s">
        <v>281</v>
      </c>
      <c r="D5075" s="5">
        <v>44982</v>
      </c>
    </row>
    <row r="5076" spans="2:4">
      <c r="B5076" s="6" t="s">
        <v>185</v>
      </c>
      <c r="C5076" s="6" t="s">
        <v>79</v>
      </c>
      <c r="D5076" s="5">
        <v>44982</v>
      </c>
    </row>
    <row r="5077" spans="2:4">
      <c r="B5077" s="6" t="s">
        <v>133</v>
      </c>
      <c r="C5077" s="6" t="s">
        <v>350</v>
      </c>
      <c r="D5077" s="5">
        <v>44982</v>
      </c>
    </row>
    <row r="5078" spans="2:4">
      <c r="B5078" s="6" t="s">
        <v>337</v>
      </c>
      <c r="C5078" s="6" t="s">
        <v>210</v>
      </c>
      <c r="D5078" s="5">
        <v>44982</v>
      </c>
    </row>
    <row r="5079" spans="2:4">
      <c r="B5079" s="6" t="s">
        <v>391</v>
      </c>
      <c r="C5079" s="6" t="s">
        <v>402</v>
      </c>
      <c r="D5079" s="5">
        <v>44982</v>
      </c>
    </row>
    <row r="5080" spans="2:4">
      <c r="B5080" s="6" t="s">
        <v>364</v>
      </c>
      <c r="C5080" s="6" t="s">
        <v>249</v>
      </c>
      <c r="D5080" s="5">
        <v>44982</v>
      </c>
    </row>
    <row r="5081" spans="2:4">
      <c r="B5081" s="6" t="s">
        <v>303</v>
      </c>
      <c r="C5081" s="6" t="s">
        <v>332</v>
      </c>
      <c r="D5081" s="5">
        <v>44982</v>
      </c>
    </row>
    <row r="5082" spans="2:4">
      <c r="B5082" s="6" t="s">
        <v>231</v>
      </c>
      <c r="C5082" s="6" t="s">
        <v>341</v>
      </c>
      <c r="D5082" s="5">
        <v>44982</v>
      </c>
    </row>
    <row r="5083" spans="2:4">
      <c r="B5083" s="6" t="s">
        <v>53</v>
      </c>
      <c r="C5083" s="6" t="s">
        <v>46</v>
      </c>
      <c r="D5083" s="5">
        <v>44982</v>
      </c>
    </row>
    <row r="5084" spans="2:4">
      <c r="B5084" s="6" t="s">
        <v>106</v>
      </c>
      <c r="C5084" s="6" t="s">
        <v>205</v>
      </c>
      <c r="D5084" s="5">
        <v>44982</v>
      </c>
    </row>
    <row r="5085" spans="2:4">
      <c r="B5085" s="6" t="s">
        <v>215</v>
      </c>
      <c r="C5085" s="6" t="s">
        <v>177</v>
      </c>
      <c r="D5085" s="5">
        <v>44982</v>
      </c>
    </row>
    <row r="5086" spans="2:4">
      <c r="B5086" s="6" t="s">
        <v>100</v>
      </c>
      <c r="C5086" s="6" t="s">
        <v>125</v>
      </c>
      <c r="D5086" s="5">
        <v>44982</v>
      </c>
    </row>
    <row r="5087" spans="2:4">
      <c r="B5087" s="6" t="s">
        <v>274</v>
      </c>
      <c r="C5087" s="6" t="s">
        <v>368</v>
      </c>
      <c r="D5087" s="5">
        <v>44982</v>
      </c>
    </row>
    <row r="5088" spans="2:4">
      <c r="B5088" s="6" t="s">
        <v>94</v>
      </c>
      <c r="C5088" s="6" t="s">
        <v>134</v>
      </c>
      <c r="D5088" s="5">
        <v>44982</v>
      </c>
    </row>
    <row r="5089" spans="2:4">
      <c r="B5089" s="6" t="s">
        <v>345</v>
      </c>
      <c r="C5089" s="6" t="s">
        <v>383</v>
      </c>
      <c r="D5089" s="5">
        <v>44982</v>
      </c>
    </row>
    <row r="5090" spans="2:4">
      <c r="B5090" s="6" t="s">
        <v>103</v>
      </c>
      <c r="C5090" s="6" t="s">
        <v>104</v>
      </c>
      <c r="D5090" s="5">
        <v>44982</v>
      </c>
    </row>
    <row r="5091" spans="2:4">
      <c r="B5091" s="6" t="s">
        <v>172</v>
      </c>
      <c r="C5091" s="6" t="s">
        <v>418</v>
      </c>
      <c r="D5091" s="5">
        <v>44982</v>
      </c>
    </row>
    <row r="5092" spans="2:4">
      <c r="B5092" s="6" t="s">
        <v>324</v>
      </c>
      <c r="C5092" s="6" t="s">
        <v>296</v>
      </c>
      <c r="D5092" s="5">
        <v>44982</v>
      </c>
    </row>
    <row r="5093" spans="2:4">
      <c r="B5093" s="6" t="s">
        <v>327</v>
      </c>
      <c r="C5093" s="6" t="s">
        <v>123</v>
      </c>
      <c r="D5093" s="5">
        <v>44982</v>
      </c>
    </row>
    <row r="5094" spans="2:4">
      <c r="B5094" s="6" t="s">
        <v>129</v>
      </c>
      <c r="C5094" s="6" t="s">
        <v>118</v>
      </c>
      <c r="D5094" s="5">
        <v>44982</v>
      </c>
    </row>
    <row r="5095" spans="2:4">
      <c r="B5095" s="6" t="s">
        <v>420</v>
      </c>
      <c r="C5095" s="6" t="s">
        <v>599</v>
      </c>
      <c r="D5095" s="5">
        <v>44982</v>
      </c>
    </row>
    <row r="5096" spans="2:4">
      <c r="B5096" s="6" t="s">
        <v>58</v>
      </c>
      <c r="C5096" s="6" t="s">
        <v>62</v>
      </c>
      <c r="D5096" s="5">
        <v>44982</v>
      </c>
    </row>
    <row r="5097" spans="2:4">
      <c r="B5097" s="6" t="s">
        <v>37</v>
      </c>
      <c r="C5097" s="6" t="s">
        <v>155</v>
      </c>
      <c r="D5097" s="5">
        <v>44982</v>
      </c>
    </row>
    <row r="5098" spans="2:4">
      <c r="B5098" s="6" t="s">
        <v>344</v>
      </c>
      <c r="C5098" s="6" t="s">
        <v>388</v>
      </c>
      <c r="D5098" s="5">
        <v>44982</v>
      </c>
    </row>
    <row r="5099" spans="2:4">
      <c r="B5099" s="6" t="s">
        <v>275</v>
      </c>
      <c r="C5099" s="6" t="s">
        <v>212</v>
      </c>
      <c r="D5099" s="5">
        <v>44982</v>
      </c>
    </row>
    <row r="5100" spans="2:4">
      <c r="B5100" s="6" t="s">
        <v>313</v>
      </c>
      <c r="C5100" s="6" t="s">
        <v>195</v>
      </c>
      <c r="D5100" s="5">
        <v>44982</v>
      </c>
    </row>
    <row r="5101" spans="2:4">
      <c r="B5101" s="6" t="s">
        <v>208</v>
      </c>
      <c r="C5101" s="6" t="s">
        <v>331</v>
      </c>
      <c r="D5101" s="5">
        <v>44982</v>
      </c>
    </row>
    <row r="5102" spans="2:4">
      <c r="B5102" s="6" t="s">
        <v>358</v>
      </c>
      <c r="C5102" s="6" t="s">
        <v>397</v>
      </c>
      <c r="D5102" s="5">
        <v>44982</v>
      </c>
    </row>
    <row r="5103" spans="2:4">
      <c r="B5103" s="6" t="s">
        <v>153</v>
      </c>
      <c r="C5103" s="6" t="s">
        <v>393</v>
      </c>
      <c r="D5103" s="5">
        <v>44982</v>
      </c>
    </row>
    <row r="5104" spans="2:4">
      <c r="B5104" s="6" t="s">
        <v>762</v>
      </c>
      <c r="C5104" s="6" t="s">
        <v>81</v>
      </c>
      <c r="D5104" s="5">
        <v>44982</v>
      </c>
    </row>
    <row r="5105" spans="2:4">
      <c r="B5105" s="6" t="s">
        <v>190</v>
      </c>
      <c r="C5105" s="6" t="s">
        <v>389</v>
      </c>
      <c r="D5105" s="5">
        <v>44982</v>
      </c>
    </row>
    <row r="5106" spans="2:4">
      <c r="B5106" s="6" t="s">
        <v>206</v>
      </c>
      <c r="C5106" s="6" t="s">
        <v>158</v>
      </c>
      <c r="D5106" s="5">
        <v>44982</v>
      </c>
    </row>
    <row r="5107" spans="2:4">
      <c r="B5107" s="6" t="s">
        <v>132</v>
      </c>
      <c r="C5107" s="6" t="s">
        <v>398</v>
      </c>
      <c r="D5107" s="5">
        <v>44982</v>
      </c>
    </row>
    <row r="5108" spans="2:4">
      <c r="B5108" s="6" t="s">
        <v>189</v>
      </c>
      <c r="C5108" s="6" t="s">
        <v>392</v>
      </c>
      <c r="D5108" s="5">
        <v>44982</v>
      </c>
    </row>
    <row r="5109" spans="2:4">
      <c r="B5109" s="6" t="s">
        <v>779</v>
      </c>
      <c r="C5109" s="6" t="s">
        <v>69</v>
      </c>
      <c r="D5109" s="5">
        <v>44982</v>
      </c>
    </row>
    <row r="5110" spans="2:4">
      <c r="B5110" s="6" t="s">
        <v>166</v>
      </c>
      <c r="C5110" s="6" t="s">
        <v>160</v>
      </c>
      <c r="D5110" s="5">
        <v>44982</v>
      </c>
    </row>
    <row r="5111" spans="2:4">
      <c r="B5111" s="6" t="s">
        <v>157</v>
      </c>
      <c r="C5111" s="6" t="s">
        <v>404</v>
      </c>
      <c r="D5111" s="5">
        <v>44982</v>
      </c>
    </row>
    <row r="5112" spans="2:4">
      <c r="B5112" s="6" t="s">
        <v>207</v>
      </c>
      <c r="C5112" s="6" t="s">
        <v>141</v>
      </c>
      <c r="D5112" s="5">
        <v>44982</v>
      </c>
    </row>
    <row r="5113" spans="2:4">
      <c r="B5113" s="6" t="s">
        <v>586</v>
      </c>
      <c r="C5113" s="6" t="s">
        <v>621</v>
      </c>
      <c r="D5113" s="5">
        <v>44982</v>
      </c>
    </row>
    <row r="5114" spans="2:4">
      <c r="B5114" s="6" t="s">
        <v>236</v>
      </c>
      <c r="C5114" s="6" t="s">
        <v>423</v>
      </c>
      <c r="D5114" s="5">
        <v>44982</v>
      </c>
    </row>
    <row r="5115" spans="2:4">
      <c r="B5115" s="6" t="s">
        <v>428</v>
      </c>
      <c r="C5115" s="6" t="s">
        <v>167</v>
      </c>
      <c r="D5115" s="5">
        <v>44982</v>
      </c>
    </row>
    <row r="5116" spans="2:4">
      <c r="B5116" s="6" t="s">
        <v>93</v>
      </c>
      <c r="C5116" s="6" t="s">
        <v>71</v>
      </c>
      <c r="D5116" s="5">
        <v>44983</v>
      </c>
    </row>
    <row r="5117" spans="2:4">
      <c r="B5117" s="6" t="s">
        <v>777</v>
      </c>
      <c r="C5117" s="6" t="s">
        <v>60</v>
      </c>
      <c r="D5117" s="5">
        <v>44983</v>
      </c>
    </row>
    <row r="5118" spans="2:4">
      <c r="B5118" s="6" t="s">
        <v>56</v>
      </c>
      <c r="C5118" s="6" t="s">
        <v>68</v>
      </c>
      <c r="D5118" s="5">
        <v>44983</v>
      </c>
    </row>
    <row r="5119" spans="2:4">
      <c r="B5119" s="6" t="s">
        <v>252</v>
      </c>
      <c r="C5119" s="6" t="s">
        <v>334</v>
      </c>
      <c r="D5119" s="5">
        <v>44983</v>
      </c>
    </row>
    <row r="5120" spans="2:4">
      <c r="B5120" s="6" t="s">
        <v>41</v>
      </c>
      <c r="C5120" s="6" t="s">
        <v>40</v>
      </c>
      <c r="D5120" s="5">
        <v>44983</v>
      </c>
    </row>
    <row r="5121" spans="2:4">
      <c r="B5121" s="6" t="s">
        <v>204</v>
      </c>
      <c r="C5121" s="6" t="s">
        <v>244</v>
      </c>
      <c r="D5121" s="5">
        <v>44983</v>
      </c>
    </row>
    <row r="5122" spans="2:4">
      <c r="B5122" s="6" t="s">
        <v>285</v>
      </c>
      <c r="C5122" s="6" t="s">
        <v>130</v>
      </c>
      <c r="D5122" s="5">
        <v>44983</v>
      </c>
    </row>
    <row r="5123" spans="2:4">
      <c r="B5123" s="6" t="s">
        <v>211</v>
      </c>
      <c r="C5123" s="6" t="s">
        <v>112</v>
      </c>
      <c r="D5123" s="5">
        <v>44983</v>
      </c>
    </row>
    <row r="5124" spans="2:4">
      <c r="B5124" s="6" t="s">
        <v>59</v>
      </c>
      <c r="C5124" s="6" t="s">
        <v>65</v>
      </c>
      <c r="D5124" s="5">
        <v>44983</v>
      </c>
    </row>
    <row r="5125" spans="2:4">
      <c r="B5125" s="6" t="s">
        <v>144</v>
      </c>
      <c r="C5125" s="6" t="s">
        <v>187</v>
      </c>
      <c r="D5125" s="5">
        <v>44983</v>
      </c>
    </row>
    <row r="5126" spans="2:4">
      <c r="B5126" s="6" t="s">
        <v>280</v>
      </c>
      <c r="C5126" s="6" t="s">
        <v>241</v>
      </c>
      <c r="D5126" s="5">
        <v>44983</v>
      </c>
    </row>
    <row r="5127" spans="2:4">
      <c r="B5127" s="6" t="s">
        <v>312</v>
      </c>
      <c r="C5127" s="6" t="s">
        <v>139</v>
      </c>
      <c r="D5127" s="5">
        <v>44983</v>
      </c>
    </row>
    <row r="5128" spans="2:4">
      <c r="B5128" s="6" t="s">
        <v>325</v>
      </c>
      <c r="C5128" s="6" t="s">
        <v>320</v>
      </c>
      <c r="D5128" s="5">
        <v>44983</v>
      </c>
    </row>
    <row r="5129" spans="2:4">
      <c r="B5129" s="6" t="s">
        <v>326</v>
      </c>
      <c r="C5129" s="6" t="s">
        <v>213</v>
      </c>
      <c r="D5129" s="5">
        <v>44983</v>
      </c>
    </row>
    <row r="5130" spans="2:4">
      <c r="B5130" s="6" t="s">
        <v>318</v>
      </c>
      <c r="C5130" s="6" t="s">
        <v>186</v>
      </c>
      <c r="D5130" s="5">
        <v>44983</v>
      </c>
    </row>
    <row r="5131" spans="2:4">
      <c r="B5131" s="6" t="s">
        <v>119</v>
      </c>
      <c r="C5131" s="6" t="s">
        <v>363</v>
      </c>
      <c r="D5131" s="5">
        <v>44983</v>
      </c>
    </row>
    <row r="5132" spans="2:4">
      <c r="B5132" s="6" t="s">
        <v>117</v>
      </c>
      <c r="C5132" s="6" t="s">
        <v>233</v>
      </c>
      <c r="D5132" s="5">
        <v>44983</v>
      </c>
    </row>
    <row r="5133" spans="2:4">
      <c r="B5133" s="6" t="s">
        <v>216</v>
      </c>
      <c r="C5133" s="6" t="s">
        <v>230</v>
      </c>
      <c r="D5133" s="5">
        <v>44983</v>
      </c>
    </row>
    <row r="5134" spans="2:4">
      <c r="B5134" s="6" t="s">
        <v>284</v>
      </c>
      <c r="C5134" s="6" t="s">
        <v>199</v>
      </c>
      <c r="D5134" s="5">
        <v>44983</v>
      </c>
    </row>
    <row r="5135" spans="2:4">
      <c r="B5135" s="6" t="s">
        <v>221</v>
      </c>
      <c r="C5135" s="6" t="s">
        <v>352</v>
      </c>
      <c r="D5135" s="5">
        <v>44983</v>
      </c>
    </row>
    <row r="5136" spans="2:4">
      <c r="B5136" s="6" t="s">
        <v>72</v>
      </c>
      <c r="C5136" s="6" t="s">
        <v>75</v>
      </c>
      <c r="D5136" s="5">
        <v>44983</v>
      </c>
    </row>
    <row r="5137" spans="2:4">
      <c r="B5137" s="6" t="s">
        <v>95</v>
      </c>
      <c r="C5137" s="6" t="s">
        <v>411</v>
      </c>
      <c r="D5137" s="5">
        <v>44983</v>
      </c>
    </row>
    <row r="5138" spans="2:4">
      <c r="B5138" s="6" t="s">
        <v>781</v>
      </c>
      <c r="C5138" s="6" t="s">
        <v>64</v>
      </c>
      <c r="D5138" s="5">
        <v>44983</v>
      </c>
    </row>
    <row r="5139" spans="2:4">
      <c r="B5139" s="6" t="s">
        <v>290</v>
      </c>
      <c r="C5139" s="6" t="s">
        <v>159</v>
      </c>
      <c r="D5139" s="5">
        <v>44983</v>
      </c>
    </row>
    <row r="5140" spans="2:4">
      <c r="B5140" s="6" t="s">
        <v>737</v>
      </c>
      <c r="C5140" s="6" t="s">
        <v>251</v>
      </c>
      <c r="D5140" s="5">
        <v>44984</v>
      </c>
    </row>
    <row r="5141" spans="2:4">
      <c r="B5141" s="6" t="s">
        <v>276</v>
      </c>
      <c r="C5141" s="6" t="s">
        <v>96</v>
      </c>
      <c r="D5141" s="5">
        <v>44984</v>
      </c>
    </row>
    <row r="5142" spans="2:4">
      <c r="B5142" s="6" t="s">
        <v>170</v>
      </c>
      <c r="C5142" s="6" t="s">
        <v>181</v>
      </c>
      <c r="D5142" s="5">
        <v>44984</v>
      </c>
    </row>
    <row r="5143" spans="2:4">
      <c r="B5143" s="6" t="s">
        <v>335</v>
      </c>
      <c r="C5143" s="6" t="s">
        <v>238</v>
      </c>
      <c r="D5143" s="5">
        <v>44984</v>
      </c>
    </row>
    <row r="5144" spans="2:4">
      <c r="B5144" s="6" t="s">
        <v>232</v>
      </c>
      <c r="C5144" s="6" t="s">
        <v>382</v>
      </c>
      <c r="D5144" s="5">
        <v>44984</v>
      </c>
    </row>
    <row r="5145" spans="2:4">
      <c r="B5145" s="6" t="s">
        <v>264</v>
      </c>
      <c r="C5145" s="6" t="s">
        <v>116</v>
      </c>
      <c r="D5145" s="5">
        <v>44984</v>
      </c>
    </row>
    <row r="5146" spans="2:4">
      <c r="B5146" s="6" t="s">
        <v>277</v>
      </c>
      <c r="C5146" s="6" t="s">
        <v>310</v>
      </c>
      <c r="D5146" s="5">
        <v>44984</v>
      </c>
    </row>
    <row r="5147" spans="2:4">
      <c r="B5147" s="6" t="s">
        <v>156</v>
      </c>
      <c r="C5147" s="6" t="s">
        <v>249</v>
      </c>
      <c r="D5147" s="5">
        <v>44984</v>
      </c>
    </row>
    <row r="5148" spans="2:4">
      <c r="B5148" s="6" t="s">
        <v>403</v>
      </c>
      <c r="C5148" s="6" t="s">
        <v>206</v>
      </c>
      <c r="D5148" s="5">
        <v>44984</v>
      </c>
    </row>
    <row r="5149" spans="2:4">
      <c r="B5149" s="6" t="s">
        <v>426</v>
      </c>
      <c r="C5149" s="6" t="s">
        <v>153</v>
      </c>
      <c r="D5149" s="5">
        <v>44984</v>
      </c>
    </row>
    <row r="5150" spans="2:4">
      <c r="B5150" s="6" t="s">
        <v>364</v>
      </c>
      <c r="C5150" s="6" t="s">
        <v>399</v>
      </c>
      <c r="D5150" s="5">
        <v>44984</v>
      </c>
    </row>
    <row r="5151" spans="2:4">
      <c r="B5151" s="6" t="s">
        <v>778</v>
      </c>
      <c r="C5151" s="6" t="s">
        <v>28</v>
      </c>
      <c r="D5151" s="5">
        <v>44984</v>
      </c>
    </row>
    <row r="5152" spans="2:4">
      <c r="B5152" s="6" t="s">
        <v>747</v>
      </c>
      <c r="C5152" s="6" t="s">
        <v>32</v>
      </c>
      <c r="D5152" s="5">
        <v>44984</v>
      </c>
    </row>
    <row r="5153" spans="2:4">
      <c r="B5153" s="6" t="s">
        <v>152</v>
      </c>
      <c r="C5153" s="6" t="s">
        <v>169</v>
      </c>
      <c r="D5153" s="5">
        <v>44984</v>
      </c>
    </row>
    <row r="5154" spans="2:4">
      <c r="B5154" s="6" t="s">
        <v>158</v>
      </c>
      <c r="C5154" s="6" t="s">
        <v>190</v>
      </c>
      <c r="D5154" s="5">
        <v>44984</v>
      </c>
    </row>
    <row r="5155" spans="2:4">
      <c r="B5155" s="6" t="s">
        <v>393</v>
      </c>
      <c r="C5155" s="6" t="s">
        <v>391</v>
      </c>
      <c r="D5155" s="5">
        <v>44984</v>
      </c>
    </row>
    <row r="5156" spans="2:4">
      <c r="B5156" s="6" t="s">
        <v>402</v>
      </c>
      <c r="C5156" s="6" t="s">
        <v>389</v>
      </c>
      <c r="D5156" s="5">
        <v>44984</v>
      </c>
    </row>
    <row r="5157" spans="2:4">
      <c r="B5157" s="6" t="s">
        <v>214</v>
      </c>
      <c r="C5157" s="6" t="s">
        <v>210</v>
      </c>
      <c r="D5157" s="5">
        <v>44985</v>
      </c>
    </row>
    <row r="5158" spans="2:4">
      <c r="B5158" s="6" t="s">
        <v>42</v>
      </c>
      <c r="C5158" s="6" t="s">
        <v>37</v>
      </c>
      <c r="D5158" s="5">
        <v>44985</v>
      </c>
    </row>
    <row r="5159" spans="2:4">
      <c r="B5159" s="6" t="s">
        <v>44</v>
      </c>
      <c r="C5159" s="6" t="s">
        <v>770</v>
      </c>
      <c r="D5159" s="5">
        <v>44985</v>
      </c>
    </row>
    <row r="5160" spans="2:4">
      <c r="B5160" s="6" t="s">
        <v>62</v>
      </c>
      <c r="C5160" s="6" t="s">
        <v>61</v>
      </c>
      <c r="D5160" s="5">
        <v>44985</v>
      </c>
    </row>
    <row r="5161" spans="2:4">
      <c r="B5161" s="6" t="s">
        <v>188</v>
      </c>
      <c r="C5161" s="6" t="s">
        <v>51</v>
      </c>
      <c r="D5161" s="5">
        <v>44985</v>
      </c>
    </row>
    <row r="5162" spans="2:4">
      <c r="B5162" s="6" t="s">
        <v>47</v>
      </c>
      <c r="C5162" s="6" t="s">
        <v>50</v>
      </c>
      <c r="D5162" s="5">
        <v>44985</v>
      </c>
    </row>
    <row r="5163" spans="2:4">
      <c r="B5163" s="6" t="s">
        <v>53</v>
      </c>
      <c r="C5163" s="6" t="s">
        <v>54</v>
      </c>
      <c r="D5163" s="5">
        <v>44985</v>
      </c>
    </row>
    <row r="5164" spans="2:4">
      <c r="B5164" s="6" t="s">
        <v>253</v>
      </c>
      <c r="C5164" s="6" t="s">
        <v>177</v>
      </c>
      <c r="D5164" s="5">
        <v>44985</v>
      </c>
    </row>
    <row r="5165" spans="2:4">
      <c r="B5165" s="6" t="s">
        <v>126</v>
      </c>
      <c r="C5165" s="6" t="s">
        <v>301</v>
      </c>
      <c r="D5165" s="5">
        <v>44985</v>
      </c>
    </row>
    <row r="5166" spans="2:4">
      <c r="B5166" s="6" t="s">
        <v>174</v>
      </c>
      <c r="C5166" s="6" t="s">
        <v>106</v>
      </c>
      <c r="D5166" s="5">
        <v>44985</v>
      </c>
    </row>
    <row r="5167" spans="2:4">
      <c r="B5167" s="6" t="s">
        <v>205</v>
      </c>
      <c r="C5167" s="6" t="s">
        <v>215</v>
      </c>
      <c r="D5167" s="5">
        <v>44985</v>
      </c>
    </row>
    <row r="5168" spans="2:4">
      <c r="B5168" s="6" t="s">
        <v>89</v>
      </c>
      <c r="C5168" s="6" t="s">
        <v>79</v>
      </c>
      <c r="D5168" s="5">
        <v>44985</v>
      </c>
    </row>
    <row r="5169" spans="2:4">
      <c r="B5169" s="6" t="s">
        <v>121</v>
      </c>
      <c r="C5169" s="6" t="s">
        <v>133</v>
      </c>
      <c r="D5169" s="5">
        <v>44985</v>
      </c>
    </row>
    <row r="5170" spans="2:4">
      <c r="B5170" s="6" t="s">
        <v>362</v>
      </c>
      <c r="C5170" s="6" t="s">
        <v>140</v>
      </c>
      <c r="D5170" s="5">
        <v>44985</v>
      </c>
    </row>
    <row r="5171" spans="2:4">
      <c r="B5171" s="6" t="s">
        <v>288</v>
      </c>
      <c r="C5171" s="6" t="s">
        <v>247</v>
      </c>
      <c r="D5171" s="5">
        <v>44985</v>
      </c>
    </row>
    <row r="5172" spans="2:4">
      <c r="B5172" s="6" t="s">
        <v>180</v>
      </c>
      <c r="C5172" s="6" t="s">
        <v>127</v>
      </c>
      <c r="D5172" s="5">
        <v>44985</v>
      </c>
    </row>
    <row r="5173" spans="2:4">
      <c r="B5173" s="6" t="s">
        <v>414</v>
      </c>
      <c r="C5173" s="6" t="s">
        <v>209</v>
      </c>
      <c r="D5173" s="5">
        <v>44985</v>
      </c>
    </row>
    <row r="5174" spans="2:4">
      <c r="B5174" s="6" t="s">
        <v>105</v>
      </c>
      <c r="C5174" s="6" t="s">
        <v>109</v>
      </c>
      <c r="D5174" s="5">
        <v>44985</v>
      </c>
    </row>
    <row r="5175" spans="2:4">
      <c r="B5175" s="6" t="s">
        <v>400</v>
      </c>
      <c r="C5175" s="6" t="s">
        <v>203</v>
      </c>
      <c r="D5175" s="5">
        <v>44985</v>
      </c>
    </row>
    <row r="5176" spans="2:4">
      <c r="B5176" s="6" t="s">
        <v>36</v>
      </c>
      <c r="C5176" s="6" t="s">
        <v>35</v>
      </c>
      <c r="D5176" s="5">
        <v>44985</v>
      </c>
    </row>
    <row r="5177" spans="2:4">
      <c r="B5177" s="6" t="s">
        <v>26</v>
      </c>
      <c r="C5177" s="6" t="s">
        <v>27</v>
      </c>
      <c r="D5177" s="5">
        <v>44985</v>
      </c>
    </row>
    <row r="5178" spans="2:4">
      <c r="B5178" s="6" t="s">
        <v>86</v>
      </c>
      <c r="C5178" s="6" t="s">
        <v>84</v>
      </c>
      <c r="D5178" s="5">
        <v>44985</v>
      </c>
    </row>
    <row r="5179" spans="2:4">
      <c r="B5179" s="6" t="s">
        <v>162</v>
      </c>
      <c r="C5179" s="6" t="s">
        <v>392</v>
      </c>
      <c r="D5179" s="5">
        <v>44985</v>
      </c>
    </row>
    <row r="5180" spans="2:4">
      <c r="B5180" s="6" t="s">
        <v>43</v>
      </c>
      <c r="C5180" s="6" t="s">
        <v>52</v>
      </c>
      <c r="D5180" s="5">
        <v>44985</v>
      </c>
    </row>
    <row r="5181" spans="2:4">
      <c r="B5181" s="6" t="s">
        <v>67</v>
      </c>
      <c r="C5181" s="6" t="s">
        <v>761</v>
      </c>
      <c r="D5181" s="5">
        <v>44985</v>
      </c>
    </row>
    <row r="5182" spans="2:4">
      <c r="B5182" s="6" t="s">
        <v>763</v>
      </c>
      <c r="C5182" s="6" t="s">
        <v>90</v>
      </c>
      <c r="D5182" s="5">
        <v>44985</v>
      </c>
    </row>
    <row r="5183" spans="2:4">
      <c r="B5183" s="6" t="s">
        <v>762</v>
      </c>
      <c r="C5183" s="6" t="s">
        <v>91</v>
      </c>
      <c r="D5183" s="5">
        <v>44985</v>
      </c>
    </row>
    <row r="5184" spans="2:4">
      <c r="B5184" s="6" t="s">
        <v>189</v>
      </c>
      <c r="C5184" s="6" t="s">
        <v>394</v>
      </c>
      <c r="D5184" s="5">
        <v>44985</v>
      </c>
    </row>
    <row r="5185" spans="2:4">
      <c r="B5185" s="6" t="s">
        <v>433</v>
      </c>
      <c r="C5185" s="6" t="s">
        <v>386</v>
      </c>
      <c r="D5185" s="5">
        <v>44985</v>
      </c>
    </row>
    <row r="5186" spans="2:4">
      <c r="B5186" s="6" t="s">
        <v>319</v>
      </c>
      <c r="C5186" s="6" t="s">
        <v>94</v>
      </c>
      <c r="D5186" s="5">
        <v>44986</v>
      </c>
    </row>
    <row r="5187" spans="2:4">
      <c r="B5187" s="6" t="s">
        <v>40</v>
      </c>
      <c r="C5187" s="6" t="s">
        <v>39</v>
      </c>
      <c r="D5187" s="5">
        <v>44986</v>
      </c>
    </row>
    <row r="5188" spans="2:4">
      <c r="B5188" s="6" t="s">
        <v>80</v>
      </c>
      <c r="C5188" s="6" t="s">
        <v>185</v>
      </c>
      <c r="D5188" s="5">
        <v>44986</v>
      </c>
    </row>
    <row r="5189" spans="2:4">
      <c r="B5189" s="6" t="s">
        <v>82</v>
      </c>
      <c r="C5189" s="6" t="s">
        <v>83</v>
      </c>
      <c r="D5189" s="5">
        <v>44986</v>
      </c>
    </row>
    <row r="5190" spans="2:4">
      <c r="B5190" s="6" t="s">
        <v>231</v>
      </c>
      <c r="C5190" s="6" t="s">
        <v>95</v>
      </c>
      <c r="D5190" s="5">
        <v>44986</v>
      </c>
    </row>
    <row r="5191" spans="2:4">
      <c r="B5191" s="6" t="s">
        <v>46</v>
      </c>
      <c r="C5191" s="6" t="s">
        <v>49</v>
      </c>
      <c r="D5191" s="5">
        <v>44986</v>
      </c>
    </row>
    <row r="5192" spans="2:4">
      <c r="B5192" s="6" t="s">
        <v>732</v>
      </c>
      <c r="C5192" s="6" t="s">
        <v>155</v>
      </c>
      <c r="D5192" s="5">
        <v>44986</v>
      </c>
    </row>
    <row r="5193" spans="2:4">
      <c r="B5193" s="6" t="s">
        <v>777</v>
      </c>
      <c r="C5193" s="6" t="s">
        <v>56</v>
      </c>
      <c r="D5193" s="5">
        <v>44986</v>
      </c>
    </row>
    <row r="5194" spans="2:4">
      <c r="B5194" s="6" t="s">
        <v>334</v>
      </c>
      <c r="C5194" s="6" t="s">
        <v>200</v>
      </c>
      <c r="D5194" s="5">
        <v>44986</v>
      </c>
    </row>
    <row r="5195" spans="2:4">
      <c r="B5195" s="6" t="s">
        <v>284</v>
      </c>
      <c r="C5195" s="6" t="s">
        <v>300</v>
      </c>
      <c r="D5195" s="5">
        <v>44986</v>
      </c>
    </row>
    <row r="5196" spans="2:4">
      <c r="B5196" s="6" t="s">
        <v>199</v>
      </c>
      <c r="C5196" s="6" t="s">
        <v>337</v>
      </c>
      <c r="D5196" s="5">
        <v>44986</v>
      </c>
    </row>
    <row r="5197" spans="2:4">
      <c r="B5197" s="6" t="s">
        <v>281</v>
      </c>
      <c r="C5197" s="6" t="s">
        <v>349</v>
      </c>
      <c r="D5197" s="5">
        <v>44986</v>
      </c>
    </row>
    <row r="5198" spans="2:4">
      <c r="B5198" s="6" t="s">
        <v>290</v>
      </c>
      <c r="C5198" s="6" t="s">
        <v>415</v>
      </c>
      <c r="D5198" s="5">
        <v>44986</v>
      </c>
    </row>
    <row r="5199" spans="2:4">
      <c r="B5199" s="6" t="s">
        <v>750</v>
      </c>
      <c r="C5199" s="6" t="s">
        <v>29</v>
      </c>
      <c r="D5199" s="5">
        <v>44986</v>
      </c>
    </row>
    <row r="5200" spans="2:4">
      <c r="B5200" s="6" t="s">
        <v>584</v>
      </c>
      <c r="C5200" s="6" t="s">
        <v>183</v>
      </c>
      <c r="D5200" s="5">
        <v>44986</v>
      </c>
    </row>
    <row r="5201" spans="2:4">
      <c r="B5201" s="6" t="s">
        <v>345</v>
      </c>
      <c r="C5201" s="6" t="s">
        <v>375</v>
      </c>
      <c r="D5201" s="5">
        <v>44986</v>
      </c>
    </row>
    <row r="5202" spans="2:4">
      <c r="B5202" s="6" t="s">
        <v>383</v>
      </c>
      <c r="C5202" s="6" t="s">
        <v>323</v>
      </c>
      <c r="D5202" s="5">
        <v>44986</v>
      </c>
    </row>
    <row r="5203" spans="2:4">
      <c r="B5203" s="6" t="s">
        <v>38</v>
      </c>
      <c r="C5203" s="6" t="s">
        <v>41</v>
      </c>
      <c r="D5203" s="5">
        <v>44986</v>
      </c>
    </row>
    <row r="5204" spans="2:4">
      <c r="B5204" s="6" t="s">
        <v>342</v>
      </c>
      <c r="C5204" s="6" t="s">
        <v>134</v>
      </c>
      <c r="D5204" s="5">
        <v>44986</v>
      </c>
    </row>
    <row r="5205" spans="2:4">
      <c r="B5205" s="6" t="s">
        <v>132</v>
      </c>
      <c r="C5205" s="6" t="s">
        <v>347</v>
      </c>
      <c r="D5205" s="5">
        <v>44986</v>
      </c>
    </row>
    <row r="5206" spans="2:4">
      <c r="B5206" s="6" t="s">
        <v>34</v>
      </c>
      <c r="C5206" s="6" t="s">
        <v>30</v>
      </c>
      <c r="D5206" s="5">
        <v>44986</v>
      </c>
    </row>
    <row r="5207" spans="2:4">
      <c r="B5207" s="6" t="s">
        <v>275</v>
      </c>
      <c r="C5207" s="6" t="s">
        <v>221</v>
      </c>
      <c r="D5207" s="5">
        <v>44986</v>
      </c>
    </row>
    <row r="5208" spans="2:4">
      <c r="B5208" s="6" t="s">
        <v>588</v>
      </c>
      <c r="C5208" s="6" t="s">
        <v>640</v>
      </c>
      <c r="D5208" s="5">
        <v>44986</v>
      </c>
    </row>
    <row r="5209" spans="2:4">
      <c r="B5209" s="6" t="s">
        <v>343</v>
      </c>
      <c r="C5209" s="6" t="s">
        <v>295</v>
      </c>
      <c r="D5209" s="5">
        <v>44986</v>
      </c>
    </row>
    <row r="5210" spans="2:4">
      <c r="B5210" s="6" t="s">
        <v>68</v>
      </c>
      <c r="C5210" s="6" t="s">
        <v>781</v>
      </c>
      <c r="D5210" s="5">
        <v>44986</v>
      </c>
    </row>
    <row r="5211" spans="2:4">
      <c r="B5211" s="6" t="s">
        <v>81</v>
      </c>
      <c r="C5211" s="6" t="s">
        <v>87</v>
      </c>
      <c r="D5211" s="5">
        <v>44986</v>
      </c>
    </row>
    <row r="5212" spans="2:4">
      <c r="B5212" s="6" t="s">
        <v>350</v>
      </c>
      <c r="C5212" s="6" t="s">
        <v>124</v>
      </c>
      <c r="D5212" s="5">
        <v>44986</v>
      </c>
    </row>
    <row r="5213" spans="2:4">
      <c r="B5213" s="6" t="s">
        <v>378</v>
      </c>
      <c r="C5213" s="6" t="s">
        <v>381</v>
      </c>
      <c r="D5213" s="5">
        <v>44986</v>
      </c>
    </row>
    <row r="5214" spans="2:4">
      <c r="B5214" s="6" t="s">
        <v>607</v>
      </c>
      <c r="C5214" s="6" t="s">
        <v>424</v>
      </c>
      <c r="D5214" s="5">
        <v>44986</v>
      </c>
    </row>
    <row r="5215" spans="2:4">
      <c r="B5215" s="6" t="s">
        <v>159</v>
      </c>
      <c r="C5215" s="6" t="s">
        <v>344</v>
      </c>
      <c r="D5215" s="5">
        <v>44986</v>
      </c>
    </row>
    <row r="5216" spans="2:4">
      <c r="B5216" s="6" t="s">
        <v>163</v>
      </c>
      <c r="C5216" s="6" t="s">
        <v>168</v>
      </c>
      <c r="D5216" s="5">
        <v>44986</v>
      </c>
    </row>
    <row r="5217" spans="2:4">
      <c r="B5217" s="6" t="s">
        <v>75</v>
      </c>
      <c r="C5217" s="6" t="s">
        <v>719</v>
      </c>
      <c r="D5217" s="5">
        <v>44987</v>
      </c>
    </row>
    <row r="5218" spans="2:4">
      <c r="B5218" s="6" t="s">
        <v>74</v>
      </c>
      <c r="C5218" s="6" t="s">
        <v>70</v>
      </c>
      <c r="D5218" s="5">
        <v>44987</v>
      </c>
    </row>
    <row r="5219" spans="2:4">
      <c r="B5219" s="6" t="s">
        <v>212</v>
      </c>
      <c r="C5219" s="6" t="s">
        <v>352</v>
      </c>
      <c r="D5219" s="5">
        <v>44987</v>
      </c>
    </row>
    <row r="5220" spans="2:4">
      <c r="B5220" s="6" t="s">
        <v>60</v>
      </c>
      <c r="C5220" s="6" t="s">
        <v>59</v>
      </c>
      <c r="D5220" s="5">
        <v>44987</v>
      </c>
    </row>
    <row r="5221" spans="2:4">
      <c r="B5221" s="6" t="s">
        <v>145</v>
      </c>
      <c r="C5221" s="6" t="s">
        <v>411</v>
      </c>
      <c r="D5221" s="5">
        <v>44987</v>
      </c>
    </row>
    <row r="5222" spans="2:4">
      <c r="B5222" s="6" t="s">
        <v>373</v>
      </c>
      <c r="C5222" s="6" t="s">
        <v>274</v>
      </c>
      <c r="D5222" s="5">
        <v>44987</v>
      </c>
    </row>
    <row r="5223" spans="2:4">
      <c r="B5223" s="6" t="s">
        <v>238</v>
      </c>
      <c r="C5223" s="6" t="s">
        <v>116</v>
      </c>
      <c r="D5223" s="5">
        <v>44987</v>
      </c>
    </row>
    <row r="5224" spans="2:4">
      <c r="B5224" s="6" t="s">
        <v>130</v>
      </c>
      <c r="C5224" s="6" t="s">
        <v>230</v>
      </c>
      <c r="D5224" s="5">
        <v>44987</v>
      </c>
    </row>
    <row r="5225" spans="2:4">
      <c r="B5225" s="6" t="s">
        <v>244</v>
      </c>
      <c r="C5225" s="6" t="s">
        <v>117</v>
      </c>
      <c r="D5225" s="5">
        <v>44987</v>
      </c>
    </row>
    <row r="5226" spans="2:4">
      <c r="B5226" s="6" t="s">
        <v>285</v>
      </c>
      <c r="C5226" s="6" t="s">
        <v>361</v>
      </c>
      <c r="D5226" s="5">
        <v>44987</v>
      </c>
    </row>
    <row r="5227" spans="2:4">
      <c r="B5227" s="6" t="s">
        <v>63</v>
      </c>
      <c r="C5227" s="6" t="s">
        <v>64</v>
      </c>
      <c r="D5227" s="5">
        <v>44987</v>
      </c>
    </row>
    <row r="5228" spans="2:4">
      <c r="B5228" s="6" t="s">
        <v>276</v>
      </c>
      <c r="C5228" s="6" t="s">
        <v>277</v>
      </c>
      <c r="D5228" s="5">
        <v>44987</v>
      </c>
    </row>
    <row r="5229" spans="2:4">
      <c r="B5229" s="6" t="s">
        <v>264</v>
      </c>
      <c r="C5229" s="6" t="s">
        <v>335</v>
      </c>
      <c r="D5229" s="5">
        <v>44987</v>
      </c>
    </row>
    <row r="5230" spans="2:4">
      <c r="B5230" s="6" t="s">
        <v>112</v>
      </c>
      <c r="C5230" s="6" t="s">
        <v>216</v>
      </c>
      <c r="D5230" s="5">
        <v>44987</v>
      </c>
    </row>
    <row r="5231" spans="2:4">
      <c r="B5231" s="6" t="s">
        <v>382</v>
      </c>
      <c r="C5231" s="6" t="s">
        <v>308</v>
      </c>
      <c r="D5231" s="5">
        <v>44987</v>
      </c>
    </row>
    <row r="5232" spans="2:4">
      <c r="B5232" s="6" t="s">
        <v>135</v>
      </c>
      <c r="C5232" s="6" t="s">
        <v>242</v>
      </c>
      <c r="D5232" s="5">
        <v>44987</v>
      </c>
    </row>
    <row r="5233" spans="2:4">
      <c r="B5233" s="6" t="s">
        <v>143</v>
      </c>
      <c r="C5233" s="6" t="s">
        <v>421</v>
      </c>
      <c r="D5233" s="5">
        <v>44987</v>
      </c>
    </row>
    <row r="5234" spans="2:4">
      <c r="B5234" s="6" t="s">
        <v>368</v>
      </c>
      <c r="C5234" s="6" t="s">
        <v>182</v>
      </c>
      <c r="D5234" s="5">
        <v>44987</v>
      </c>
    </row>
    <row r="5235" spans="2:4">
      <c r="B5235" s="6" t="s">
        <v>303</v>
      </c>
      <c r="C5235" s="6" t="s">
        <v>156</v>
      </c>
      <c r="D5235" s="5">
        <v>44987</v>
      </c>
    </row>
    <row r="5236" spans="2:4">
      <c r="B5236" s="6" t="s">
        <v>332</v>
      </c>
      <c r="C5236" s="6" t="s">
        <v>364</v>
      </c>
      <c r="D5236" s="5">
        <v>44987</v>
      </c>
    </row>
    <row r="5237" spans="2:4">
      <c r="B5237" s="6" t="s">
        <v>341</v>
      </c>
      <c r="C5237" s="6" t="s">
        <v>144</v>
      </c>
      <c r="D5237" s="5">
        <v>44987</v>
      </c>
    </row>
    <row r="5238" spans="2:4">
      <c r="B5238" s="6" t="s">
        <v>181</v>
      </c>
      <c r="C5238" s="6" t="s">
        <v>314</v>
      </c>
      <c r="D5238" s="5">
        <v>44987</v>
      </c>
    </row>
    <row r="5239" spans="2:4">
      <c r="B5239" s="6" t="s">
        <v>779</v>
      </c>
      <c r="C5239" s="6" t="s">
        <v>93</v>
      </c>
      <c r="D5239" s="5">
        <v>44987</v>
      </c>
    </row>
    <row r="5240" spans="2:4">
      <c r="B5240" s="6" t="s">
        <v>376</v>
      </c>
      <c r="C5240" s="6" t="s">
        <v>313</v>
      </c>
      <c r="D5240" s="5">
        <v>44987</v>
      </c>
    </row>
    <row r="5241" spans="2:4">
      <c r="B5241" s="6" t="s">
        <v>96</v>
      </c>
      <c r="C5241" s="6" t="s">
        <v>310</v>
      </c>
      <c r="D5241" s="5">
        <v>44987</v>
      </c>
    </row>
    <row r="5242" spans="2:4">
      <c r="B5242" s="6" t="s">
        <v>65</v>
      </c>
      <c r="C5242" s="6" t="s">
        <v>58</v>
      </c>
      <c r="D5242" s="5">
        <v>44987</v>
      </c>
    </row>
    <row r="5243" spans="2:4">
      <c r="B5243" s="6" t="s">
        <v>141</v>
      </c>
      <c r="C5243" s="6" t="s">
        <v>423</v>
      </c>
      <c r="D5243" s="5">
        <v>44987</v>
      </c>
    </row>
    <row r="5244" spans="2:4">
      <c r="B5244" s="6" t="s">
        <v>236</v>
      </c>
      <c r="C5244" s="6" t="s">
        <v>207</v>
      </c>
      <c r="D5244" s="5">
        <v>44987</v>
      </c>
    </row>
    <row r="5245" spans="2:4">
      <c r="B5245" s="6" t="s">
        <v>420</v>
      </c>
      <c r="C5245" s="6" t="s">
        <v>586</v>
      </c>
      <c r="D5245" s="5">
        <v>44987</v>
      </c>
    </row>
    <row r="5246" spans="2:4">
      <c r="B5246" s="6" t="s">
        <v>599</v>
      </c>
      <c r="C5246" s="6" t="s">
        <v>428</v>
      </c>
      <c r="D5246" s="5">
        <v>44987</v>
      </c>
    </row>
    <row r="5247" spans="2:4">
      <c r="B5247" s="6" t="s">
        <v>154</v>
      </c>
      <c r="C5247" s="6" t="s">
        <v>167</v>
      </c>
      <c r="D5247" s="5">
        <v>44987</v>
      </c>
    </row>
    <row r="5248" spans="2:4">
      <c r="B5248" s="6" t="s">
        <v>69</v>
      </c>
      <c r="C5248" s="6" t="s">
        <v>164</v>
      </c>
      <c r="D5248" s="5">
        <v>44987</v>
      </c>
    </row>
    <row r="5249" spans="2:4">
      <c r="B5249" s="6" t="s">
        <v>71</v>
      </c>
      <c r="C5249" s="6" t="s">
        <v>804</v>
      </c>
      <c r="D5249" s="5">
        <v>44987</v>
      </c>
    </row>
    <row r="5250" spans="2:4">
      <c r="B5250" s="6" t="s">
        <v>203</v>
      </c>
      <c r="C5250" s="6" t="s">
        <v>209</v>
      </c>
      <c r="D5250" s="5">
        <v>44988</v>
      </c>
    </row>
    <row r="5251" spans="2:4">
      <c r="B5251" s="6" t="s">
        <v>133</v>
      </c>
      <c r="C5251" s="6" t="s">
        <v>214</v>
      </c>
      <c r="D5251" s="5">
        <v>44988</v>
      </c>
    </row>
    <row r="5252" spans="2:4">
      <c r="B5252" s="6" t="s">
        <v>180</v>
      </c>
      <c r="C5252" s="6" t="s">
        <v>105</v>
      </c>
      <c r="D5252" s="5">
        <v>44988</v>
      </c>
    </row>
    <row r="5253" spans="2:4">
      <c r="B5253" s="6" t="s">
        <v>109</v>
      </c>
      <c r="C5253" s="6" t="s">
        <v>140</v>
      </c>
      <c r="D5253" s="5">
        <v>44988</v>
      </c>
    </row>
    <row r="5254" spans="2:4">
      <c r="B5254" s="6" t="s">
        <v>127</v>
      </c>
      <c r="C5254" s="6" t="s">
        <v>288</v>
      </c>
      <c r="D5254" s="5">
        <v>44988</v>
      </c>
    </row>
    <row r="5255" spans="2:4">
      <c r="B5255" s="6" t="s">
        <v>414</v>
      </c>
      <c r="C5255" s="6" t="s">
        <v>362</v>
      </c>
      <c r="D5255" s="5">
        <v>44988</v>
      </c>
    </row>
    <row r="5256" spans="2:4">
      <c r="B5256" s="6" t="s">
        <v>415</v>
      </c>
      <c r="C5256" s="6" t="s">
        <v>345</v>
      </c>
      <c r="D5256" s="5">
        <v>44988</v>
      </c>
    </row>
    <row r="5257" spans="2:4">
      <c r="B5257" s="6" t="s">
        <v>388</v>
      </c>
      <c r="C5257" s="6" t="s">
        <v>375</v>
      </c>
      <c r="D5257" s="5">
        <v>44988</v>
      </c>
    </row>
    <row r="5258" spans="2:4">
      <c r="B5258" s="6" t="s">
        <v>383</v>
      </c>
      <c r="C5258" s="6" t="s">
        <v>290</v>
      </c>
      <c r="D5258" s="5">
        <v>44988</v>
      </c>
    </row>
    <row r="5259" spans="2:4">
      <c r="B5259" s="6" t="s">
        <v>400</v>
      </c>
      <c r="C5259" s="6" t="s">
        <v>247</v>
      </c>
      <c r="D5259" s="5">
        <v>44988</v>
      </c>
    </row>
    <row r="5260" spans="2:4">
      <c r="B5260" s="6" t="s">
        <v>378</v>
      </c>
      <c r="C5260" s="6" t="s">
        <v>159</v>
      </c>
      <c r="D5260" s="5">
        <v>44988</v>
      </c>
    </row>
    <row r="5261" spans="2:4">
      <c r="B5261" s="6" t="s">
        <v>607</v>
      </c>
      <c r="C5261" s="6" t="s">
        <v>381</v>
      </c>
      <c r="D5261" s="5">
        <v>44988</v>
      </c>
    </row>
    <row r="5262" spans="2:4">
      <c r="B5262" s="6" t="s">
        <v>424</v>
      </c>
      <c r="C5262" s="6" t="s">
        <v>323</v>
      </c>
      <c r="D5262" s="5">
        <v>44988</v>
      </c>
    </row>
    <row r="5263" spans="2:4">
      <c r="B5263" s="6" t="s">
        <v>386</v>
      </c>
      <c r="C5263" s="6" t="s">
        <v>189</v>
      </c>
      <c r="D5263" s="5">
        <v>44988</v>
      </c>
    </row>
    <row r="5264" spans="2:4">
      <c r="B5264" s="6" t="s">
        <v>30</v>
      </c>
      <c r="C5264" s="6" t="s">
        <v>26</v>
      </c>
      <c r="D5264" s="5">
        <v>44989</v>
      </c>
    </row>
    <row r="5265" spans="2:4">
      <c r="B5265" s="6" t="s">
        <v>28</v>
      </c>
      <c r="C5265" s="6" t="s">
        <v>747</v>
      </c>
      <c r="D5265" s="5">
        <v>44989</v>
      </c>
    </row>
    <row r="5266" spans="2:4">
      <c r="B5266" s="6" t="s">
        <v>155</v>
      </c>
      <c r="C5266" s="6" t="s">
        <v>38</v>
      </c>
      <c r="D5266" s="5">
        <v>44989</v>
      </c>
    </row>
    <row r="5267" spans="2:4">
      <c r="B5267" s="6" t="s">
        <v>188</v>
      </c>
      <c r="C5267" s="6" t="s">
        <v>43</v>
      </c>
      <c r="D5267" s="5">
        <v>44989</v>
      </c>
    </row>
    <row r="5268" spans="2:4">
      <c r="B5268" s="6" t="s">
        <v>125</v>
      </c>
      <c r="C5268" s="6" t="s">
        <v>138</v>
      </c>
      <c r="D5268" s="5">
        <v>44989</v>
      </c>
    </row>
    <row r="5269" spans="2:4">
      <c r="B5269" s="6" t="s">
        <v>40</v>
      </c>
      <c r="C5269" s="6" t="s">
        <v>36</v>
      </c>
      <c r="D5269" s="5">
        <v>44989</v>
      </c>
    </row>
    <row r="5270" spans="2:4">
      <c r="B5270" s="6" t="s">
        <v>39</v>
      </c>
      <c r="C5270" s="6" t="s">
        <v>42</v>
      </c>
      <c r="D5270" s="5">
        <v>44989</v>
      </c>
    </row>
    <row r="5271" spans="2:4">
      <c r="B5271" s="6" t="s">
        <v>37</v>
      </c>
      <c r="C5271" s="6" t="s">
        <v>302</v>
      </c>
      <c r="D5271" s="5">
        <v>44989</v>
      </c>
    </row>
    <row r="5272" spans="2:4">
      <c r="B5272" s="6" t="s">
        <v>761</v>
      </c>
      <c r="C5272" s="6" t="s">
        <v>777</v>
      </c>
      <c r="D5272" s="5">
        <v>44989</v>
      </c>
    </row>
    <row r="5273" spans="2:4">
      <c r="B5273" s="6" t="s">
        <v>169</v>
      </c>
      <c r="C5273" s="6" t="s">
        <v>163</v>
      </c>
      <c r="D5273" s="5">
        <v>44989</v>
      </c>
    </row>
    <row r="5274" spans="2:4">
      <c r="B5274" s="6" t="s">
        <v>167</v>
      </c>
      <c r="C5274" s="6" t="s">
        <v>586</v>
      </c>
      <c r="D5274" s="5">
        <v>44989</v>
      </c>
    </row>
    <row r="5275" spans="2:4">
      <c r="B5275" s="6" t="s">
        <v>91</v>
      </c>
      <c r="C5275" s="6" t="s">
        <v>82</v>
      </c>
      <c r="D5275" s="5">
        <v>44989</v>
      </c>
    </row>
    <row r="5276" spans="2:4">
      <c r="B5276" s="6" t="s">
        <v>52</v>
      </c>
      <c r="C5276" s="6" t="s">
        <v>737</v>
      </c>
      <c r="D5276" s="5">
        <v>44989</v>
      </c>
    </row>
    <row r="5277" spans="2:4">
      <c r="B5277" s="6" t="s">
        <v>200</v>
      </c>
      <c r="C5277" s="6" t="s">
        <v>281</v>
      </c>
      <c r="D5277" s="5">
        <v>44989</v>
      </c>
    </row>
    <row r="5278" spans="2:4">
      <c r="B5278" s="6" t="s">
        <v>182</v>
      </c>
      <c r="C5278" s="6" t="s">
        <v>195</v>
      </c>
      <c r="D5278" s="5">
        <v>44989</v>
      </c>
    </row>
    <row r="5279" spans="2:4">
      <c r="B5279" s="6" t="s">
        <v>90</v>
      </c>
      <c r="C5279" s="6" t="s">
        <v>89</v>
      </c>
      <c r="D5279" s="5">
        <v>44989</v>
      </c>
    </row>
    <row r="5280" spans="2:4">
      <c r="B5280" s="6" t="s">
        <v>84</v>
      </c>
      <c r="C5280" s="6" t="s">
        <v>80</v>
      </c>
      <c r="D5280" s="5">
        <v>44989</v>
      </c>
    </row>
    <row r="5281" spans="2:4">
      <c r="B5281" s="6" t="s">
        <v>32</v>
      </c>
      <c r="C5281" s="6" t="s">
        <v>750</v>
      </c>
      <c r="D5281" s="5">
        <v>44989</v>
      </c>
    </row>
    <row r="5282" spans="2:4">
      <c r="B5282" s="6" t="s">
        <v>97</v>
      </c>
      <c r="C5282" s="6" t="s">
        <v>419</v>
      </c>
      <c r="D5282" s="5">
        <v>44989</v>
      </c>
    </row>
    <row r="5283" spans="2:4">
      <c r="B5283" s="6" t="s">
        <v>351</v>
      </c>
      <c r="C5283" s="6" t="s">
        <v>108</v>
      </c>
      <c r="D5283" s="5">
        <v>44989</v>
      </c>
    </row>
    <row r="5284" spans="2:4">
      <c r="B5284" s="6" t="s">
        <v>107</v>
      </c>
      <c r="C5284" s="6" t="s">
        <v>100</v>
      </c>
      <c r="D5284" s="5">
        <v>44989</v>
      </c>
    </row>
    <row r="5285" spans="2:4">
      <c r="B5285" s="6" t="s">
        <v>244</v>
      </c>
      <c r="C5285" s="6" t="s">
        <v>130</v>
      </c>
      <c r="D5285" s="5">
        <v>44989</v>
      </c>
    </row>
    <row r="5286" spans="2:4">
      <c r="B5286" s="6" t="s">
        <v>230</v>
      </c>
      <c r="C5286" s="6" t="s">
        <v>233</v>
      </c>
      <c r="D5286" s="5">
        <v>44989</v>
      </c>
    </row>
    <row r="5287" spans="2:4">
      <c r="B5287" s="6" t="s">
        <v>210</v>
      </c>
      <c r="C5287" s="6" t="s">
        <v>350</v>
      </c>
      <c r="D5287" s="5">
        <v>44989</v>
      </c>
    </row>
    <row r="5288" spans="2:4">
      <c r="B5288" s="6" t="s">
        <v>349</v>
      </c>
      <c r="C5288" s="6" t="s">
        <v>284</v>
      </c>
      <c r="D5288" s="5">
        <v>44989</v>
      </c>
    </row>
    <row r="5289" spans="2:4">
      <c r="B5289" s="6" t="s">
        <v>54</v>
      </c>
      <c r="C5289" s="6" t="s">
        <v>50</v>
      </c>
      <c r="D5289" s="5">
        <v>44989</v>
      </c>
    </row>
    <row r="5290" spans="2:4">
      <c r="B5290" s="6" t="s">
        <v>300</v>
      </c>
      <c r="C5290" s="6" t="s">
        <v>252</v>
      </c>
      <c r="D5290" s="5">
        <v>44989</v>
      </c>
    </row>
    <row r="5291" spans="2:4">
      <c r="B5291" s="6" t="s">
        <v>29</v>
      </c>
      <c r="C5291" s="6" t="s">
        <v>34</v>
      </c>
      <c r="D5291" s="5">
        <v>44989</v>
      </c>
    </row>
    <row r="5292" spans="2:4">
      <c r="B5292" s="6" t="s">
        <v>135</v>
      </c>
      <c r="C5292" s="6" t="s">
        <v>313</v>
      </c>
      <c r="D5292" s="5">
        <v>44989</v>
      </c>
    </row>
    <row r="5293" spans="2:4">
      <c r="B5293" s="6" t="s">
        <v>373</v>
      </c>
      <c r="C5293" s="6" t="s">
        <v>421</v>
      </c>
      <c r="D5293" s="5">
        <v>44989</v>
      </c>
    </row>
    <row r="5294" spans="2:4">
      <c r="B5294" s="6" t="s">
        <v>143</v>
      </c>
      <c r="C5294" s="6" t="s">
        <v>274</v>
      </c>
      <c r="D5294" s="5">
        <v>44989</v>
      </c>
    </row>
    <row r="5295" spans="2:4">
      <c r="B5295" s="6" t="s">
        <v>211</v>
      </c>
      <c r="C5295" s="6" t="s">
        <v>204</v>
      </c>
      <c r="D5295" s="5">
        <v>44989</v>
      </c>
    </row>
    <row r="5296" spans="2:4">
      <c r="B5296" s="6" t="s">
        <v>87</v>
      </c>
      <c r="C5296" s="6" t="s">
        <v>762</v>
      </c>
      <c r="D5296" s="5">
        <v>44989</v>
      </c>
    </row>
    <row r="5297" spans="2:4">
      <c r="B5297" s="6" t="s">
        <v>83</v>
      </c>
      <c r="C5297" s="6" t="s">
        <v>86</v>
      </c>
      <c r="D5297" s="5">
        <v>44989</v>
      </c>
    </row>
    <row r="5298" spans="2:4">
      <c r="B5298" s="6" t="s">
        <v>69</v>
      </c>
      <c r="C5298" s="6" t="s">
        <v>93</v>
      </c>
      <c r="D5298" s="5">
        <v>44989</v>
      </c>
    </row>
    <row r="5299" spans="2:4">
      <c r="B5299" s="6" t="s">
        <v>232</v>
      </c>
      <c r="C5299" s="6" t="s">
        <v>170</v>
      </c>
      <c r="D5299" s="5">
        <v>44989</v>
      </c>
    </row>
    <row r="5300" spans="2:4">
      <c r="B5300" s="6" t="s">
        <v>376</v>
      </c>
      <c r="C5300" s="6" t="s">
        <v>242</v>
      </c>
      <c r="D5300" s="5">
        <v>44989</v>
      </c>
    </row>
    <row r="5301" spans="2:4">
      <c r="B5301" s="6" t="s">
        <v>198</v>
      </c>
      <c r="C5301" s="6" t="s">
        <v>433</v>
      </c>
      <c r="D5301" s="5">
        <v>44989</v>
      </c>
    </row>
    <row r="5302" spans="2:4">
      <c r="B5302" s="6" t="s">
        <v>141</v>
      </c>
      <c r="C5302" s="6" t="s">
        <v>420</v>
      </c>
      <c r="D5302" s="5">
        <v>44989</v>
      </c>
    </row>
    <row r="5303" spans="2:4">
      <c r="B5303" s="6" t="s">
        <v>337</v>
      </c>
      <c r="C5303" s="6" t="s">
        <v>121</v>
      </c>
      <c r="D5303" s="5">
        <v>44989</v>
      </c>
    </row>
    <row r="5304" spans="2:4">
      <c r="B5304" s="6" t="s">
        <v>47</v>
      </c>
      <c r="C5304" s="6" t="s">
        <v>53</v>
      </c>
      <c r="D5304" s="5">
        <v>44989</v>
      </c>
    </row>
    <row r="5305" spans="2:4">
      <c r="B5305" s="6" t="s">
        <v>72</v>
      </c>
      <c r="C5305" s="6" t="s">
        <v>77</v>
      </c>
      <c r="D5305" s="5">
        <v>44989</v>
      </c>
    </row>
    <row r="5306" spans="2:4">
      <c r="B5306" s="6" t="s">
        <v>251</v>
      </c>
      <c r="C5306" s="6" t="s">
        <v>44</v>
      </c>
      <c r="D5306" s="5">
        <v>44989</v>
      </c>
    </row>
    <row r="5307" spans="2:4">
      <c r="B5307" s="6" t="s">
        <v>27</v>
      </c>
      <c r="C5307" s="6" t="s">
        <v>778</v>
      </c>
      <c r="D5307" s="5">
        <v>44989</v>
      </c>
    </row>
    <row r="5308" spans="2:4">
      <c r="B5308" s="6" t="s">
        <v>48</v>
      </c>
      <c r="C5308" s="6" t="s">
        <v>49</v>
      </c>
      <c r="D5308" s="5">
        <v>44989</v>
      </c>
    </row>
    <row r="5309" spans="2:4">
      <c r="B5309" s="6" t="s">
        <v>79</v>
      </c>
      <c r="C5309" s="6" t="s">
        <v>81</v>
      </c>
      <c r="D5309" s="5">
        <v>44989</v>
      </c>
    </row>
    <row r="5310" spans="2:4">
      <c r="B5310" s="6" t="s">
        <v>399</v>
      </c>
      <c r="C5310" s="6" t="s">
        <v>249</v>
      </c>
      <c r="D5310" s="5">
        <v>44989</v>
      </c>
    </row>
    <row r="5311" spans="2:4">
      <c r="B5311" s="6" t="s">
        <v>181</v>
      </c>
      <c r="C5311" s="6" t="s">
        <v>308</v>
      </c>
      <c r="D5311" s="5">
        <v>44989</v>
      </c>
    </row>
    <row r="5312" spans="2:4">
      <c r="B5312" s="6" t="s">
        <v>332</v>
      </c>
      <c r="C5312" s="6" t="s">
        <v>156</v>
      </c>
      <c r="D5312" s="5">
        <v>44989</v>
      </c>
    </row>
    <row r="5313" spans="2:4">
      <c r="B5313" s="6" t="s">
        <v>382</v>
      </c>
      <c r="C5313" s="6" t="s">
        <v>314</v>
      </c>
      <c r="D5313" s="5">
        <v>44989</v>
      </c>
    </row>
    <row r="5314" spans="2:4">
      <c r="B5314" s="6" t="s">
        <v>394</v>
      </c>
      <c r="C5314" s="6" t="s">
        <v>347</v>
      </c>
      <c r="D5314" s="5">
        <v>44989</v>
      </c>
    </row>
    <row r="5315" spans="2:4">
      <c r="B5315" s="6" t="s">
        <v>303</v>
      </c>
      <c r="C5315" s="6" t="s">
        <v>364</v>
      </c>
      <c r="D5315" s="5">
        <v>44989</v>
      </c>
    </row>
    <row r="5316" spans="2:4">
      <c r="B5316" s="6" t="s">
        <v>117</v>
      </c>
      <c r="C5316" s="6" t="s">
        <v>285</v>
      </c>
      <c r="D5316" s="5">
        <v>44989</v>
      </c>
    </row>
    <row r="5317" spans="2:4">
      <c r="B5317" s="6" t="s">
        <v>361</v>
      </c>
      <c r="C5317" s="6" t="s">
        <v>216</v>
      </c>
      <c r="D5317" s="5">
        <v>44989</v>
      </c>
    </row>
    <row r="5318" spans="2:4">
      <c r="B5318" s="6" t="s">
        <v>35</v>
      </c>
      <c r="C5318" s="6" t="s">
        <v>732</v>
      </c>
      <c r="D5318" s="5">
        <v>44989</v>
      </c>
    </row>
    <row r="5319" spans="2:4">
      <c r="B5319" s="6" t="s">
        <v>779</v>
      </c>
      <c r="C5319" s="6" t="s">
        <v>164</v>
      </c>
      <c r="D5319" s="5">
        <v>44989</v>
      </c>
    </row>
    <row r="5320" spans="2:4">
      <c r="B5320" s="6" t="s">
        <v>51</v>
      </c>
      <c r="C5320" s="6" t="s">
        <v>46</v>
      </c>
      <c r="D5320" s="5">
        <v>44989</v>
      </c>
    </row>
    <row r="5321" spans="2:4">
      <c r="B5321" s="6" t="s">
        <v>124</v>
      </c>
      <c r="C5321" s="6" t="s">
        <v>199</v>
      </c>
      <c r="D5321" s="5">
        <v>44989</v>
      </c>
    </row>
    <row r="5322" spans="2:4">
      <c r="B5322" s="6" t="s">
        <v>185</v>
      </c>
      <c r="C5322" s="6" t="s">
        <v>763</v>
      </c>
      <c r="D5322" s="5">
        <v>44989</v>
      </c>
    </row>
    <row r="5323" spans="2:4">
      <c r="B5323" s="6" t="s">
        <v>168</v>
      </c>
      <c r="C5323" s="6" t="s">
        <v>162</v>
      </c>
      <c r="D5323" s="5">
        <v>44989</v>
      </c>
    </row>
    <row r="5324" spans="2:4">
      <c r="B5324" s="6" t="s">
        <v>621</v>
      </c>
      <c r="C5324" s="6" t="s">
        <v>236</v>
      </c>
      <c r="D5324" s="5">
        <v>44989</v>
      </c>
    </row>
    <row r="5325" spans="2:4">
      <c r="B5325" s="6" t="s">
        <v>75</v>
      </c>
      <c r="C5325" s="6" t="s">
        <v>70</v>
      </c>
      <c r="D5325" s="5">
        <v>44989</v>
      </c>
    </row>
    <row r="5326" spans="2:4">
      <c r="B5326" s="6" t="s">
        <v>392</v>
      </c>
      <c r="C5326" s="6" t="s">
        <v>152</v>
      </c>
      <c r="D5326" s="5">
        <v>44989</v>
      </c>
    </row>
    <row r="5327" spans="2:4">
      <c r="B5327" s="6" t="s">
        <v>423</v>
      </c>
      <c r="C5327" s="6" t="s">
        <v>428</v>
      </c>
      <c r="D5327" s="5">
        <v>44989</v>
      </c>
    </row>
    <row r="5328" spans="2:4">
      <c r="B5328" s="6" t="s">
        <v>207</v>
      </c>
      <c r="C5328" s="6" t="s">
        <v>154</v>
      </c>
      <c r="D5328" s="5">
        <v>44989</v>
      </c>
    </row>
    <row r="5329" spans="2:4">
      <c r="B5329" s="6" t="s">
        <v>74</v>
      </c>
      <c r="C5329" s="6" t="s">
        <v>719</v>
      </c>
      <c r="D5329" s="5">
        <v>44989</v>
      </c>
    </row>
    <row r="5330" spans="2:4">
      <c r="B5330" s="6" t="s">
        <v>144</v>
      </c>
      <c r="C5330" s="6" t="s">
        <v>212</v>
      </c>
      <c r="D5330" s="5">
        <v>44990</v>
      </c>
    </row>
    <row r="5331" spans="2:4">
      <c r="B5331" s="6" t="s">
        <v>781</v>
      </c>
      <c r="C5331" s="6" t="s">
        <v>56</v>
      </c>
      <c r="D5331" s="5">
        <v>44990</v>
      </c>
    </row>
    <row r="5332" spans="2:4">
      <c r="B5332" s="6" t="s">
        <v>58</v>
      </c>
      <c r="C5332" s="6" t="s">
        <v>60</v>
      </c>
      <c r="D5332" s="5">
        <v>44990</v>
      </c>
    </row>
    <row r="5333" spans="2:4">
      <c r="B5333" s="6" t="s">
        <v>221</v>
      </c>
      <c r="C5333" s="6" t="s">
        <v>145</v>
      </c>
      <c r="D5333" s="5">
        <v>44990</v>
      </c>
    </row>
    <row r="5334" spans="2:4">
      <c r="B5334" s="6" t="s">
        <v>411</v>
      </c>
      <c r="C5334" s="6" t="s">
        <v>275</v>
      </c>
      <c r="D5334" s="5">
        <v>44990</v>
      </c>
    </row>
    <row r="5335" spans="2:4">
      <c r="B5335" s="6" t="s">
        <v>187</v>
      </c>
      <c r="C5335" s="6" t="s">
        <v>341</v>
      </c>
      <c r="D5335" s="5">
        <v>44990</v>
      </c>
    </row>
    <row r="5336" spans="2:4">
      <c r="B5336" s="6" t="s">
        <v>61</v>
      </c>
      <c r="C5336" s="6" t="s">
        <v>67</v>
      </c>
      <c r="D5336" s="5">
        <v>44990</v>
      </c>
    </row>
    <row r="5337" spans="2:4">
      <c r="B5337" s="6" t="s">
        <v>352</v>
      </c>
      <c r="C5337" s="6" t="s">
        <v>231</v>
      </c>
      <c r="D5337" s="5">
        <v>44990</v>
      </c>
    </row>
    <row r="5338" spans="2:4">
      <c r="B5338" s="6" t="s">
        <v>62</v>
      </c>
      <c r="C5338" s="6" t="s">
        <v>59</v>
      </c>
      <c r="D5338" s="5">
        <v>44990</v>
      </c>
    </row>
    <row r="5339" spans="2:4">
      <c r="B5339" s="6" t="s">
        <v>64</v>
      </c>
      <c r="C5339" s="6" t="s">
        <v>68</v>
      </c>
      <c r="D5339" s="5">
        <v>44990</v>
      </c>
    </row>
    <row r="5340" spans="2:4">
      <c r="B5340" s="6" t="s">
        <v>63</v>
      </c>
      <c r="C5340" s="6" t="s">
        <v>65</v>
      </c>
      <c r="D5340" s="5">
        <v>44990</v>
      </c>
    </row>
    <row r="5341" spans="2:4">
      <c r="B5341" s="6" t="s">
        <v>138</v>
      </c>
      <c r="C5341" s="6" t="s">
        <v>125</v>
      </c>
      <c r="D5341" s="5">
        <v>44625</v>
      </c>
    </row>
    <row r="5342" spans="2:4">
      <c r="B5342" s="6" t="s">
        <v>32</v>
      </c>
      <c r="C5342" s="6" t="s">
        <v>34</v>
      </c>
      <c r="D5342" s="5">
        <v>44625</v>
      </c>
    </row>
    <row r="5343" spans="2:4">
      <c r="B5343" s="6" t="s">
        <v>349</v>
      </c>
      <c r="C5343" s="6" t="s">
        <v>337</v>
      </c>
      <c r="D5343" s="5">
        <v>44625</v>
      </c>
    </row>
    <row r="5344" spans="2:4">
      <c r="B5344" s="6" t="s">
        <v>284</v>
      </c>
      <c r="C5344" s="6" t="s">
        <v>210</v>
      </c>
      <c r="D5344" s="5">
        <v>44625</v>
      </c>
    </row>
    <row r="5345" spans="2:4">
      <c r="B5345" s="6" t="s">
        <v>117</v>
      </c>
      <c r="C5345" s="6" t="s">
        <v>115</v>
      </c>
      <c r="D5345" s="5">
        <v>44625</v>
      </c>
    </row>
    <row r="5346" spans="2:4">
      <c r="B5346" s="6" t="s">
        <v>352</v>
      </c>
      <c r="C5346" s="6" t="s">
        <v>275</v>
      </c>
      <c r="D5346" s="5">
        <v>44625</v>
      </c>
    </row>
    <row r="5347" spans="2:4">
      <c r="B5347" s="6" t="s">
        <v>719</v>
      </c>
      <c r="C5347" s="6" t="s">
        <v>93</v>
      </c>
      <c r="D5347" s="5">
        <v>44625</v>
      </c>
    </row>
    <row r="5348" spans="2:4">
      <c r="B5348" s="6" t="s">
        <v>368</v>
      </c>
      <c r="C5348" s="6" t="s">
        <v>143</v>
      </c>
      <c r="D5348" s="5">
        <v>44625</v>
      </c>
    </row>
    <row r="5349" spans="2:4">
      <c r="B5349" s="6" t="s">
        <v>376</v>
      </c>
      <c r="C5349" s="6" t="s">
        <v>135</v>
      </c>
      <c r="D5349" s="5">
        <v>44625</v>
      </c>
    </row>
    <row r="5350" spans="2:4">
      <c r="B5350" s="6" t="s">
        <v>313</v>
      </c>
      <c r="C5350" s="6" t="s">
        <v>193</v>
      </c>
      <c r="D5350" s="5">
        <v>44625</v>
      </c>
    </row>
    <row r="5351" spans="2:4">
      <c r="B5351" s="6" t="s">
        <v>195</v>
      </c>
      <c r="C5351" s="6" t="s">
        <v>373</v>
      </c>
      <c r="D5351" s="5">
        <v>44625</v>
      </c>
    </row>
    <row r="5352" spans="2:4">
      <c r="B5352" s="6" t="s">
        <v>316</v>
      </c>
      <c r="C5352" s="6" t="s">
        <v>182</v>
      </c>
      <c r="D5352" s="5">
        <v>44625</v>
      </c>
    </row>
    <row r="5353" spans="2:4">
      <c r="B5353" s="6" t="s">
        <v>778</v>
      </c>
      <c r="C5353" s="6" t="s">
        <v>27</v>
      </c>
      <c r="D5353" s="5">
        <v>44625</v>
      </c>
    </row>
    <row r="5354" spans="2:4">
      <c r="B5354" s="6" t="s">
        <v>87</v>
      </c>
      <c r="C5354" s="6" t="s">
        <v>89</v>
      </c>
      <c r="D5354" s="5">
        <v>44625</v>
      </c>
    </row>
    <row r="5355" spans="2:4">
      <c r="B5355" s="6" t="s">
        <v>26</v>
      </c>
      <c r="C5355" s="6" t="s">
        <v>30</v>
      </c>
      <c r="D5355" s="5">
        <v>44625</v>
      </c>
    </row>
    <row r="5356" spans="2:4">
      <c r="B5356" s="6" t="s">
        <v>804</v>
      </c>
      <c r="C5356" s="6" t="s">
        <v>69</v>
      </c>
      <c r="D5356" s="5">
        <v>44625</v>
      </c>
    </row>
    <row r="5357" spans="2:4">
      <c r="B5357" s="6" t="s">
        <v>421</v>
      </c>
      <c r="C5357" s="6" t="s">
        <v>274</v>
      </c>
      <c r="D5357" s="5">
        <v>44625</v>
      </c>
    </row>
    <row r="5358" spans="2:4">
      <c r="B5358" s="6" t="s">
        <v>343</v>
      </c>
      <c r="C5358" s="6" t="s">
        <v>183</v>
      </c>
      <c r="D5358" s="5">
        <v>44625</v>
      </c>
    </row>
    <row r="5359" spans="2:4">
      <c r="B5359" s="6" t="s">
        <v>319</v>
      </c>
      <c r="C5359" s="6" t="s">
        <v>134</v>
      </c>
      <c r="D5359" s="5">
        <v>44625</v>
      </c>
    </row>
    <row r="5360" spans="2:4">
      <c r="B5360" s="6" t="s">
        <v>424</v>
      </c>
      <c r="C5360" s="6" t="s">
        <v>347</v>
      </c>
      <c r="D5360" s="5">
        <v>44625</v>
      </c>
    </row>
    <row r="5361" spans="2:4">
      <c r="B5361" s="6" t="s">
        <v>94</v>
      </c>
      <c r="C5361" s="6" t="s">
        <v>159</v>
      </c>
      <c r="D5361" s="5">
        <v>44625</v>
      </c>
    </row>
    <row r="5362" spans="2:4">
      <c r="B5362" s="6" t="s">
        <v>750</v>
      </c>
      <c r="C5362" s="6" t="s">
        <v>29</v>
      </c>
      <c r="D5362" s="5">
        <v>44625</v>
      </c>
    </row>
    <row r="5363" spans="2:4">
      <c r="B5363" s="6" t="s">
        <v>133</v>
      </c>
      <c r="C5363" s="6" t="s">
        <v>121</v>
      </c>
      <c r="D5363" s="5">
        <v>44625</v>
      </c>
    </row>
    <row r="5364" spans="2:4">
      <c r="B5364" s="6" t="s">
        <v>281</v>
      </c>
      <c r="C5364" s="6" t="s">
        <v>300</v>
      </c>
      <c r="D5364" s="5">
        <v>44625</v>
      </c>
    </row>
    <row r="5365" spans="2:4">
      <c r="B5365" s="6" t="s">
        <v>211</v>
      </c>
      <c r="C5365" s="6" t="s">
        <v>130</v>
      </c>
      <c r="D5365" s="5">
        <v>44625</v>
      </c>
    </row>
    <row r="5366" spans="2:4">
      <c r="B5366" s="6" t="s">
        <v>152</v>
      </c>
      <c r="C5366" s="6" t="s">
        <v>394</v>
      </c>
      <c r="D5366" s="5">
        <v>44625</v>
      </c>
    </row>
    <row r="5367" spans="2:4">
      <c r="B5367" s="6" t="s">
        <v>314</v>
      </c>
      <c r="C5367" s="6" t="s">
        <v>382</v>
      </c>
      <c r="D5367" s="5">
        <v>44625</v>
      </c>
    </row>
    <row r="5368" spans="2:4">
      <c r="B5368" s="6" t="s">
        <v>70</v>
      </c>
      <c r="C5368" s="6" t="s">
        <v>164</v>
      </c>
      <c r="D5368" s="5">
        <v>44625</v>
      </c>
    </row>
    <row r="5369" spans="2:4">
      <c r="B5369" s="6" t="s">
        <v>158</v>
      </c>
      <c r="C5369" s="6" t="s">
        <v>403</v>
      </c>
      <c r="D5369" s="5">
        <v>44625</v>
      </c>
    </row>
    <row r="5370" spans="2:4">
      <c r="B5370" s="6" t="s">
        <v>393</v>
      </c>
      <c r="C5370" s="6" t="s">
        <v>402</v>
      </c>
      <c r="D5370" s="5">
        <v>44625</v>
      </c>
    </row>
    <row r="5371" spans="2:4">
      <c r="B5371" s="6" t="s">
        <v>295</v>
      </c>
      <c r="C5371" s="6" t="s">
        <v>339</v>
      </c>
      <c r="D5371" s="5">
        <v>44625</v>
      </c>
    </row>
    <row r="5372" spans="2:4">
      <c r="B5372" s="6" t="s">
        <v>364</v>
      </c>
      <c r="C5372" s="6" t="s">
        <v>303</v>
      </c>
      <c r="D5372" s="5">
        <v>44625</v>
      </c>
    </row>
    <row r="5373" spans="2:4">
      <c r="B5373" s="6" t="s">
        <v>28</v>
      </c>
      <c r="C5373" s="6" t="s">
        <v>747</v>
      </c>
      <c r="D5373" s="5">
        <v>44625</v>
      </c>
    </row>
    <row r="5374" spans="2:4">
      <c r="B5374" s="6" t="s">
        <v>44</v>
      </c>
      <c r="C5374" s="6" t="s">
        <v>251</v>
      </c>
      <c r="D5374" s="5">
        <v>44625</v>
      </c>
    </row>
    <row r="5375" spans="2:4">
      <c r="B5375" s="6" t="s">
        <v>391</v>
      </c>
      <c r="C5375" s="6" t="s">
        <v>426</v>
      </c>
      <c r="D5375" s="5">
        <v>44625</v>
      </c>
    </row>
    <row r="5376" spans="2:4">
      <c r="B5376" s="6" t="s">
        <v>419</v>
      </c>
      <c r="C5376" s="6" t="s">
        <v>97</v>
      </c>
      <c r="D5376" s="5">
        <v>44625</v>
      </c>
    </row>
    <row r="5377" spans="2:4">
      <c r="B5377" s="6" t="s">
        <v>762</v>
      </c>
      <c r="C5377" s="6" t="s">
        <v>185</v>
      </c>
      <c r="D5377" s="5">
        <v>44625</v>
      </c>
    </row>
    <row r="5378" spans="2:4">
      <c r="B5378" s="6" t="s">
        <v>420</v>
      </c>
      <c r="C5378" s="6" t="s">
        <v>154</v>
      </c>
      <c r="D5378" s="5">
        <v>44625</v>
      </c>
    </row>
    <row r="5379" spans="2:4">
      <c r="B5379" s="6" t="s">
        <v>345</v>
      </c>
      <c r="C5379" s="6" t="s">
        <v>388</v>
      </c>
      <c r="D5379" s="5">
        <v>44625</v>
      </c>
    </row>
    <row r="5380" spans="2:4">
      <c r="B5380" s="6" t="s">
        <v>100</v>
      </c>
      <c r="C5380" s="6" t="s">
        <v>107</v>
      </c>
      <c r="D5380" s="5">
        <v>44625</v>
      </c>
    </row>
    <row r="5381" spans="2:4">
      <c r="B5381" s="6" t="s">
        <v>71</v>
      </c>
      <c r="C5381" s="6" t="s">
        <v>779</v>
      </c>
      <c r="D5381" s="5">
        <v>44625</v>
      </c>
    </row>
    <row r="5382" spans="2:4">
      <c r="B5382" s="6" t="s">
        <v>206</v>
      </c>
      <c r="C5382" s="6" t="s">
        <v>378</v>
      </c>
      <c r="D5382" s="5">
        <v>44625</v>
      </c>
    </row>
    <row r="5383" spans="2:4">
      <c r="B5383" s="6" t="s">
        <v>372</v>
      </c>
      <c r="C5383" s="6" t="s">
        <v>342</v>
      </c>
      <c r="D5383" s="5">
        <v>44625</v>
      </c>
    </row>
    <row r="5384" spans="2:4">
      <c r="B5384" s="6" t="s">
        <v>381</v>
      </c>
      <c r="C5384" s="6" t="s">
        <v>371</v>
      </c>
      <c r="D5384" s="5">
        <v>44625</v>
      </c>
    </row>
    <row r="5385" spans="2:4">
      <c r="B5385" s="6" t="s">
        <v>344</v>
      </c>
      <c r="C5385" s="6" t="s">
        <v>290</v>
      </c>
      <c r="D5385" s="5">
        <v>44625</v>
      </c>
    </row>
    <row r="5386" spans="2:4">
      <c r="B5386" s="6" t="s">
        <v>249</v>
      </c>
      <c r="C5386" s="6" t="s">
        <v>399</v>
      </c>
      <c r="D5386" s="5">
        <v>44625</v>
      </c>
    </row>
    <row r="5387" spans="2:4">
      <c r="B5387" s="6" t="s">
        <v>91</v>
      </c>
      <c r="C5387" s="6" t="s">
        <v>763</v>
      </c>
      <c r="D5387" s="5">
        <v>44625</v>
      </c>
    </row>
    <row r="5388" spans="2:4">
      <c r="B5388" s="6" t="s">
        <v>386</v>
      </c>
      <c r="C5388" s="6" t="s">
        <v>162</v>
      </c>
      <c r="D5388" s="5">
        <v>44625</v>
      </c>
    </row>
    <row r="5389" spans="2:4">
      <c r="B5389" s="6" t="s">
        <v>384</v>
      </c>
      <c r="C5389" s="6" t="s">
        <v>141</v>
      </c>
      <c r="D5389" s="5">
        <v>44625</v>
      </c>
    </row>
    <row r="5390" spans="2:4">
      <c r="B5390" s="6" t="s">
        <v>190</v>
      </c>
      <c r="C5390" s="6" t="s">
        <v>389</v>
      </c>
      <c r="D5390" s="5">
        <v>44625</v>
      </c>
    </row>
    <row r="5391" spans="2:4">
      <c r="B5391" s="6" t="s">
        <v>375</v>
      </c>
      <c r="C5391" s="6" t="s">
        <v>383</v>
      </c>
      <c r="D5391" s="5">
        <v>44625</v>
      </c>
    </row>
    <row r="5392" spans="2:4">
      <c r="B5392" s="6" t="s">
        <v>77</v>
      </c>
      <c r="C5392" s="6" t="s">
        <v>72</v>
      </c>
      <c r="D5392" s="5">
        <v>44625</v>
      </c>
    </row>
    <row r="5393" spans="2:4">
      <c r="B5393" s="6" t="s">
        <v>75</v>
      </c>
      <c r="C5393" s="6" t="s">
        <v>74</v>
      </c>
      <c r="D5393" s="5">
        <v>44625</v>
      </c>
    </row>
    <row r="5394" spans="2:4">
      <c r="B5394" s="6" t="s">
        <v>374</v>
      </c>
      <c r="C5394" s="6" t="s">
        <v>428</v>
      </c>
      <c r="D5394" s="5">
        <v>44625</v>
      </c>
    </row>
    <row r="5395" spans="2:4">
      <c r="B5395" s="6" t="s">
        <v>406</v>
      </c>
      <c r="C5395" s="6" t="s">
        <v>167</v>
      </c>
      <c r="D5395" s="5">
        <v>44625</v>
      </c>
    </row>
    <row r="5396" spans="2:4">
      <c r="B5396" s="6" t="s">
        <v>207</v>
      </c>
      <c r="C5396" s="6" t="s">
        <v>236</v>
      </c>
      <c r="D5396" s="5">
        <v>44625</v>
      </c>
    </row>
    <row r="5397" spans="2:4">
      <c r="B5397" s="6" t="s">
        <v>169</v>
      </c>
      <c r="C5397" s="6" t="s">
        <v>392</v>
      </c>
      <c r="D5397" s="5">
        <v>44625</v>
      </c>
    </row>
    <row r="5398" spans="2:4">
      <c r="B5398" s="6" t="s">
        <v>189</v>
      </c>
      <c r="C5398" s="6" t="s">
        <v>163</v>
      </c>
      <c r="D5398" s="5">
        <v>44625</v>
      </c>
    </row>
    <row r="5399" spans="2:4">
      <c r="B5399" s="6" t="s">
        <v>144</v>
      </c>
      <c r="C5399" s="6" t="s">
        <v>212</v>
      </c>
      <c r="D5399" s="5">
        <v>44626</v>
      </c>
    </row>
    <row r="5400" spans="2:4">
      <c r="B5400" s="6" t="s">
        <v>64</v>
      </c>
      <c r="C5400" s="6" t="s">
        <v>781</v>
      </c>
      <c r="D5400" s="5">
        <v>44626</v>
      </c>
    </row>
    <row r="5401" spans="2:4">
      <c r="B5401" s="6" t="s">
        <v>777</v>
      </c>
      <c r="C5401" s="6" t="s">
        <v>59</v>
      </c>
      <c r="D5401" s="5">
        <v>44626</v>
      </c>
    </row>
    <row r="5402" spans="2:4">
      <c r="B5402" s="6" t="s">
        <v>95</v>
      </c>
      <c r="C5402" s="6" t="s">
        <v>411</v>
      </c>
      <c r="D5402" s="5">
        <v>44626</v>
      </c>
    </row>
    <row r="5403" spans="2:4">
      <c r="B5403" s="6" t="s">
        <v>145</v>
      </c>
      <c r="C5403" s="6" t="s">
        <v>231</v>
      </c>
      <c r="D5403" s="5">
        <v>44626</v>
      </c>
    </row>
    <row r="5404" spans="2:4">
      <c r="B5404" s="6" t="s">
        <v>65</v>
      </c>
      <c r="C5404" s="6" t="s">
        <v>67</v>
      </c>
      <c r="D5404" s="5">
        <v>44626</v>
      </c>
    </row>
    <row r="5405" spans="2:4">
      <c r="B5405" s="6" t="s">
        <v>341</v>
      </c>
      <c r="C5405" s="6" t="s">
        <v>221</v>
      </c>
      <c r="D5405" s="5">
        <v>44626</v>
      </c>
    </row>
    <row r="5406" spans="2:4">
      <c r="B5406" s="6" t="s">
        <v>761</v>
      </c>
      <c r="C5406" s="6" t="s">
        <v>56</v>
      </c>
      <c r="D5406" s="5">
        <v>44626</v>
      </c>
    </row>
    <row r="5407" spans="2:4">
      <c r="B5407" s="6" t="s">
        <v>60</v>
      </c>
      <c r="C5407" s="6" t="s">
        <v>61</v>
      </c>
      <c r="D5407" s="5">
        <v>44626</v>
      </c>
    </row>
    <row r="5408" spans="2:4">
      <c r="B5408" s="6" t="s">
        <v>68</v>
      </c>
      <c r="C5408" s="6" t="s">
        <v>63</v>
      </c>
      <c r="D5408" s="5">
        <v>44626</v>
      </c>
    </row>
  </sheetData>
  <phoneticPr fontId="1" type="noConversion"/>
  <conditionalFormatting sqref="K3:L17">
    <cfRule type="uniqueValues" dxfId="19" priority="4"/>
  </conditionalFormatting>
  <conditionalFormatting sqref="K20:L30">
    <cfRule type="uniqueValues" dxfId="18" priority="5"/>
  </conditionalFormatting>
  <conditionalFormatting sqref="K33:L46">
    <cfRule type="uniqueValues" dxfId="17" priority="6"/>
  </conditionalFormatting>
  <conditionalFormatting sqref="K49:L58">
    <cfRule type="uniqueValues" dxfId="16" priority="3"/>
  </conditionalFormatting>
  <conditionalFormatting sqref="K61:L72">
    <cfRule type="uniqueValues" dxfId="15" priority="2"/>
  </conditionalFormatting>
  <conditionalFormatting sqref="K75:L88">
    <cfRule type="uniqueValues" dxfId="14" priority="1"/>
  </conditionalFormatting>
  <pageMargins left="0.7" right="0.7" top="0.75" bottom="0.75" header="0.3" footer="0.3"/>
  <tableParts count="8">
    <tablePart r:id="rId1"/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0A73A-6FDF-498F-8E4C-5DBE159D3C7F}">
  <sheetPr>
    <tabColor rgb="FFC00000"/>
  </sheetPr>
  <dimension ref="B2:D5681"/>
  <sheetViews>
    <sheetView topLeftCell="A5655" workbookViewId="0">
      <selection activeCell="H25" sqref="H25"/>
    </sheetView>
  </sheetViews>
  <sheetFormatPr baseColWidth="10" defaultColWidth="9.1640625" defaultRowHeight="15"/>
  <cols>
    <col min="1" max="1" width="9.1640625" style="6"/>
    <col min="2" max="2" width="13.5" style="6" bestFit="1" customWidth="1"/>
    <col min="3" max="3" width="16.33203125" style="6" bestFit="1" customWidth="1"/>
    <col min="4" max="4" width="10.6640625" style="6" bestFit="1" customWidth="1"/>
    <col min="5" max="16384" width="9.1640625" style="6"/>
  </cols>
  <sheetData>
    <row r="2" spans="2:4">
      <c r="B2" s="6" t="s">
        <v>227</v>
      </c>
      <c r="C2" s="6" t="s">
        <v>228</v>
      </c>
      <c r="D2" s="6" t="s">
        <v>229</v>
      </c>
    </row>
    <row r="3" spans="2:4">
      <c r="B3" s="6" t="s">
        <v>330</v>
      </c>
      <c r="C3" s="6" t="s">
        <v>475</v>
      </c>
      <c r="D3" s="5">
        <v>44874</v>
      </c>
    </row>
    <row r="4" spans="2:4">
      <c r="B4" s="6" t="s">
        <v>96</v>
      </c>
      <c r="C4" s="6" t="s">
        <v>234</v>
      </c>
      <c r="D4" s="5">
        <v>44874</v>
      </c>
    </row>
    <row r="5" spans="2:4">
      <c r="B5" s="6" t="s">
        <v>399</v>
      </c>
      <c r="C5" s="6" t="s">
        <v>563</v>
      </c>
      <c r="D5" s="5">
        <v>44874</v>
      </c>
    </row>
    <row r="6" spans="2:4">
      <c r="B6" s="6" t="s">
        <v>412</v>
      </c>
      <c r="C6" s="6" t="s">
        <v>564</v>
      </c>
      <c r="D6" s="5">
        <v>44874</v>
      </c>
    </row>
    <row r="7" spans="2:4">
      <c r="B7" s="6" t="s">
        <v>266</v>
      </c>
      <c r="C7" s="6" t="s">
        <v>199</v>
      </c>
      <c r="D7" s="5">
        <v>44874</v>
      </c>
    </row>
    <row r="8" spans="2:4">
      <c r="B8" s="6" t="s">
        <v>191</v>
      </c>
      <c r="C8" s="6" t="s">
        <v>450</v>
      </c>
      <c r="D8" s="5">
        <v>44874</v>
      </c>
    </row>
    <row r="9" spans="2:4">
      <c r="B9" s="6" t="s">
        <v>361</v>
      </c>
      <c r="C9" s="6" t="s">
        <v>360</v>
      </c>
      <c r="D9" s="5">
        <v>44874</v>
      </c>
    </row>
    <row r="10" spans="2:4">
      <c r="B10" s="6" t="s">
        <v>409</v>
      </c>
      <c r="C10" s="6" t="s">
        <v>179</v>
      </c>
      <c r="D10" s="5">
        <v>44874</v>
      </c>
    </row>
    <row r="11" spans="2:4">
      <c r="B11" s="6" t="s">
        <v>418</v>
      </c>
      <c r="C11" s="6" t="s">
        <v>250</v>
      </c>
      <c r="D11" s="5">
        <v>44874</v>
      </c>
    </row>
    <row r="12" spans="2:4">
      <c r="B12" s="6" t="s">
        <v>410</v>
      </c>
      <c r="C12" s="6" t="s">
        <v>565</v>
      </c>
      <c r="D12" s="5">
        <v>44874</v>
      </c>
    </row>
    <row r="13" spans="2:4">
      <c r="B13" s="6" t="s">
        <v>310</v>
      </c>
      <c r="C13" s="6" t="s">
        <v>265</v>
      </c>
      <c r="D13" s="5">
        <v>44874</v>
      </c>
    </row>
    <row r="14" spans="2:4">
      <c r="B14" s="6" t="s">
        <v>306</v>
      </c>
      <c r="C14" s="6" t="s">
        <v>481</v>
      </c>
      <c r="D14" s="5">
        <v>44874</v>
      </c>
    </row>
    <row r="15" spans="2:4">
      <c r="B15" s="6" t="s">
        <v>332</v>
      </c>
      <c r="C15" s="6" t="s">
        <v>439</v>
      </c>
      <c r="D15" s="5">
        <v>44874</v>
      </c>
    </row>
    <row r="16" spans="2:4">
      <c r="B16" s="6" t="s">
        <v>320</v>
      </c>
      <c r="C16" s="6" t="s">
        <v>470</v>
      </c>
      <c r="D16" s="5">
        <v>44874</v>
      </c>
    </row>
    <row r="17" spans="2:4">
      <c r="B17" s="6" t="s">
        <v>363</v>
      </c>
      <c r="C17" s="6" t="s">
        <v>172</v>
      </c>
      <c r="D17" s="5">
        <v>44874</v>
      </c>
    </row>
    <row r="18" spans="2:4">
      <c r="B18" s="6" t="s">
        <v>383</v>
      </c>
      <c r="C18" s="6" t="s">
        <v>377</v>
      </c>
      <c r="D18" s="5">
        <v>44874</v>
      </c>
    </row>
    <row r="19" spans="2:4">
      <c r="B19" s="6" t="s">
        <v>81</v>
      </c>
      <c r="C19" s="6" t="s">
        <v>331</v>
      </c>
      <c r="D19" s="5">
        <v>44874</v>
      </c>
    </row>
    <row r="20" spans="2:4">
      <c r="B20" s="6" t="s">
        <v>208</v>
      </c>
      <c r="C20" s="6" t="s">
        <v>128</v>
      </c>
      <c r="D20" s="5">
        <v>44874</v>
      </c>
    </row>
    <row r="21" spans="2:4">
      <c r="B21" s="6" t="s">
        <v>36</v>
      </c>
      <c r="C21" s="6" t="s">
        <v>115</v>
      </c>
      <c r="D21" s="5">
        <v>44874</v>
      </c>
    </row>
    <row r="22" spans="2:4">
      <c r="B22" s="6" t="s">
        <v>162</v>
      </c>
      <c r="C22" s="6" t="s">
        <v>385</v>
      </c>
      <c r="D22" s="5">
        <v>44874</v>
      </c>
    </row>
    <row r="23" spans="2:4">
      <c r="B23" s="6" t="s">
        <v>381</v>
      </c>
      <c r="C23" s="6" t="s">
        <v>472</v>
      </c>
      <c r="D23" s="5">
        <v>44874</v>
      </c>
    </row>
    <row r="24" spans="2:4">
      <c r="B24" s="6" t="s">
        <v>141</v>
      </c>
      <c r="C24" s="6" t="s">
        <v>566</v>
      </c>
      <c r="D24" s="5">
        <v>44874</v>
      </c>
    </row>
    <row r="25" spans="2:4">
      <c r="B25" s="6" t="s">
        <v>43</v>
      </c>
      <c r="C25" s="6" t="s">
        <v>248</v>
      </c>
      <c r="D25" s="5">
        <v>44874</v>
      </c>
    </row>
    <row r="26" spans="2:4">
      <c r="B26" s="6" t="s">
        <v>424</v>
      </c>
      <c r="C26" s="6" t="s">
        <v>567</v>
      </c>
      <c r="D26" s="5">
        <v>44874</v>
      </c>
    </row>
    <row r="27" spans="2:4">
      <c r="B27" s="6" t="s">
        <v>166</v>
      </c>
      <c r="C27" s="6" t="s">
        <v>292</v>
      </c>
      <c r="D27" s="5">
        <v>44874</v>
      </c>
    </row>
    <row r="28" spans="2:4">
      <c r="B28" s="6" t="s">
        <v>161</v>
      </c>
      <c r="C28" s="6" t="s">
        <v>170</v>
      </c>
      <c r="D28" s="5">
        <v>44874</v>
      </c>
    </row>
    <row r="29" spans="2:4">
      <c r="B29" s="6" t="s">
        <v>610</v>
      </c>
      <c r="C29" s="6" t="s">
        <v>568</v>
      </c>
      <c r="D29" s="5">
        <v>44875</v>
      </c>
    </row>
    <row r="30" spans="2:4">
      <c r="B30" s="6" t="s">
        <v>343</v>
      </c>
      <c r="C30" s="6" t="s">
        <v>569</v>
      </c>
      <c r="D30" s="5">
        <v>44875</v>
      </c>
    </row>
    <row r="31" spans="2:4">
      <c r="B31" s="6" t="s">
        <v>180</v>
      </c>
      <c r="C31" s="6" t="s">
        <v>570</v>
      </c>
      <c r="D31" s="5">
        <v>44875</v>
      </c>
    </row>
    <row r="32" spans="2:4">
      <c r="B32" s="6" t="s">
        <v>305</v>
      </c>
      <c r="C32" s="6" t="s">
        <v>546</v>
      </c>
      <c r="D32" s="5">
        <v>44875</v>
      </c>
    </row>
    <row r="33" spans="2:4">
      <c r="B33" s="6" t="s">
        <v>143</v>
      </c>
      <c r="C33" s="6" t="s">
        <v>571</v>
      </c>
      <c r="D33" s="5">
        <v>44875</v>
      </c>
    </row>
    <row r="34" spans="2:4">
      <c r="B34" s="6" t="s">
        <v>52</v>
      </c>
      <c r="C34" s="6" t="s">
        <v>114</v>
      </c>
      <c r="D34" s="5">
        <v>44875</v>
      </c>
    </row>
    <row r="35" spans="2:4">
      <c r="B35" s="6" t="s">
        <v>286</v>
      </c>
      <c r="C35" s="6" t="s">
        <v>277</v>
      </c>
      <c r="D35" s="5">
        <v>44875</v>
      </c>
    </row>
    <row r="36" spans="2:4">
      <c r="B36" s="6" t="s">
        <v>57</v>
      </c>
      <c r="C36" s="6" t="s">
        <v>270</v>
      </c>
      <c r="D36" s="5">
        <v>44875</v>
      </c>
    </row>
    <row r="37" spans="2:4">
      <c r="B37" s="6" t="s">
        <v>142</v>
      </c>
      <c r="C37" s="6" t="s">
        <v>530</v>
      </c>
      <c r="D37" s="5">
        <v>44875</v>
      </c>
    </row>
    <row r="38" spans="2:4">
      <c r="B38" s="6" t="s">
        <v>414</v>
      </c>
      <c r="C38" s="6" t="s">
        <v>572</v>
      </c>
      <c r="D38" s="5">
        <v>44875</v>
      </c>
    </row>
    <row r="39" spans="2:4">
      <c r="B39" s="6" t="s">
        <v>122</v>
      </c>
      <c r="C39" s="6" t="s">
        <v>573</v>
      </c>
      <c r="D39" s="5">
        <v>44875</v>
      </c>
    </row>
    <row r="40" spans="2:4">
      <c r="B40" s="6" t="s">
        <v>261</v>
      </c>
      <c r="C40" s="6" t="s">
        <v>574</v>
      </c>
      <c r="D40" s="5">
        <v>44875</v>
      </c>
    </row>
    <row r="41" spans="2:4">
      <c r="B41" s="6" t="s">
        <v>150</v>
      </c>
      <c r="C41" s="6" t="s">
        <v>575</v>
      </c>
      <c r="D41" s="5">
        <v>44875</v>
      </c>
    </row>
    <row r="42" spans="2:4">
      <c r="B42" s="6" t="s">
        <v>125</v>
      </c>
      <c r="C42" s="6" t="s">
        <v>576</v>
      </c>
      <c r="D42" s="5">
        <v>44875</v>
      </c>
    </row>
    <row r="43" spans="2:4">
      <c r="B43" s="6" t="s">
        <v>194</v>
      </c>
      <c r="C43" s="6" t="s">
        <v>577</v>
      </c>
      <c r="D43" s="5">
        <v>44875</v>
      </c>
    </row>
    <row r="44" spans="2:4">
      <c r="B44" s="6" t="s">
        <v>175</v>
      </c>
      <c r="C44" s="6" t="s">
        <v>578</v>
      </c>
      <c r="D44" s="5">
        <v>44875</v>
      </c>
    </row>
    <row r="45" spans="2:4">
      <c r="B45" s="6" t="s">
        <v>274</v>
      </c>
      <c r="C45" s="6" t="s">
        <v>293</v>
      </c>
      <c r="D45" s="5">
        <v>44875</v>
      </c>
    </row>
    <row r="46" spans="2:4">
      <c r="B46" s="6" t="s">
        <v>590</v>
      </c>
      <c r="C46" s="6" t="s">
        <v>216</v>
      </c>
      <c r="D46" s="5">
        <v>44875</v>
      </c>
    </row>
    <row r="47" spans="2:4">
      <c r="B47" s="6" t="s">
        <v>304</v>
      </c>
      <c r="C47" s="6" t="s">
        <v>523</v>
      </c>
      <c r="D47" s="5">
        <v>44875</v>
      </c>
    </row>
    <row r="48" spans="2:4">
      <c r="B48" s="6" t="s">
        <v>104</v>
      </c>
      <c r="C48" s="6" t="s">
        <v>545</v>
      </c>
      <c r="D48" s="5">
        <v>44875</v>
      </c>
    </row>
    <row r="49" spans="2:4">
      <c r="B49" s="6" t="s">
        <v>413</v>
      </c>
      <c r="C49" s="6" t="s">
        <v>258</v>
      </c>
      <c r="D49" s="5">
        <v>44875</v>
      </c>
    </row>
    <row r="50" spans="2:4">
      <c r="B50" s="6" t="s">
        <v>255</v>
      </c>
      <c r="C50" s="6" t="s">
        <v>313</v>
      </c>
      <c r="D50" s="5">
        <v>44875</v>
      </c>
    </row>
    <row r="51" spans="2:4">
      <c r="B51" s="6" t="s">
        <v>282</v>
      </c>
      <c r="C51" s="6" t="s">
        <v>192</v>
      </c>
      <c r="D51" s="5">
        <v>44875</v>
      </c>
    </row>
    <row r="52" spans="2:4">
      <c r="B52" s="6" t="s">
        <v>131</v>
      </c>
      <c r="C52" s="6" t="s">
        <v>579</v>
      </c>
      <c r="D52" s="5">
        <v>44875</v>
      </c>
    </row>
    <row r="53" spans="2:4">
      <c r="B53" s="6" t="s">
        <v>264</v>
      </c>
      <c r="C53" s="6" t="s">
        <v>535</v>
      </c>
      <c r="D53" s="5">
        <v>44875</v>
      </c>
    </row>
    <row r="54" spans="2:4">
      <c r="B54" s="6" t="s">
        <v>301</v>
      </c>
      <c r="C54" s="6" t="s">
        <v>456</v>
      </c>
      <c r="D54" s="5">
        <v>44875</v>
      </c>
    </row>
    <row r="55" spans="2:4">
      <c r="B55" s="6" t="s">
        <v>138</v>
      </c>
      <c r="C55" s="6" t="s">
        <v>269</v>
      </c>
      <c r="D55" s="5">
        <v>44875</v>
      </c>
    </row>
    <row r="56" spans="2:4">
      <c r="B56" s="6" t="s">
        <v>300</v>
      </c>
      <c r="C56" s="6" t="s">
        <v>123</v>
      </c>
      <c r="D56" s="5">
        <v>44875</v>
      </c>
    </row>
    <row r="57" spans="2:4">
      <c r="B57" s="6" t="s">
        <v>107</v>
      </c>
      <c r="C57" s="6" t="s">
        <v>176</v>
      </c>
      <c r="D57" s="5">
        <v>44875</v>
      </c>
    </row>
    <row r="58" spans="2:4">
      <c r="B58" s="6" t="s">
        <v>64</v>
      </c>
      <c r="C58" s="6" t="s">
        <v>336</v>
      </c>
      <c r="D58" s="5">
        <v>44875</v>
      </c>
    </row>
    <row r="59" spans="2:4">
      <c r="B59" s="6" t="s">
        <v>66</v>
      </c>
      <c r="C59" s="6" t="s">
        <v>580</v>
      </c>
      <c r="D59" s="5">
        <v>44875</v>
      </c>
    </row>
    <row r="60" spans="2:4">
      <c r="B60" s="6" t="s">
        <v>56</v>
      </c>
      <c r="C60" s="6" t="s">
        <v>287</v>
      </c>
      <c r="D60" s="5">
        <v>44875</v>
      </c>
    </row>
    <row r="61" spans="2:4">
      <c r="B61" s="6" t="s">
        <v>415</v>
      </c>
      <c r="C61" s="6" t="s">
        <v>500</v>
      </c>
      <c r="D61" s="5">
        <v>44875</v>
      </c>
    </row>
    <row r="62" spans="2:4">
      <c r="B62" s="6" t="s">
        <v>238</v>
      </c>
      <c r="C62" s="6" t="s">
        <v>581</v>
      </c>
      <c r="D62" s="5">
        <v>44875</v>
      </c>
    </row>
    <row r="63" spans="2:4">
      <c r="B63" s="6" t="s">
        <v>102</v>
      </c>
      <c r="C63" s="6" t="s">
        <v>307</v>
      </c>
      <c r="D63" s="5">
        <v>44875</v>
      </c>
    </row>
    <row r="64" spans="2:4">
      <c r="B64" s="6" t="s">
        <v>290</v>
      </c>
      <c r="C64" s="6" t="s">
        <v>425</v>
      </c>
      <c r="D64" s="5">
        <v>44875</v>
      </c>
    </row>
    <row r="65" spans="2:4">
      <c r="B65" s="6" t="s">
        <v>333</v>
      </c>
      <c r="C65" s="6" t="s">
        <v>516</v>
      </c>
      <c r="D65" s="5">
        <v>44875</v>
      </c>
    </row>
    <row r="66" spans="2:4">
      <c r="B66" s="6" t="s">
        <v>26</v>
      </c>
      <c r="C66" s="6" t="s">
        <v>359</v>
      </c>
      <c r="D66" s="5">
        <v>44875</v>
      </c>
    </row>
    <row r="67" spans="2:4">
      <c r="B67" s="6" t="s">
        <v>27</v>
      </c>
      <c r="C67" s="6" t="s">
        <v>249</v>
      </c>
      <c r="D67" s="5">
        <v>44875</v>
      </c>
    </row>
    <row r="68" spans="2:4">
      <c r="B68" s="6" t="s">
        <v>388</v>
      </c>
      <c r="C68" s="6" t="s">
        <v>582</v>
      </c>
      <c r="D68" s="5">
        <v>44875</v>
      </c>
    </row>
    <row r="69" spans="2:4">
      <c r="B69" s="6" t="s">
        <v>308</v>
      </c>
      <c r="C69" s="6" t="s">
        <v>173</v>
      </c>
      <c r="D69" s="5">
        <v>44875</v>
      </c>
    </row>
    <row r="70" spans="2:4">
      <c r="B70" s="6" t="s">
        <v>603</v>
      </c>
      <c r="C70" s="6" t="s">
        <v>583</v>
      </c>
      <c r="D70" s="5">
        <v>44875</v>
      </c>
    </row>
    <row r="71" spans="2:4">
      <c r="B71" s="6" t="s">
        <v>329</v>
      </c>
      <c r="C71" s="6" t="s">
        <v>326</v>
      </c>
      <c r="D71" s="5">
        <v>44875</v>
      </c>
    </row>
    <row r="72" spans="2:4">
      <c r="B72" s="6" t="s">
        <v>322</v>
      </c>
      <c r="C72" s="6" t="s">
        <v>241</v>
      </c>
      <c r="D72" s="5">
        <v>44875</v>
      </c>
    </row>
    <row r="73" spans="2:4">
      <c r="B73" s="6" t="s">
        <v>187</v>
      </c>
      <c r="C73" s="6" t="s">
        <v>397</v>
      </c>
      <c r="D73" s="5">
        <v>44875</v>
      </c>
    </row>
    <row r="74" spans="2:4">
      <c r="B74" s="6" t="s">
        <v>37</v>
      </c>
      <c r="C74" s="6" t="s">
        <v>362</v>
      </c>
      <c r="D74" s="5">
        <v>44875</v>
      </c>
    </row>
    <row r="75" spans="2:4">
      <c r="B75" s="6" t="s">
        <v>67</v>
      </c>
      <c r="C75" s="6" t="s">
        <v>357</v>
      </c>
      <c r="D75" s="5">
        <v>44875</v>
      </c>
    </row>
    <row r="76" spans="2:4">
      <c r="B76" s="6" t="s">
        <v>46</v>
      </c>
      <c r="C76" s="6" t="s">
        <v>202</v>
      </c>
      <c r="D76" s="5">
        <v>44875</v>
      </c>
    </row>
    <row r="77" spans="2:4">
      <c r="B77" s="6" t="s">
        <v>62</v>
      </c>
      <c r="C77" s="6" t="s">
        <v>232</v>
      </c>
      <c r="D77" s="5">
        <v>44875</v>
      </c>
    </row>
    <row r="78" spans="2:4">
      <c r="B78" s="6" t="s">
        <v>240</v>
      </c>
      <c r="C78" s="6" t="s">
        <v>448</v>
      </c>
      <c r="D78" s="5">
        <v>44875</v>
      </c>
    </row>
    <row r="79" spans="2:4">
      <c r="B79" s="6" t="s">
        <v>38</v>
      </c>
      <c r="C79" s="6" t="s">
        <v>196</v>
      </c>
      <c r="D79" s="5">
        <v>44875</v>
      </c>
    </row>
    <row r="80" spans="2:4">
      <c r="B80" s="6" t="s">
        <v>30</v>
      </c>
      <c r="C80" s="6" t="s">
        <v>584</v>
      </c>
      <c r="D80" s="5">
        <v>44875</v>
      </c>
    </row>
    <row r="81" spans="2:4">
      <c r="B81" s="6" t="s">
        <v>206</v>
      </c>
      <c r="C81" s="6" t="s">
        <v>377</v>
      </c>
      <c r="D81" s="5">
        <v>44875</v>
      </c>
    </row>
    <row r="82" spans="2:4">
      <c r="B82" s="6" t="s">
        <v>153</v>
      </c>
      <c r="C82" s="6" t="s">
        <v>387</v>
      </c>
      <c r="D82" s="5">
        <v>44875</v>
      </c>
    </row>
    <row r="83" spans="2:4">
      <c r="B83" s="6" t="s">
        <v>151</v>
      </c>
      <c r="C83" s="6" t="s">
        <v>462</v>
      </c>
      <c r="D83" s="5">
        <v>44875</v>
      </c>
    </row>
    <row r="84" spans="2:4">
      <c r="B84" s="6" t="s">
        <v>378</v>
      </c>
      <c r="C84" s="6" t="s">
        <v>401</v>
      </c>
      <c r="D84" s="5">
        <v>44875</v>
      </c>
    </row>
    <row r="85" spans="2:4">
      <c r="B85" s="6" t="s">
        <v>158</v>
      </c>
      <c r="C85" s="6" t="s">
        <v>464</v>
      </c>
      <c r="D85" s="5">
        <v>44875</v>
      </c>
    </row>
    <row r="86" spans="2:4">
      <c r="B86" s="6" t="s">
        <v>73</v>
      </c>
      <c r="C86" s="6" t="s">
        <v>403</v>
      </c>
      <c r="D86" s="5">
        <v>44875</v>
      </c>
    </row>
    <row r="87" spans="2:4">
      <c r="B87" s="6" t="s">
        <v>152</v>
      </c>
      <c r="C87" s="6" t="s">
        <v>319</v>
      </c>
      <c r="D87" s="5">
        <v>44875</v>
      </c>
    </row>
    <row r="88" spans="2:4">
      <c r="B88" s="6" t="s">
        <v>404</v>
      </c>
      <c r="C88" s="6" t="s">
        <v>207</v>
      </c>
      <c r="D88" s="5">
        <v>44875</v>
      </c>
    </row>
    <row r="89" spans="2:4">
      <c r="B89" s="6" t="s">
        <v>160</v>
      </c>
      <c r="C89" s="6" t="s">
        <v>289</v>
      </c>
      <c r="D89" s="5">
        <v>44875</v>
      </c>
    </row>
    <row r="90" spans="2:4">
      <c r="B90" s="6" t="s">
        <v>396</v>
      </c>
      <c r="C90" s="6" t="s">
        <v>154</v>
      </c>
      <c r="D90" s="5">
        <v>44875</v>
      </c>
    </row>
    <row r="91" spans="2:4">
      <c r="B91" s="6" t="s">
        <v>398</v>
      </c>
      <c r="C91" s="6" t="s">
        <v>205</v>
      </c>
      <c r="D91" s="5">
        <v>44875</v>
      </c>
    </row>
    <row r="92" spans="2:4">
      <c r="B92" s="6" t="s">
        <v>74</v>
      </c>
      <c r="C92" s="6" t="s">
        <v>314</v>
      </c>
      <c r="D92" s="5">
        <v>44875</v>
      </c>
    </row>
    <row r="93" spans="2:4">
      <c r="B93" s="6" t="s">
        <v>253</v>
      </c>
      <c r="C93" s="6" t="s">
        <v>112</v>
      </c>
      <c r="D93" s="5">
        <v>44876</v>
      </c>
    </row>
    <row r="94" spans="2:4">
      <c r="B94" s="6" t="s">
        <v>54</v>
      </c>
      <c r="C94" s="6" t="s">
        <v>422</v>
      </c>
      <c r="D94" s="5">
        <v>44876</v>
      </c>
    </row>
    <row r="95" spans="2:4">
      <c r="B95" s="6" t="s">
        <v>120</v>
      </c>
      <c r="C95" s="6" t="s">
        <v>530</v>
      </c>
      <c r="D95" s="5">
        <v>44876</v>
      </c>
    </row>
    <row r="96" spans="2:4">
      <c r="B96" s="6" t="s">
        <v>423</v>
      </c>
      <c r="C96" s="6" t="s">
        <v>394</v>
      </c>
      <c r="D96" s="5">
        <v>44876</v>
      </c>
    </row>
    <row r="97" spans="2:4">
      <c r="B97" s="6" t="s">
        <v>198</v>
      </c>
      <c r="C97" s="6" t="s">
        <v>118</v>
      </c>
      <c r="D97" s="5">
        <v>44876</v>
      </c>
    </row>
    <row r="98" spans="2:4">
      <c r="B98" s="6" t="s">
        <v>140</v>
      </c>
      <c r="C98" s="6" t="s">
        <v>195</v>
      </c>
      <c r="D98" s="5">
        <v>44876</v>
      </c>
    </row>
    <row r="99" spans="2:4">
      <c r="B99" s="6" t="s">
        <v>334</v>
      </c>
      <c r="C99" s="6" t="s">
        <v>212</v>
      </c>
      <c r="D99" s="5">
        <v>44876</v>
      </c>
    </row>
    <row r="100" spans="2:4">
      <c r="B100" s="6" t="s">
        <v>337</v>
      </c>
      <c r="C100" s="6" t="s">
        <v>96</v>
      </c>
      <c r="D100" s="5">
        <v>44876</v>
      </c>
    </row>
    <row r="101" spans="2:4">
      <c r="B101" s="6" t="s">
        <v>108</v>
      </c>
      <c r="C101" s="6" t="s">
        <v>365</v>
      </c>
      <c r="D101" s="5">
        <v>44876</v>
      </c>
    </row>
    <row r="102" spans="2:4">
      <c r="B102" s="6" t="s">
        <v>245</v>
      </c>
      <c r="C102" s="6" t="s">
        <v>278</v>
      </c>
      <c r="D102" s="5">
        <v>44876</v>
      </c>
    </row>
    <row r="103" spans="2:4">
      <c r="B103" s="6" t="s">
        <v>132</v>
      </c>
      <c r="C103" s="6" t="s">
        <v>55</v>
      </c>
      <c r="D103" s="5">
        <v>44876</v>
      </c>
    </row>
    <row r="104" spans="2:4">
      <c r="B104" s="6" t="s">
        <v>44</v>
      </c>
      <c r="C104" s="6" t="s">
        <v>273</v>
      </c>
      <c r="D104" s="5">
        <v>44876</v>
      </c>
    </row>
    <row r="105" spans="2:4">
      <c r="B105" s="6" t="s">
        <v>99</v>
      </c>
      <c r="C105" s="6" t="s">
        <v>585</v>
      </c>
      <c r="D105" s="5">
        <v>44876</v>
      </c>
    </row>
    <row r="106" spans="2:4">
      <c r="B106" s="6" t="s">
        <v>355</v>
      </c>
      <c r="C106" s="6" t="s">
        <v>544</v>
      </c>
      <c r="D106" s="5">
        <v>44876</v>
      </c>
    </row>
    <row r="107" spans="2:4">
      <c r="B107" s="6" t="s">
        <v>251</v>
      </c>
      <c r="C107" s="6" t="s">
        <v>432</v>
      </c>
      <c r="D107" s="5">
        <v>44876</v>
      </c>
    </row>
    <row r="108" spans="2:4">
      <c r="B108" s="6" t="s">
        <v>80</v>
      </c>
      <c r="C108" s="6" t="s">
        <v>284</v>
      </c>
      <c r="D108" s="5">
        <v>44876</v>
      </c>
    </row>
    <row r="109" spans="2:4">
      <c r="B109" s="6" t="s">
        <v>145</v>
      </c>
      <c r="C109" s="6" t="s">
        <v>35</v>
      </c>
      <c r="D109" s="5">
        <v>44876</v>
      </c>
    </row>
    <row r="110" spans="2:4">
      <c r="B110" s="6" t="s">
        <v>214</v>
      </c>
      <c r="C110" s="6" t="s">
        <v>341</v>
      </c>
      <c r="D110" s="5">
        <v>44876</v>
      </c>
    </row>
    <row r="111" spans="2:4">
      <c r="B111" s="6" t="s">
        <v>85</v>
      </c>
      <c r="C111" s="6" t="s">
        <v>105</v>
      </c>
      <c r="D111" s="5">
        <v>44876</v>
      </c>
    </row>
    <row r="112" spans="2:4">
      <c r="B112" s="6" t="s">
        <v>101</v>
      </c>
      <c r="C112" s="6" t="s">
        <v>288</v>
      </c>
      <c r="D112" s="5">
        <v>44876</v>
      </c>
    </row>
    <row r="113" spans="2:4">
      <c r="B113" s="6" t="s">
        <v>327</v>
      </c>
      <c r="C113" s="6" t="s">
        <v>528</v>
      </c>
      <c r="D113" s="5">
        <v>44876</v>
      </c>
    </row>
    <row r="114" spans="2:4">
      <c r="B114" s="6" t="s">
        <v>178</v>
      </c>
      <c r="C114" s="6" t="s">
        <v>285</v>
      </c>
      <c r="D114" s="5">
        <v>44876</v>
      </c>
    </row>
    <row r="115" spans="2:4">
      <c r="B115" s="6" t="s">
        <v>174</v>
      </c>
      <c r="C115" s="6" t="s">
        <v>477</v>
      </c>
      <c r="D115" s="5">
        <v>44876</v>
      </c>
    </row>
    <row r="116" spans="2:4">
      <c r="B116" s="6" t="s">
        <v>171</v>
      </c>
      <c r="C116" s="6" t="s">
        <v>457</v>
      </c>
      <c r="D116" s="5">
        <v>44876</v>
      </c>
    </row>
    <row r="117" spans="2:4">
      <c r="B117" s="6" t="s">
        <v>294</v>
      </c>
      <c r="C117" s="6" t="s">
        <v>531</v>
      </c>
      <c r="D117" s="5">
        <v>44876</v>
      </c>
    </row>
    <row r="118" spans="2:4">
      <c r="B118" s="6" t="s">
        <v>146</v>
      </c>
      <c r="C118" s="6" t="s">
        <v>136</v>
      </c>
      <c r="D118" s="5">
        <v>44876</v>
      </c>
    </row>
    <row r="119" spans="2:4">
      <c r="B119" s="6" t="s">
        <v>116</v>
      </c>
      <c r="C119" s="6" t="s">
        <v>233</v>
      </c>
      <c r="D119" s="5">
        <v>44876</v>
      </c>
    </row>
    <row r="120" spans="2:4">
      <c r="B120" s="6" t="s">
        <v>221</v>
      </c>
      <c r="C120" s="6" t="s">
        <v>342</v>
      </c>
      <c r="D120" s="5">
        <v>44876</v>
      </c>
    </row>
    <row r="121" spans="2:4">
      <c r="B121" s="6" t="s">
        <v>200</v>
      </c>
      <c r="C121" s="6" t="s">
        <v>318</v>
      </c>
      <c r="D121" s="5">
        <v>44876</v>
      </c>
    </row>
    <row r="122" spans="2:4">
      <c r="B122" s="6" t="s">
        <v>281</v>
      </c>
      <c r="C122" s="6" t="s">
        <v>395</v>
      </c>
      <c r="D122" s="5">
        <v>44876</v>
      </c>
    </row>
    <row r="123" spans="2:4">
      <c r="B123" s="6" t="s">
        <v>230</v>
      </c>
      <c r="C123" s="6" t="s">
        <v>246</v>
      </c>
      <c r="D123" s="5">
        <v>44876</v>
      </c>
    </row>
    <row r="124" spans="2:4">
      <c r="B124" s="6" t="s">
        <v>351</v>
      </c>
      <c r="C124" s="6" t="s">
        <v>106</v>
      </c>
      <c r="D124" s="5">
        <v>44876</v>
      </c>
    </row>
    <row r="125" spans="2:4">
      <c r="B125" s="6" t="s">
        <v>111</v>
      </c>
      <c r="C125" s="6" t="s">
        <v>186</v>
      </c>
      <c r="D125" s="5">
        <v>44876</v>
      </c>
    </row>
    <row r="126" spans="2:4">
      <c r="B126" s="6" t="s">
        <v>77</v>
      </c>
      <c r="C126" s="6" t="s">
        <v>586</v>
      </c>
      <c r="D126" s="5">
        <v>44876</v>
      </c>
    </row>
    <row r="127" spans="2:4">
      <c r="B127" s="6" t="s">
        <v>58</v>
      </c>
      <c r="C127" s="6" t="s">
        <v>147</v>
      </c>
      <c r="D127" s="5">
        <v>44876</v>
      </c>
    </row>
    <row r="128" spans="2:4">
      <c r="B128" s="6" t="s">
        <v>63</v>
      </c>
      <c r="C128" s="6" t="s">
        <v>587</v>
      </c>
      <c r="D128" s="5">
        <v>44876</v>
      </c>
    </row>
    <row r="129" spans="2:4">
      <c r="B129" s="6" t="s">
        <v>164</v>
      </c>
      <c r="C129" s="6" t="s">
        <v>33</v>
      </c>
      <c r="D129" s="5">
        <v>44876</v>
      </c>
    </row>
    <row r="130" spans="2:4">
      <c r="B130" s="6" t="s">
        <v>185</v>
      </c>
      <c r="C130" s="6" t="s">
        <v>316</v>
      </c>
      <c r="D130" s="5">
        <v>44876</v>
      </c>
    </row>
    <row r="131" spans="2:4">
      <c r="B131" s="6" t="s">
        <v>88</v>
      </c>
      <c r="C131" s="6" t="s">
        <v>421</v>
      </c>
      <c r="D131" s="5">
        <v>44876</v>
      </c>
    </row>
    <row r="132" spans="2:4">
      <c r="B132" s="6" t="s">
        <v>79</v>
      </c>
      <c r="C132" s="6" t="s">
        <v>356</v>
      </c>
      <c r="D132" s="5">
        <v>44876</v>
      </c>
    </row>
    <row r="133" spans="2:4">
      <c r="B133" s="6" t="s">
        <v>49</v>
      </c>
      <c r="C133" s="6" t="s">
        <v>32</v>
      </c>
      <c r="D133" s="5">
        <v>44876</v>
      </c>
    </row>
    <row r="134" spans="2:4">
      <c r="B134" s="6" t="s">
        <v>149</v>
      </c>
      <c r="C134" s="6" t="s">
        <v>298</v>
      </c>
      <c r="D134" s="5">
        <v>44876</v>
      </c>
    </row>
    <row r="135" spans="2:4">
      <c r="B135" s="6" t="s">
        <v>48</v>
      </c>
      <c r="C135" s="6" t="s">
        <v>267</v>
      </c>
      <c r="D135" s="5">
        <v>44876</v>
      </c>
    </row>
    <row r="136" spans="2:4">
      <c r="B136" s="6" t="s">
        <v>411</v>
      </c>
      <c r="C136" s="6" t="s">
        <v>45</v>
      </c>
      <c r="D136" s="5">
        <v>44876</v>
      </c>
    </row>
    <row r="137" spans="2:4">
      <c r="B137" s="6" t="s">
        <v>90</v>
      </c>
      <c r="C137" s="6" t="s">
        <v>51</v>
      </c>
      <c r="D137" s="5">
        <v>44876</v>
      </c>
    </row>
    <row r="138" spans="2:4">
      <c r="B138" s="6" t="s">
        <v>65</v>
      </c>
      <c r="C138" s="6" t="s">
        <v>93</v>
      </c>
      <c r="D138" s="5">
        <v>44876</v>
      </c>
    </row>
    <row r="139" spans="2:4">
      <c r="B139" s="6" t="s">
        <v>28</v>
      </c>
      <c r="C139" s="6" t="s">
        <v>310</v>
      </c>
      <c r="D139" s="5">
        <v>44876</v>
      </c>
    </row>
    <row r="140" spans="2:4">
      <c r="B140" s="6" t="s">
        <v>84</v>
      </c>
      <c r="C140" s="6" t="s">
        <v>349</v>
      </c>
      <c r="D140" s="5">
        <v>44876</v>
      </c>
    </row>
    <row r="141" spans="2:4">
      <c r="B141" s="6" t="s">
        <v>34</v>
      </c>
      <c r="C141" s="6" t="s">
        <v>94</v>
      </c>
      <c r="D141" s="5">
        <v>44876</v>
      </c>
    </row>
    <row r="142" spans="2:4">
      <c r="B142" s="6" t="s">
        <v>83</v>
      </c>
      <c r="C142" s="6" t="s">
        <v>231</v>
      </c>
      <c r="D142" s="5">
        <v>44876</v>
      </c>
    </row>
    <row r="143" spans="2:4">
      <c r="B143" s="6" t="s">
        <v>82</v>
      </c>
      <c r="C143" s="6" t="s">
        <v>201</v>
      </c>
      <c r="D143" s="5">
        <v>44876</v>
      </c>
    </row>
    <row r="144" spans="2:4">
      <c r="B144" s="6" t="s">
        <v>426</v>
      </c>
      <c r="C144" s="6" t="s">
        <v>588</v>
      </c>
      <c r="D144" s="5">
        <v>44876</v>
      </c>
    </row>
    <row r="145" spans="2:4">
      <c r="B145" s="6" t="s">
        <v>184</v>
      </c>
      <c r="C145" s="6" t="s">
        <v>589</v>
      </c>
      <c r="D145" s="5">
        <v>44876</v>
      </c>
    </row>
    <row r="146" spans="2:4">
      <c r="B146" s="6" t="s">
        <v>348</v>
      </c>
      <c r="C146" s="6" t="s">
        <v>347</v>
      </c>
      <c r="D146" s="5">
        <v>44876</v>
      </c>
    </row>
    <row r="147" spans="2:4">
      <c r="B147" s="6" t="s">
        <v>280</v>
      </c>
      <c r="C147" s="6" t="s">
        <v>350</v>
      </c>
      <c r="D147" s="5">
        <v>44876</v>
      </c>
    </row>
    <row r="148" spans="2:4">
      <c r="B148" s="6" t="s">
        <v>640</v>
      </c>
      <c r="C148" s="6" t="s">
        <v>368</v>
      </c>
      <c r="D148" s="5">
        <v>44876</v>
      </c>
    </row>
    <row r="149" spans="2:4">
      <c r="B149" s="6" t="s">
        <v>39</v>
      </c>
      <c r="C149" s="6" t="s">
        <v>190</v>
      </c>
      <c r="D149" s="5">
        <v>44876</v>
      </c>
    </row>
    <row r="150" spans="2:4">
      <c r="B150" s="6" t="s">
        <v>382</v>
      </c>
      <c r="C150" s="6" t="s">
        <v>72</v>
      </c>
      <c r="D150" s="5">
        <v>44876</v>
      </c>
    </row>
    <row r="151" spans="2:4">
      <c r="B151" s="6" t="s">
        <v>68</v>
      </c>
      <c r="C151" s="6" t="s">
        <v>400</v>
      </c>
      <c r="D151" s="5">
        <v>44876</v>
      </c>
    </row>
    <row r="152" spans="2:4">
      <c r="B152" s="6" t="s">
        <v>61</v>
      </c>
      <c r="C152" s="6" t="s">
        <v>268</v>
      </c>
      <c r="D152" s="5">
        <v>44876</v>
      </c>
    </row>
    <row r="153" spans="2:4">
      <c r="B153" s="6" t="s">
        <v>29</v>
      </c>
      <c r="C153" s="6" t="s">
        <v>332</v>
      </c>
      <c r="D153" s="5">
        <v>44876</v>
      </c>
    </row>
    <row r="154" spans="2:4">
      <c r="B154" s="6" t="s">
        <v>91</v>
      </c>
      <c r="C154" s="6" t="s">
        <v>345</v>
      </c>
      <c r="D154" s="5">
        <v>44876</v>
      </c>
    </row>
    <row r="155" spans="2:4">
      <c r="B155" s="6" t="s">
        <v>87</v>
      </c>
      <c r="C155" s="6" t="s">
        <v>419</v>
      </c>
      <c r="D155" s="5">
        <v>44876</v>
      </c>
    </row>
    <row r="156" spans="2:4">
      <c r="B156" s="6" t="s">
        <v>220</v>
      </c>
      <c r="C156" s="6" t="s">
        <v>97</v>
      </c>
      <c r="D156" s="5">
        <v>44876</v>
      </c>
    </row>
    <row r="157" spans="2:4">
      <c r="B157" s="6" t="s">
        <v>436</v>
      </c>
      <c r="C157" s="6" t="s">
        <v>129</v>
      </c>
      <c r="D157" s="5">
        <v>44876</v>
      </c>
    </row>
    <row r="158" spans="2:4">
      <c r="B158" s="6" t="s">
        <v>53</v>
      </c>
      <c r="C158" s="6" t="s">
        <v>89</v>
      </c>
      <c r="D158" s="5">
        <v>44876</v>
      </c>
    </row>
    <row r="159" spans="2:4">
      <c r="B159" s="6" t="s">
        <v>70</v>
      </c>
      <c r="C159" s="6" t="s">
        <v>181</v>
      </c>
      <c r="D159" s="5">
        <v>44876</v>
      </c>
    </row>
    <row r="160" spans="2:4">
      <c r="B160" s="6" t="s">
        <v>188</v>
      </c>
      <c r="C160" s="6" t="s">
        <v>115</v>
      </c>
      <c r="D160" s="5">
        <v>44876</v>
      </c>
    </row>
    <row r="161" spans="2:4">
      <c r="B161" s="6" t="s">
        <v>59</v>
      </c>
      <c r="C161" s="6" t="s">
        <v>247</v>
      </c>
      <c r="D161" s="5">
        <v>44876</v>
      </c>
    </row>
    <row r="162" spans="2:4">
      <c r="B162" s="6" t="s">
        <v>60</v>
      </c>
      <c r="C162" s="6" t="s">
        <v>331</v>
      </c>
      <c r="D162" s="5">
        <v>44876</v>
      </c>
    </row>
    <row r="163" spans="2:4">
      <c r="B163" s="6" t="s">
        <v>76</v>
      </c>
      <c r="C163" s="6" t="s">
        <v>170</v>
      </c>
      <c r="D163" s="5">
        <v>44876</v>
      </c>
    </row>
    <row r="164" spans="2:4">
      <c r="B164" s="6" t="s">
        <v>168</v>
      </c>
      <c r="C164" s="6" t="s">
        <v>119</v>
      </c>
      <c r="D164" s="5">
        <v>44876</v>
      </c>
    </row>
    <row r="165" spans="2:4">
      <c r="B165" s="6" t="s">
        <v>189</v>
      </c>
      <c r="C165" s="6" t="s">
        <v>306</v>
      </c>
      <c r="D165" s="5">
        <v>44876</v>
      </c>
    </row>
    <row r="166" spans="2:4">
      <c r="B166" s="6" t="s">
        <v>393</v>
      </c>
      <c r="C166" s="6" t="s">
        <v>100</v>
      </c>
      <c r="D166" s="5">
        <v>44876</v>
      </c>
    </row>
    <row r="167" spans="2:4">
      <c r="B167" s="6" t="s">
        <v>386</v>
      </c>
      <c r="C167" s="6" t="s">
        <v>183</v>
      </c>
      <c r="D167" s="5">
        <v>44876</v>
      </c>
    </row>
    <row r="168" spans="2:4">
      <c r="B168" s="6" t="s">
        <v>159</v>
      </c>
      <c r="C168" s="6" t="s">
        <v>177</v>
      </c>
      <c r="D168" s="5">
        <v>44876</v>
      </c>
    </row>
    <row r="169" spans="2:4">
      <c r="B169" s="6" t="s">
        <v>621</v>
      </c>
      <c r="C169" s="6" t="s">
        <v>165</v>
      </c>
      <c r="D169" s="5">
        <v>44876</v>
      </c>
    </row>
    <row r="170" spans="2:4">
      <c r="B170" s="6" t="s">
        <v>161</v>
      </c>
      <c r="C170" s="6" t="s">
        <v>402</v>
      </c>
      <c r="D170" s="5">
        <v>44876</v>
      </c>
    </row>
    <row r="171" spans="2:4">
      <c r="B171" s="6" t="s">
        <v>155</v>
      </c>
      <c r="C171" s="6" t="s">
        <v>330</v>
      </c>
      <c r="D171" s="5">
        <v>44876</v>
      </c>
    </row>
    <row r="172" spans="2:4">
      <c r="B172" s="6" t="s">
        <v>392</v>
      </c>
      <c r="C172" s="6" t="s">
        <v>157</v>
      </c>
      <c r="D172" s="5">
        <v>44876</v>
      </c>
    </row>
    <row r="173" spans="2:4">
      <c r="B173" s="6" t="s">
        <v>75</v>
      </c>
      <c r="C173" s="6" t="s">
        <v>420</v>
      </c>
      <c r="D173" s="5">
        <v>44876</v>
      </c>
    </row>
    <row r="174" spans="2:4">
      <c r="B174" s="6" t="s">
        <v>69</v>
      </c>
      <c r="C174" s="6" t="s">
        <v>167</v>
      </c>
      <c r="D174" s="5">
        <v>44876</v>
      </c>
    </row>
    <row r="175" spans="2:4">
      <c r="B175" s="6" t="s">
        <v>71</v>
      </c>
      <c r="C175" s="6" t="s">
        <v>354</v>
      </c>
      <c r="D175" s="5">
        <v>44876</v>
      </c>
    </row>
    <row r="176" spans="2:4">
      <c r="B176" s="6" t="s">
        <v>428</v>
      </c>
      <c r="C176" s="6" t="s">
        <v>303</v>
      </c>
      <c r="D176" s="5">
        <v>44876</v>
      </c>
    </row>
    <row r="177" spans="2:4">
      <c r="B177" s="6" t="s">
        <v>41</v>
      </c>
      <c r="C177" s="6" t="s">
        <v>324</v>
      </c>
      <c r="D177" s="5">
        <v>44877</v>
      </c>
    </row>
    <row r="178" spans="2:4">
      <c r="B178" s="6" t="s">
        <v>309</v>
      </c>
      <c r="C178" s="6" t="s">
        <v>276</v>
      </c>
      <c r="D178" s="5">
        <v>44877</v>
      </c>
    </row>
    <row r="179" spans="2:4">
      <c r="B179" s="6" t="s">
        <v>36</v>
      </c>
      <c r="C179" s="6" t="s">
        <v>244</v>
      </c>
      <c r="D179" s="5">
        <v>44877</v>
      </c>
    </row>
    <row r="180" spans="2:4">
      <c r="B180" s="6" t="s">
        <v>209</v>
      </c>
      <c r="C180" s="6" t="s">
        <v>572</v>
      </c>
      <c r="D180" s="5">
        <v>44877</v>
      </c>
    </row>
    <row r="181" spans="2:4">
      <c r="B181" s="6" t="s">
        <v>296</v>
      </c>
      <c r="C181" s="6" t="s">
        <v>370</v>
      </c>
      <c r="D181" s="5">
        <v>44877</v>
      </c>
    </row>
    <row r="182" spans="2:4">
      <c r="B182" s="6" t="s">
        <v>148</v>
      </c>
      <c r="C182" s="6" t="s">
        <v>590</v>
      </c>
      <c r="D182" s="5">
        <v>44877</v>
      </c>
    </row>
    <row r="183" spans="2:4">
      <c r="B183" s="6" t="s">
        <v>203</v>
      </c>
      <c r="C183" s="6" t="s">
        <v>409</v>
      </c>
      <c r="D183" s="5">
        <v>44877</v>
      </c>
    </row>
    <row r="184" spans="2:4">
      <c r="B184" s="6" t="s">
        <v>127</v>
      </c>
      <c r="C184" s="6" t="s">
        <v>397</v>
      </c>
      <c r="D184" s="5">
        <v>44877</v>
      </c>
    </row>
    <row r="185" spans="2:4">
      <c r="B185" s="6" t="s">
        <v>43</v>
      </c>
      <c r="C185" s="6" t="s">
        <v>266</v>
      </c>
      <c r="D185" s="5">
        <v>44877</v>
      </c>
    </row>
    <row r="186" spans="2:4">
      <c r="B186" s="6" t="s">
        <v>256</v>
      </c>
      <c r="C186" s="6" t="s">
        <v>591</v>
      </c>
      <c r="D186" s="5">
        <v>44877</v>
      </c>
    </row>
    <row r="187" spans="2:4">
      <c r="B187" s="6" t="s">
        <v>325</v>
      </c>
      <c r="C187" s="6" t="s">
        <v>109</v>
      </c>
      <c r="D187" s="5">
        <v>44877</v>
      </c>
    </row>
    <row r="188" spans="2:4">
      <c r="B188" s="6" t="s">
        <v>64</v>
      </c>
      <c r="C188" s="6" t="s">
        <v>269</v>
      </c>
      <c r="D188" s="5">
        <v>44877</v>
      </c>
    </row>
    <row r="189" spans="2:4">
      <c r="B189" s="6" t="s">
        <v>102</v>
      </c>
      <c r="C189" s="6" t="s">
        <v>559</v>
      </c>
      <c r="D189" s="5">
        <v>44877</v>
      </c>
    </row>
    <row r="190" spans="2:4">
      <c r="B190" s="6" t="s">
        <v>95</v>
      </c>
      <c r="C190" s="6" t="s">
        <v>364</v>
      </c>
      <c r="D190" s="5">
        <v>44877</v>
      </c>
    </row>
    <row r="191" spans="2:4">
      <c r="B191" s="6" t="s">
        <v>297</v>
      </c>
      <c r="C191" s="6" t="s">
        <v>429</v>
      </c>
      <c r="D191" s="5">
        <v>44877</v>
      </c>
    </row>
    <row r="192" spans="2:4">
      <c r="B192" s="6" t="s">
        <v>250</v>
      </c>
      <c r="C192" s="6" t="s">
        <v>439</v>
      </c>
      <c r="D192" s="5">
        <v>44877</v>
      </c>
    </row>
    <row r="193" spans="2:4">
      <c r="B193" s="6" t="s">
        <v>210</v>
      </c>
      <c r="C193" s="6" t="s">
        <v>98</v>
      </c>
      <c r="D193" s="5">
        <v>44877</v>
      </c>
    </row>
    <row r="194" spans="2:4">
      <c r="B194" s="6" t="s">
        <v>433</v>
      </c>
      <c r="C194" s="6" t="s">
        <v>379</v>
      </c>
      <c r="D194" s="5">
        <v>44877</v>
      </c>
    </row>
    <row r="195" spans="2:4">
      <c r="B195" s="6" t="s">
        <v>117</v>
      </c>
      <c r="C195" s="6" t="s">
        <v>592</v>
      </c>
      <c r="D195" s="5">
        <v>44877</v>
      </c>
    </row>
    <row r="196" spans="2:4">
      <c r="B196" s="6" t="s">
        <v>335</v>
      </c>
      <c r="C196" s="6" t="s">
        <v>444</v>
      </c>
      <c r="D196" s="5">
        <v>44877</v>
      </c>
    </row>
    <row r="197" spans="2:4">
      <c r="B197" s="6" t="s">
        <v>113</v>
      </c>
      <c r="C197" s="6" t="s">
        <v>204</v>
      </c>
      <c r="D197" s="5">
        <v>44877</v>
      </c>
    </row>
    <row r="198" spans="2:4">
      <c r="B198" s="6" t="s">
        <v>352</v>
      </c>
      <c r="C198" s="6" t="s">
        <v>156</v>
      </c>
      <c r="D198" s="5">
        <v>44877</v>
      </c>
    </row>
    <row r="199" spans="2:4">
      <c r="B199" s="6" t="s">
        <v>191</v>
      </c>
      <c r="C199" s="6" t="s">
        <v>242</v>
      </c>
      <c r="D199" s="5">
        <v>44877</v>
      </c>
    </row>
    <row r="200" spans="2:4">
      <c r="B200" s="6" t="s">
        <v>110</v>
      </c>
      <c r="C200" s="6" t="s">
        <v>103</v>
      </c>
      <c r="D200" s="5">
        <v>44877</v>
      </c>
    </row>
    <row r="201" spans="2:4">
      <c r="B201" s="6" t="s">
        <v>275</v>
      </c>
      <c r="C201" s="6" t="s">
        <v>192</v>
      </c>
      <c r="D201" s="5">
        <v>44877</v>
      </c>
    </row>
    <row r="202" spans="2:4">
      <c r="B202" s="6" t="s">
        <v>383</v>
      </c>
      <c r="C202" s="6" t="s">
        <v>403</v>
      </c>
      <c r="D202" s="5">
        <v>44877</v>
      </c>
    </row>
    <row r="203" spans="2:4">
      <c r="B203" s="6" t="s">
        <v>124</v>
      </c>
      <c r="C203" s="6" t="s">
        <v>150</v>
      </c>
      <c r="D203" s="5">
        <v>44877</v>
      </c>
    </row>
    <row r="204" spans="2:4">
      <c r="B204" s="6" t="s">
        <v>169</v>
      </c>
      <c r="C204" s="6" t="s">
        <v>381</v>
      </c>
      <c r="D204" s="5">
        <v>44877</v>
      </c>
    </row>
    <row r="205" spans="2:4">
      <c r="B205" s="6" t="s">
        <v>321</v>
      </c>
      <c r="C205" s="6" t="s">
        <v>593</v>
      </c>
      <c r="D205" s="5">
        <v>44877</v>
      </c>
    </row>
    <row r="206" spans="2:4">
      <c r="B206" s="6" t="s">
        <v>134</v>
      </c>
      <c r="C206" s="6" t="s">
        <v>594</v>
      </c>
      <c r="D206" s="5">
        <v>44877</v>
      </c>
    </row>
    <row r="207" spans="2:4">
      <c r="B207" s="6" t="s">
        <v>128</v>
      </c>
      <c r="C207" s="6" t="s">
        <v>546</v>
      </c>
      <c r="D207" s="5">
        <v>44877</v>
      </c>
    </row>
    <row r="208" spans="2:4">
      <c r="B208" s="6" t="s">
        <v>208</v>
      </c>
      <c r="C208" s="6" t="s">
        <v>595</v>
      </c>
      <c r="D208" s="5">
        <v>44877</v>
      </c>
    </row>
    <row r="209" spans="2:4">
      <c r="B209" s="6" t="s">
        <v>163</v>
      </c>
      <c r="C209" s="6" t="s">
        <v>295</v>
      </c>
      <c r="D209" s="5">
        <v>44877</v>
      </c>
    </row>
    <row r="210" spans="2:4">
      <c r="B210" s="6" t="s">
        <v>81</v>
      </c>
      <c r="C210" s="6" t="s">
        <v>367</v>
      </c>
      <c r="D210" s="5">
        <v>44877</v>
      </c>
    </row>
    <row r="211" spans="2:4">
      <c r="B211" s="6" t="s">
        <v>302</v>
      </c>
      <c r="C211" s="6" t="s">
        <v>137</v>
      </c>
      <c r="D211" s="5">
        <v>44877</v>
      </c>
    </row>
    <row r="212" spans="2:4">
      <c r="B212" s="6" t="s">
        <v>338</v>
      </c>
      <c r="C212" s="6" t="s">
        <v>122</v>
      </c>
      <c r="D212" s="5">
        <v>44877</v>
      </c>
    </row>
    <row r="213" spans="2:4">
      <c r="B213" s="6" t="s">
        <v>358</v>
      </c>
      <c r="C213" s="6" t="s">
        <v>596</v>
      </c>
      <c r="D213" s="5">
        <v>44877</v>
      </c>
    </row>
    <row r="214" spans="2:4">
      <c r="B214" s="6" t="s">
        <v>162</v>
      </c>
      <c r="C214" s="6" t="s">
        <v>78</v>
      </c>
      <c r="D214" s="5">
        <v>44877</v>
      </c>
    </row>
    <row r="215" spans="2:4">
      <c r="B215" s="6" t="s">
        <v>313</v>
      </c>
      <c r="C215" s="6" t="s">
        <v>597</v>
      </c>
      <c r="D215" s="5">
        <v>44877</v>
      </c>
    </row>
    <row r="216" spans="2:4">
      <c r="B216" s="6" t="s">
        <v>361</v>
      </c>
      <c r="C216" s="6" t="s">
        <v>126</v>
      </c>
      <c r="D216" s="5">
        <v>44877</v>
      </c>
    </row>
    <row r="217" spans="2:4">
      <c r="B217" s="6" t="s">
        <v>289</v>
      </c>
      <c r="C217" s="6" t="s">
        <v>283</v>
      </c>
      <c r="D217" s="5">
        <v>44877</v>
      </c>
    </row>
    <row r="218" spans="2:4">
      <c r="B218" s="6" t="s">
        <v>121</v>
      </c>
      <c r="C218" s="6" t="s">
        <v>238</v>
      </c>
      <c r="D218" s="5">
        <v>44877</v>
      </c>
    </row>
    <row r="219" spans="2:4">
      <c r="B219" s="6" t="s">
        <v>211</v>
      </c>
      <c r="C219" s="6" t="s">
        <v>252</v>
      </c>
      <c r="D219" s="5">
        <v>44877</v>
      </c>
    </row>
    <row r="220" spans="2:4">
      <c r="B220" s="6" t="s">
        <v>133</v>
      </c>
      <c r="C220" s="6" t="s">
        <v>213</v>
      </c>
      <c r="D220" s="5">
        <v>44877</v>
      </c>
    </row>
    <row r="221" spans="2:4">
      <c r="B221" s="6" t="s">
        <v>351</v>
      </c>
      <c r="C221" s="6" t="s">
        <v>598</v>
      </c>
      <c r="D221" s="5">
        <v>44877</v>
      </c>
    </row>
    <row r="222" spans="2:4">
      <c r="B222" s="6" t="s">
        <v>259</v>
      </c>
      <c r="C222" s="6" t="s">
        <v>50</v>
      </c>
      <c r="D222" s="5">
        <v>44877</v>
      </c>
    </row>
    <row r="223" spans="2:4">
      <c r="B223" s="6" t="s">
        <v>130</v>
      </c>
      <c r="C223" s="6" t="s">
        <v>215</v>
      </c>
      <c r="D223" s="5">
        <v>44877</v>
      </c>
    </row>
    <row r="224" spans="2:4">
      <c r="B224" s="6" t="s">
        <v>312</v>
      </c>
      <c r="C224" s="6" t="s">
        <v>518</v>
      </c>
      <c r="D224" s="5">
        <v>44877</v>
      </c>
    </row>
    <row r="225" spans="2:4">
      <c r="B225" s="6" t="s">
        <v>179</v>
      </c>
      <c r="C225" s="6" t="s">
        <v>407</v>
      </c>
      <c r="D225" s="5">
        <v>44877</v>
      </c>
    </row>
    <row r="226" spans="2:4">
      <c r="B226" s="6" t="s">
        <v>343</v>
      </c>
      <c r="C226" s="6" t="s">
        <v>326</v>
      </c>
      <c r="D226" s="5">
        <v>44877</v>
      </c>
    </row>
    <row r="227" spans="2:4">
      <c r="B227" s="6" t="s">
        <v>344</v>
      </c>
      <c r="C227" s="6" t="s">
        <v>500</v>
      </c>
      <c r="D227" s="5">
        <v>44877</v>
      </c>
    </row>
    <row r="228" spans="2:4">
      <c r="B228" s="6" t="s">
        <v>305</v>
      </c>
      <c r="C228" s="6" t="s">
        <v>248</v>
      </c>
      <c r="D228" s="5">
        <v>44877</v>
      </c>
    </row>
    <row r="229" spans="2:4">
      <c r="B229" s="6" t="s">
        <v>40</v>
      </c>
      <c r="C229" s="6" t="s">
        <v>272</v>
      </c>
      <c r="D229" s="5">
        <v>44877</v>
      </c>
    </row>
    <row r="230" spans="2:4">
      <c r="B230" s="6" t="s">
        <v>323</v>
      </c>
      <c r="C230" s="6" t="s">
        <v>197</v>
      </c>
      <c r="D230" s="5">
        <v>44877</v>
      </c>
    </row>
    <row r="231" spans="2:4">
      <c r="B231" s="6" t="s">
        <v>378</v>
      </c>
      <c r="C231" s="6" t="s">
        <v>491</v>
      </c>
      <c r="D231" s="5">
        <v>44877</v>
      </c>
    </row>
    <row r="232" spans="2:4">
      <c r="B232" s="6" t="s">
        <v>607</v>
      </c>
      <c r="C232" s="6" t="s">
        <v>599</v>
      </c>
      <c r="D232" s="5">
        <v>44877</v>
      </c>
    </row>
    <row r="233" spans="2:4">
      <c r="B233" s="6" t="s">
        <v>376</v>
      </c>
      <c r="C233" s="6" t="s">
        <v>375</v>
      </c>
      <c r="D233" s="5">
        <v>44877</v>
      </c>
    </row>
    <row r="234" spans="2:4">
      <c r="B234" s="6" t="s">
        <v>396</v>
      </c>
      <c r="C234" s="6" t="s">
        <v>141</v>
      </c>
      <c r="D234" s="5">
        <v>44877</v>
      </c>
    </row>
    <row r="235" spans="2:4">
      <c r="B235" s="6" t="s">
        <v>236</v>
      </c>
      <c r="C235" s="6" t="s">
        <v>389</v>
      </c>
      <c r="D235" s="5">
        <v>44877</v>
      </c>
    </row>
    <row r="236" spans="2:4">
      <c r="B236" s="6" t="s">
        <v>96</v>
      </c>
      <c r="C236" s="6" t="s">
        <v>562</v>
      </c>
      <c r="D236" s="5">
        <v>44878</v>
      </c>
    </row>
    <row r="237" spans="2:4">
      <c r="B237" s="6" t="s">
        <v>187</v>
      </c>
      <c r="C237" s="6" t="s">
        <v>255</v>
      </c>
      <c r="D237" s="5">
        <v>44878</v>
      </c>
    </row>
    <row r="238" spans="2:4">
      <c r="B238" s="6" t="s">
        <v>336</v>
      </c>
      <c r="C238" s="6" t="s">
        <v>138</v>
      </c>
      <c r="D238" s="5">
        <v>44878</v>
      </c>
    </row>
    <row r="239" spans="2:4">
      <c r="B239" s="6" t="s">
        <v>246</v>
      </c>
      <c r="C239" s="6" t="s">
        <v>216</v>
      </c>
      <c r="D239" s="5">
        <v>44878</v>
      </c>
    </row>
    <row r="240" spans="2:4">
      <c r="B240" s="6" t="s">
        <v>31</v>
      </c>
      <c r="C240" s="6" t="s">
        <v>268</v>
      </c>
      <c r="D240" s="5">
        <v>44878</v>
      </c>
    </row>
    <row r="241" spans="2:4">
      <c r="B241" s="6" t="s">
        <v>86</v>
      </c>
      <c r="C241" s="6" t="s">
        <v>72</v>
      </c>
      <c r="D241" s="5">
        <v>44878</v>
      </c>
    </row>
    <row r="242" spans="2:4">
      <c r="B242" s="6" t="s">
        <v>362</v>
      </c>
      <c r="C242" s="6" t="s">
        <v>329</v>
      </c>
      <c r="D242" s="5">
        <v>44878</v>
      </c>
    </row>
    <row r="243" spans="2:4">
      <c r="B243" s="6" t="s">
        <v>176</v>
      </c>
      <c r="C243" s="6" t="s">
        <v>476</v>
      </c>
      <c r="D243" s="5">
        <v>44878</v>
      </c>
    </row>
    <row r="244" spans="2:4">
      <c r="B244" s="6" t="s">
        <v>359</v>
      </c>
      <c r="C244" s="6" t="s">
        <v>427</v>
      </c>
      <c r="D244" s="5">
        <v>44878</v>
      </c>
    </row>
    <row r="245" spans="2:4">
      <c r="B245" s="6" t="s">
        <v>410</v>
      </c>
      <c r="C245" s="6" t="s">
        <v>230</v>
      </c>
      <c r="D245" s="5">
        <v>44878</v>
      </c>
    </row>
    <row r="246" spans="2:4">
      <c r="B246" s="6" t="s">
        <v>451</v>
      </c>
      <c r="C246" s="6" t="s">
        <v>451</v>
      </c>
      <c r="D246" s="5">
        <v>44878</v>
      </c>
    </row>
    <row r="247" spans="2:4">
      <c r="B247" s="6" t="s">
        <v>199</v>
      </c>
      <c r="C247" s="6" t="s">
        <v>261</v>
      </c>
      <c r="D247" s="5">
        <v>44878</v>
      </c>
    </row>
    <row r="248" spans="2:4">
      <c r="B248" s="6" t="s">
        <v>85</v>
      </c>
      <c r="C248" s="6" t="s">
        <v>332</v>
      </c>
      <c r="D248" s="5">
        <v>44878</v>
      </c>
    </row>
    <row r="249" spans="2:4">
      <c r="B249" s="6" t="s">
        <v>101</v>
      </c>
      <c r="C249" s="6" t="s">
        <v>322</v>
      </c>
      <c r="D249" s="5">
        <v>44878</v>
      </c>
    </row>
    <row r="250" spans="2:4">
      <c r="B250" s="6" t="s">
        <v>395</v>
      </c>
      <c r="C250" s="6" t="s">
        <v>600</v>
      </c>
      <c r="D250" s="5">
        <v>44878</v>
      </c>
    </row>
    <row r="251" spans="2:4">
      <c r="B251" s="6" t="s">
        <v>348</v>
      </c>
      <c r="C251" s="6" t="s">
        <v>587</v>
      </c>
      <c r="D251" s="5">
        <v>44878</v>
      </c>
    </row>
    <row r="252" spans="2:4">
      <c r="B252" s="6" t="s">
        <v>357</v>
      </c>
      <c r="C252" s="6" t="s">
        <v>158</v>
      </c>
      <c r="D252" s="5">
        <v>44878</v>
      </c>
    </row>
    <row r="253" spans="2:4">
      <c r="B253" s="6" t="s">
        <v>249</v>
      </c>
      <c r="C253" s="6" t="s">
        <v>73</v>
      </c>
      <c r="D253" s="5">
        <v>44878</v>
      </c>
    </row>
    <row r="254" spans="2:4">
      <c r="B254" s="6" t="s">
        <v>114</v>
      </c>
      <c r="C254" s="6" t="s">
        <v>601</v>
      </c>
      <c r="D254" s="5">
        <v>44878</v>
      </c>
    </row>
    <row r="255" spans="2:4">
      <c r="B255" s="6" t="s">
        <v>615</v>
      </c>
      <c r="C255" s="6" t="s">
        <v>241</v>
      </c>
      <c r="D255" s="5">
        <v>44878</v>
      </c>
    </row>
    <row r="256" spans="2:4">
      <c r="B256" s="6" t="s">
        <v>287</v>
      </c>
      <c r="C256" s="6" t="s">
        <v>243</v>
      </c>
      <c r="D256" s="5">
        <v>44878</v>
      </c>
    </row>
    <row r="257" spans="2:4">
      <c r="B257" s="6" t="s">
        <v>152</v>
      </c>
      <c r="C257" s="6" t="s">
        <v>183</v>
      </c>
      <c r="D257" s="5">
        <v>44878</v>
      </c>
    </row>
    <row r="258" spans="2:4">
      <c r="B258" s="6" t="s">
        <v>281</v>
      </c>
      <c r="C258" s="6" t="s">
        <v>360</v>
      </c>
      <c r="D258" s="5">
        <v>44878</v>
      </c>
    </row>
    <row r="259" spans="2:4">
      <c r="B259" s="6" t="s">
        <v>419</v>
      </c>
      <c r="C259" s="6" t="s">
        <v>123</v>
      </c>
      <c r="D259" s="5">
        <v>44878</v>
      </c>
    </row>
    <row r="260" spans="2:4">
      <c r="B260" s="6" t="s">
        <v>46</v>
      </c>
      <c r="C260" s="6" t="s">
        <v>418</v>
      </c>
      <c r="D260" s="5">
        <v>44878</v>
      </c>
    </row>
    <row r="261" spans="2:4">
      <c r="B261" s="6" t="s">
        <v>451</v>
      </c>
      <c r="C261" s="6" t="s">
        <v>451</v>
      </c>
      <c r="D261" s="5">
        <v>44878</v>
      </c>
    </row>
    <row r="262" spans="2:4">
      <c r="B262" s="6" t="s">
        <v>404</v>
      </c>
      <c r="C262" s="6" t="s">
        <v>511</v>
      </c>
      <c r="D262" s="5">
        <v>44878</v>
      </c>
    </row>
    <row r="263" spans="2:4">
      <c r="B263" s="6" t="s">
        <v>139</v>
      </c>
      <c r="C263" s="6" t="s">
        <v>414</v>
      </c>
      <c r="D263" s="5">
        <v>44878</v>
      </c>
    </row>
    <row r="264" spans="2:4">
      <c r="B264" s="6" t="s">
        <v>166</v>
      </c>
      <c r="C264" s="6" t="s">
        <v>177</v>
      </c>
      <c r="D264" s="5">
        <v>44878</v>
      </c>
    </row>
    <row r="265" spans="2:4">
      <c r="B265" s="6" t="s">
        <v>165</v>
      </c>
      <c r="C265" s="6" t="s">
        <v>314</v>
      </c>
      <c r="D265" s="5">
        <v>44878</v>
      </c>
    </row>
    <row r="266" spans="2:4">
      <c r="B266" s="6" t="s">
        <v>580</v>
      </c>
      <c r="C266" s="6" t="s">
        <v>107</v>
      </c>
      <c r="D266" s="5">
        <v>44878</v>
      </c>
    </row>
    <row r="267" spans="2:4">
      <c r="B267" s="6" t="s">
        <v>424</v>
      </c>
      <c r="C267" s="6" t="s">
        <v>402</v>
      </c>
      <c r="D267" s="5">
        <v>44878</v>
      </c>
    </row>
    <row r="268" spans="2:4">
      <c r="B268" s="6" t="s">
        <v>292</v>
      </c>
      <c r="C268" s="6" t="s">
        <v>602</v>
      </c>
      <c r="D268" s="5">
        <v>44878</v>
      </c>
    </row>
    <row r="269" spans="2:4">
      <c r="B269" s="6" t="s">
        <v>87</v>
      </c>
      <c r="C269" s="6" t="s">
        <v>603</v>
      </c>
      <c r="D269" s="5">
        <v>44878</v>
      </c>
    </row>
    <row r="270" spans="2:4">
      <c r="B270" s="6" t="s">
        <v>52</v>
      </c>
      <c r="C270" s="6" t="s">
        <v>413</v>
      </c>
      <c r="D270" s="5">
        <v>44878</v>
      </c>
    </row>
    <row r="271" spans="2:4">
      <c r="B271" s="6" t="s">
        <v>420</v>
      </c>
      <c r="C271" s="6" t="s">
        <v>391</v>
      </c>
      <c r="D271" s="5">
        <v>44878</v>
      </c>
    </row>
    <row r="272" spans="2:4">
      <c r="B272" s="6" t="s">
        <v>303</v>
      </c>
      <c r="C272" s="6" t="s">
        <v>100</v>
      </c>
      <c r="D272" s="5">
        <v>44878</v>
      </c>
    </row>
    <row r="273" spans="2:4">
      <c r="B273" s="6" t="s">
        <v>621</v>
      </c>
      <c r="C273" s="6" t="s">
        <v>205</v>
      </c>
      <c r="D273" s="5">
        <v>44878</v>
      </c>
    </row>
    <row r="274" spans="2:4">
      <c r="B274" s="6" t="s">
        <v>398</v>
      </c>
      <c r="C274" s="6" t="s">
        <v>135</v>
      </c>
      <c r="D274" s="5">
        <v>44878</v>
      </c>
    </row>
    <row r="275" spans="2:4">
      <c r="B275" s="6" t="s">
        <v>428</v>
      </c>
      <c r="C275" s="6" t="s">
        <v>393</v>
      </c>
      <c r="D275" s="5">
        <v>44878</v>
      </c>
    </row>
    <row r="276" spans="2:4">
      <c r="B276" s="6" t="s">
        <v>301</v>
      </c>
      <c r="C276" s="6" t="s">
        <v>97</v>
      </c>
      <c r="D276" s="5">
        <v>44879</v>
      </c>
    </row>
    <row r="277" spans="2:4">
      <c r="B277" s="6" t="s">
        <v>405</v>
      </c>
      <c r="C277" s="6" t="s">
        <v>479</v>
      </c>
      <c r="D277" s="5">
        <v>44879</v>
      </c>
    </row>
    <row r="278" spans="2:4">
      <c r="B278" s="6" t="s">
        <v>248</v>
      </c>
      <c r="C278" s="6" t="s">
        <v>546</v>
      </c>
      <c r="D278" s="5">
        <v>44879</v>
      </c>
    </row>
    <row r="279" spans="2:4">
      <c r="B279" s="6" t="s">
        <v>54</v>
      </c>
      <c r="C279" s="6" t="s">
        <v>174</v>
      </c>
      <c r="D279" s="5">
        <v>44879</v>
      </c>
    </row>
    <row r="280" spans="2:4">
      <c r="B280" s="6" t="s">
        <v>35</v>
      </c>
      <c r="C280" s="6" t="s">
        <v>264</v>
      </c>
      <c r="D280" s="5">
        <v>44879</v>
      </c>
    </row>
    <row r="281" spans="2:4">
      <c r="B281" s="6" t="s">
        <v>173</v>
      </c>
      <c r="C281" s="6" t="s">
        <v>526</v>
      </c>
      <c r="D281" s="5">
        <v>44879</v>
      </c>
    </row>
    <row r="282" spans="2:4">
      <c r="B282" s="6" t="s">
        <v>356</v>
      </c>
      <c r="C282" s="6" t="s">
        <v>260</v>
      </c>
      <c r="D282" s="5">
        <v>44879</v>
      </c>
    </row>
    <row r="283" spans="2:4">
      <c r="B283" s="6" t="s">
        <v>284</v>
      </c>
      <c r="C283" s="6" t="s">
        <v>276</v>
      </c>
      <c r="D283" s="5">
        <v>44879</v>
      </c>
    </row>
    <row r="284" spans="2:4">
      <c r="B284" s="6" t="s">
        <v>296</v>
      </c>
      <c r="C284" s="6" t="s">
        <v>604</v>
      </c>
      <c r="D284" s="5">
        <v>44879</v>
      </c>
    </row>
    <row r="285" spans="2:4">
      <c r="B285" s="6" t="s">
        <v>98</v>
      </c>
      <c r="C285" s="6" t="s">
        <v>328</v>
      </c>
      <c r="D285" s="5">
        <v>44879</v>
      </c>
    </row>
    <row r="286" spans="2:4">
      <c r="B286" s="6" t="s">
        <v>278</v>
      </c>
      <c r="C286" s="6" t="s">
        <v>466</v>
      </c>
      <c r="D286" s="5">
        <v>44879</v>
      </c>
    </row>
    <row r="287" spans="2:4">
      <c r="B287" s="6" t="s">
        <v>232</v>
      </c>
      <c r="C287" s="6" t="s">
        <v>293</v>
      </c>
      <c r="D287" s="5">
        <v>44879</v>
      </c>
    </row>
    <row r="288" spans="2:4">
      <c r="B288" s="6" t="s">
        <v>193</v>
      </c>
      <c r="C288" s="6" t="s">
        <v>304</v>
      </c>
      <c r="D288" s="5">
        <v>44879</v>
      </c>
    </row>
    <row r="289" spans="2:4">
      <c r="B289" s="6" t="s">
        <v>202</v>
      </c>
      <c r="C289" s="6" t="s">
        <v>311</v>
      </c>
      <c r="D289" s="5">
        <v>44879</v>
      </c>
    </row>
    <row r="290" spans="2:4">
      <c r="B290" s="6" t="s">
        <v>106</v>
      </c>
      <c r="C290" s="6" t="s">
        <v>477</v>
      </c>
      <c r="D290" s="5">
        <v>44879</v>
      </c>
    </row>
    <row r="291" spans="2:4">
      <c r="B291" s="6" t="s">
        <v>338</v>
      </c>
      <c r="C291" s="6" t="s">
        <v>125</v>
      </c>
      <c r="D291" s="5">
        <v>44879</v>
      </c>
    </row>
    <row r="292" spans="2:4">
      <c r="B292" s="6" t="s">
        <v>215</v>
      </c>
      <c r="C292" s="6" t="s">
        <v>605</v>
      </c>
      <c r="D292" s="5">
        <v>44879</v>
      </c>
    </row>
    <row r="293" spans="2:4">
      <c r="B293" s="6" t="s">
        <v>136</v>
      </c>
      <c r="C293" s="6" t="s">
        <v>408</v>
      </c>
      <c r="D293" s="5">
        <v>44879</v>
      </c>
    </row>
    <row r="294" spans="2:4">
      <c r="B294" s="6" t="s">
        <v>180</v>
      </c>
      <c r="C294" s="6" t="s">
        <v>161</v>
      </c>
      <c r="D294" s="5">
        <v>44879</v>
      </c>
    </row>
    <row r="295" spans="2:4">
      <c r="B295" s="6" t="s">
        <v>231</v>
      </c>
      <c r="C295" s="6" t="s">
        <v>142</v>
      </c>
      <c r="D295" s="5">
        <v>44879</v>
      </c>
    </row>
    <row r="296" spans="2:4">
      <c r="B296" s="6" t="s">
        <v>411</v>
      </c>
      <c r="C296" s="6" t="s">
        <v>330</v>
      </c>
      <c r="D296" s="5">
        <v>44879</v>
      </c>
    </row>
    <row r="297" spans="2:4">
      <c r="B297" s="6" t="s">
        <v>116</v>
      </c>
      <c r="C297" s="6" t="s">
        <v>220</v>
      </c>
      <c r="D297" s="5">
        <v>44879</v>
      </c>
    </row>
    <row r="298" spans="2:4">
      <c r="B298" s="6" t="s">
        <v>334</v>
      </c>
      <c r="C298" s="6" t="s">
        <v>137</v>
      </c>
      <c r="D298" s="5">
        <v>44879</v>
      </c>
    </row>
    <row r="299" spans="2:4">
      <c r="B299" s="6" t="s">
        <v>432</v>
      </c>
      <c r="C299" s="6" t="s">
        <v>200</v>
      </c>
      <c r="D299" s="5">
        <v>44879</v>
      </c>
    </row>
    <row r="300" spans="2:4">
      <c r="B300" s="6" t="s">
        <v>178</v>
      </c>
      <c r="C300" s="6" t="s">
        <v>337</v>
      </c>
      <c r="D300" s="5">
        <v>44879</v>
      </c>
    </row>
    <row r="301" spans="2:4">
      <c r="B301" s="6" t="s">
        <v>182</v>
      </c>
      <c r="C301" s="6" t="s">
        <v>335</v>
      </c>
      <c r="D301" s="5">
        <v>44879</v>
      </c>
    </row>
    <row r="302" spans="2:4">
      <c r="B302" s="6" t="s">
        <v>201</v>
      </c>
      <c r="C302" s="6" t="s">
        <v>277</v>
      </c>
      <c r="D302" s="5">
        <v>44879</v>
      </c>
    </row>
    <row r="303" spans="2:4">
      <c r="B303" s="6" t="s">
        <v>89</v>
      </c>
      <c r="C303" s="6" t="s">
        <v>209</v>
      </c>
      <c r="D303" s="5">
        <v>44879</v>
      </c>
    </row>
    <row r="304" spans="2:4">
      <c r="B304" s="6" t="s">
        <v>79</v>
      </c>
      <c r="C304" s="6" t="s">
        <v>421</v>
      </c>
      <c r="D304" s="5">
        <v>44879</v>
      </c>
    </row>
    <row r="305" spans="2:4">
      <c r="B305" s="6" t="s">
        <v>45</v>
      </c>
      <c r="C305" s="6" t="s">
        <v>194</v>
      </c>
      <c r="D305" s="5">
        <v>44879</v>
      </c>
    </row>
    <row r="306" spans="2:4">
      <c r="B306" s="6" t="s">
        <v>63</v>
      </c>
      <c r="C306" s="6" t="s">
        <v>155</v>
      </c>
      <c r="D306" s="5">
        <v>44879</v>
      </c>
    </row>
    <row r="307" spans="2:4">
      <c r="B307" s="6" t="s">
        <v>415</v>
      </c>
      <c r="C307" s="6" t="s">
        <v>416</v>
      </c>
      <c r="D307" s="5">
        <v>44879</v>
      </c>
    </row>
    <row r="308" spans="2:4">
      <c r="B308" s="6" t="s">
        <v>333</v>
      </c>
      <c r="C308" s="6" t="s">
        <v>463</v>
      </c>
      <c r="D308" s="5">
        <v>44879</v>
      </c>
    </row>
    <row r="309" spans="2:4">
      <c r="B309" s="6" t="s">
        <v>344</v>
      </c>
      <c r="C309" s="6" t="s">
        <v>594</v>
      </c>
      <c r="D309" s="5">
        <v>44879</v>
      </c>
    </row>
    <row r="310" spans="2:4">
      <c r="B310" s="6" t="s">
        <v>212</v>
      </c>
      <c r="C310" s="6" t="s">
        <v>184</v>
      </c>
      <c r="D310" s="5">
        <v>44879</v>
      </c>
    </row>
    <row r="311" spans="2:4">
      <c r="B311" s="6" t="s">
        <v>28</v>
      </c>
      <c r="C311" s="6" t="s">
        <v>426</v>
      </c>
      <c r="D311" s="5">
        <v>44879</v>
      </c>
    </row>
    <row r="312" spans="2:4">
      <c r="B312" s="6" t="s">
        <v>34</v>
      </c>
      <c r="C312" s="6" t="s">
        <v>343</v>
      </c>
      <c r="D312" s="5">
        <v>44879</v>
      </c>
    </row>
    <row r="313" spans="2:4">
      <c r="B313" s="6" t="s">
        <v>188</v>
      </c>
      <c r="C313" s="6" t="s">
        <v>318</v>
      </c>
      <c r="D313" s="5">
        <v>44879</v>
      </c>
    </row>
    <row r="314" spans="2:4">
      <c r="B314" s="6" t="s">
        <v>27</v>
      </c>
      <c r="C314" s="6" t="s">
        <v>373</v>
      </c>
      <c r="D314" s="5">
        <v>44879</v>
      </c>
    </row>
    <row r="315" spans="2:4">
      <c r="B315" s="6" t="s">
        <v>147</v>
      </c>
      <c r="C315" s="6" t="s">
        <v>457</v>
      </c>
      <c r="D315" s="5">
        <v>44879</v>
      </c>
    </row>
    <row r="316" spans="2:4">
      <c r="B316" s="6" t="s">
        <v>280</v>
      </c>
      <c r="C316" s="6" t="s">
        <v>353</v>
      </c>
      <c r="D316" s="5">
        <v>44879</v>
      </c>
    </row>
    <row r="317" spans="2:4">
      <c r="B317" s="6" t="s">
        <v>400</v>
      </c>
      <c r="C317" s="6" t="s">
        <v>498</v>
      </c>
      <c r="D317" s="5">
        <v>44879</v>
      </c>
    </row>
    <row r="318" spans="2:4">
      <c r="B318" s="6" t="s">
        <v>347</v>
      </c>
      <c r="C318" s="6" t="s">
        <v>172</v>
      </c>
      <c r="D318" s="5">
        <v>44879</v>
      </c>
    </row>
    <row r="319" spans="2:4">
      <c r="B319" s="6" t="s">
        <v>363</v>
      </c>
      <c r="C319" s="6" t="s">
        <v>103</v>
      </c>
      <c r="D319" s="5">
        <v>44879</v>
      </c>
    </row>
    <row r="320" spans="2:4">
      <c r="B320" s="6" t="s">
        <v>640</v>
      </c>
      <c r="C320" s="6" t="s">
        <v>369</v>
      </c>
      <c r="D320" s="5">
        <v>44879</v>
      </c>
    </row>
    <row r="321" spans="2:4">
      <c r="B321" s="6" t="s">
        <v>94</v>
      </c>
      <c r="C321" s="6" t="s">
        <v>606</v>
      </c>
      <c r="D321" s="5">
        <v>44879</v>
      </c>
    </row>
    <row r="322" spans="2:4">
      <c r="B322" s="6" t="s">
        <v>584</v>
      </c>
      <c r="C322" s="6" t="s">
        <v>439</v>
      </c>
      <c r="D322" s="5">
        <v>44879</v>
      </c>
    </row>
    <row r="323" spans="2:4">
      <c r="B323" s="6" t="s">
        <v>331</v>
      </c>
      <c r="C323" s="6" t="s">
        <v>512</v>
      </c>
      <c r="D323" s="5">
        <v>44879</v>
      </c>
    </row>
    <row r="324" spans="2:4">
      <c r="B324" s="6" t="s">
        <v>367</v>
      </c>
      <c r="C324" s="6" t="s">
        <v>593</v>
      </c>
      <c r="D324" s="5">
        <v>44879</v>
      </c>
    </row>
    <row r="325" spans="2:4">
      <c r="B325" s="6" t="s">
        <v>316</v>
      </c>
      <c r="C325" s="6" t="s">
        <v>521</v>
      </c>
      <c r="D325" s="5">
        <v>44879</v>
      </c>
    </row>
    <row r="326" spans="2:4">
      <c r="B326" s="6" t="s">
        <v>368</v>
      </c>
      <c r="C326" s="6" t="s">
        <v>495</v>
      </c>
      <c r="D326" s="5">
        <v>44879</v>
      </c>
    </row>
    <row r="327" spans="2:4">
      <c r="B327" s="6" t="s">
        <v>128</v>
      </c>
      <c r="C327" s="6" t="s">
        <v>186</v>
      </c>
      <c r="D327" s="5">
        <v>44879</v>
      </c>
    </row>
    <row r="328" spans="2:4">
      <c r="B328" s="6" t="s">
        <v>355</v>
      </c>
      <c r="C328" s="6" t="s">
        <v>240</v>
      </c>
      <c r="D328" s="5">
        <v>44879</v>
      </c>
    </row>
    <row r="329" spans="2:4">
      <c r="B329" s="6" t="s">
        <v>77</v>
      </c>
      <c r="C329" s="6" t="s">
        <v>153</v>
      </c>
      <c r="D329" s="5">
        <v>44879</v>
      </c>
    </row>
    <row r="330" spans="2:4">
      <c r="B330" s="6" t="s">
        <v>66</v>
      </c>
      <c r="C330" s="6" t="s">
        <v>42</v>
      </c>
      <c r="D330" s="5">
        <v>44879</v>
      </c>
    </row>
    <row r="331" spans="2:4">
      <c r="B331" s="6" t="s">
        <v>38</v>
      </c>
      <c r="C331" s="6" t="s">
        <v>131</v>
      </c>
      <c r="D331" s="5">
        <v>44879</v>
      </c>
    </row>
    <row r="332" spans="2:4">
      <c r="B332" s="6" t="s">
        <v>60</v>
      </c>
      <c r="C332" s="6" t="s">
        <v>115</v>
      </c>
      <c r="D332" s="5">
        <v>44879</v>
      </c>
    </row>
    <row r="333" spans="2:4">
      <c r="B333" s="6" t="s">
        <v>309</v>
      </c>
      <c r="C333" s="6" t="s">
        <v>308</v>
      </c>
      <c r="D333" s="5">
        <v>44879</v>
      </c>
    </row>
    <row r="334" spans="2:4">
      <c r="B334" s="6" t="s">
        <v>151</v>
      </c>
      <c r="C334" s="6" t="s">
        <v>389</v>
      </c>
      <c r="D334" s="5">
        <v>44879</v>
      </c>
    </row>
    <row r="335" spans="2:4">
      <c r="B335" s="6" t="s">
        <v>378</v>
      </c>
      <c r="C335" s="6" t="s">
        <v>379</v>
      </c>
      <c r="D335" s="5">
        <v>44879</v>
      </c>
    </row>
    <row r="336" spans="2:4">
      <c r="B336" s="6" t="s">
        <v>168</v>
      </c>
      <c r="C336" s="6" t="s">
        <v>160</v>
      </c>
      <c r="D336" s="5">
        <v>44879</v>
      </c>
    </row>
    <row r="337" spans="2:4">
      <c r="B337" s="6" t="s">
        <v>386</v>
      </c>
      <c r="C337" s="6" t="s">
        <v>206</v>
      </c>
      <c r="D337" s="5">
        <v>44879</v>
      </c>
    </row>
    <row r="338" spans="2:4">
      <c r="B338" s="6" t="s">
        <v>198</v>
      </c>
      <c r="C338" s="6" t="s">
        <v>588</v>
      </c>
      <c r="D338" s="5">
        <v>44879</v>
      </c>
    </row>
    <row r="339" spans="2:4">
      <c r="B339" s="6" t="s">
        <v>75</v>
      </c>
      <c r="C339" s="6" t="s">
        <v>310</v>
      </c>
      <c r="D339" s="5">
        <v>44879</v>
      </c>
    </row>
    <row r="340" spans="2:4">
      <c r="B340" s="6" t="s">
        <v>71</v>
      </c>
      <c r="C340" s="6" t="s">
        <v>607</v>
      </c>
      <c r="D340" s="5">
        <v>44879</v>
      </c>
    </row>
    <row r="341" spans="2:4">
      <c r="B341" s="6" t="s">
        <v>393</v>
      </c>
      <c r="C341" s="6" t="s">
        <v>303</v>
      </c>
      <c r="D341" s="5">
        <v>44879</v>
      </c>
    </row>
    <row r="342" spans="2:4">
      <c r="B342" s="6" t="s">
        <v>428</v>
      </c>
      <c r="C342" s="6" t="s">
        <v>100</v>
      </c>
      <c r="D342" s="5">
        <v>44879</v>
      </c>
    </row>
    <row r="343" spans="2:4">
      <c r="B343" s="6" t="s">
        <v>249</v>
      </c>
      <c r="C343" s="6" t="s">
        <v>184</v>
      </c>
      <c r="D343" s="5">
        <v>44880</v>
      </c>
    </row>
    <row r="344" spans="2:4">
      <c r="B344" s="6" t="s">
        <v>418</v>
      </c>
      <c r="C344" s="6" t="s">
        <v>608</v>
      </c>
      <c r="D344" s="5">
        <v>44880</v>
      </c>
    </row>
    <row r="345" spans="2:4">
      <c r="B345" s="6" t="s">
        <v>40</v>
      </c>
      <c r="C345" s="6" t="s">
        <v>590</v>
      </c>
      <c r="D345" s="5">
        <v>44880</v>
      </c>
    </row>
    <row r="346" spans="2:4">
      <c r="B346" s="6" t="s">
        <v>43</v>
      </c>
      <c r="C346" s="6" t="s">
        <v>286</v>
      </c>
      <c r="D346" s="5">
        <v>44880</v>
      </c>
    </row>
    <row r="347" spans="2:4">
      <c r="B347" s="6" t="s">
        <v>41</v>
      </c>
      <c r="C347" s="6" t="s">
        <v>68</v>
      </c>
      <c r="D347" s="5">
        <v>44880</v>
      </c>
    </row>
    <row r="348" spans="2:4">
      <c r="B348" s="6" t="s">
        <v>55</v>
      </c>
      <c r="C348" s="6" t="s">
        <v>80</v>
      </c>
      <c r="D348" s="5">
        <v>44880</v>
      </c>
    </row>
    <row r="349" spans="2:4">
      <c r="B349" s="6" t="s">
        <v>83</v>
      </c>
      <c r="C349" s="6" t="s">
        <v>191</v>
      </c>
      <c r="D349" s="5">
        <v>44880</v>
      </c>
    </row>
    <row r="350" spans="2:4">
      <c r="B350" s="6" t="s">
        <v>282</v>
      </c>
      <c r="C350" s="6" t="s">
        <v>434</v>
      </c>
      <c r="D350" s="5">
        <v>44880</v>
      </c>
    </row>
    <row r="351" spans="2:4">
      <c r="B351" s="6" t="s">
        <v>399</v>
      </c>
      <c r="C351" s="6" t="s">
        <v>78</v>
      </c>
      <c r="D351" s="5">
        <v>44880</v>
      </c>
    </row>
    <row r="352" spans="2:4">
      <c r="B352" s="6" t="s">
        <v>105</v>
      </c>
      <c r="C352" s="6" t="s">
        <v>238</v>
      </c>
      <c r="D352" s="5">
        <v>44880</v>
      </c>
    </row>
    <row r="353" spans="2:4">
      <c r="B353" s="6" t="s">
        <v>266</v>
      </c>
      <c r="C353" s="6" t="s">
        <v>288</v>
      </c>
      <c r="D353" s="5">
        <v>44880</v>
      </c>
    </row>
    <row r="354" spans="2:4">
      <c r="B354" s="6" t="s">
        <v>244</v>
      </c>
      <c r="C354" s="6" t="s">
        <v>113</v>
      </c>
      <c r="D354" s="5">
        <v>44880</v>
      </c>
    </row>
    <row r="355" spans="2:4">
      <c r="B355" s="6" t="s">
        <v>110</v>
      </c>
      <c r="C355" s="6" t="s">
        <v>496</v>
      </c>
      <c r="D355" s="5">
        <v>44880</v>
      </c>
    </row>
    <row r="356" spans="2:4">
      <c r="B356" s="6" t="s">
        <v>259</v>
      </c>
      <c r="C356" s="6" t="s">
        <v>171</v>
      </c>
      <c r="D356" s="5">
        <v>44880</v>
      </c>
    </row>
    <row r="357" spans="2:4">
      <c r="B357" s="6" t="s">
        <v>96</v>
      </c>
      <c r="C357" s="6" t="s">
        <v>409</v>
      </c>
      <c r="D357" s="5">
        <v>44880</v>
      </c>
    </row>
    <row r="358" spans="2:4">
      <c r="B358" s="6" t="s">
        <v>233</v>
      </c>
      <c r="C358" s="6" t="s">
        <v>609</v>
      </c>
      <c r="D358" s="5">
        <v>44880</v>
      </c>
    </row>
    <row r="359" spans="2:4">
      <c r="B359" s="6" t="s">
        <v>250</v>
      </c>
      <c r="C359" s="6" t="s">
        <v>417</v>
      </c>
      <c r="D359" s="5">
        <v>44880</v>
      </c>
    </row>
    <row r="360" spans="2:4">
      <c r="B360" s="6" t="s">
        <v>124</v>
      </c>
      <c r="C360" s="6" t="s">
        <v>99</v>
      </c>
      <c r="D360" s="5">
        <v>44880</v>
      </c>
    </row>
    <row r="361" spans="2:4">
      <c r="B361" s="6" t="s">
        <v>349</v>
      </c>
      <c r="C361" s="6" t="s">
        <v>253</v>
      </c>
      <c r="D361" s="5">
        <v>44880</v>
      </c>
    </row>
    <row r="362" spans="2:4">
      <c r="B362" s="6" t="s">
        <v>146</v>
      </c>
      <c r="C362" s="6" t="s">
        <v>419</v>
      </c>
      <c r="D362" s="5">
        <v>44880</v>
      </c>
    </row>
    <row r="363" spans="2:4">
      <c r="B363" s="6" t="s">
        <v>216</v>
      </c>
      <c r="C363" s="6" t="s">
        <v>351</v>
      </c>
      <c r="D363" s="5">
        <v>44880</v>
      </c>
    </row>
    <row r="364" spans="2:4">
      <c r="B364" s="6" t="s">
        <v>242</v>
      </c>
      <c r="C364" s="6" t="s">
        <v>143</v>
      </c>
      <c r="D364" s="5">
        <v>44880</v>
      </c>
    </row>
    <row r="365" spans="2:4">
      <c r="B365" s="6" t="s">
        <v>210</v>
      </c>
      <c r="C365" s="6" t="s">
        <v>610</v>
      </c>
      <c r="D365" s="5">
        <v>44880</v>
      </c>
    </row>
    <row r="366" spans="2:4">
      <c r="B366" s="6" t="s">
        <v>302</v>
      </c>
      <c r="C366" s="6" t="s">
        <v>246</v>
      </c>
      <c r="D366" s="5">
        <v>44880</v>
      </c>
    </row>
    <row r="367" spans="2:4">
      <c r="B367" s="6" t="s">
        <v>245</v>
      </c>
      <c r="C367" s="6" t="s">
        <v>203</v>
      </c>
      <c r="D367" s="5">
        <v>44880</v>
      </c>
    </row>
    <row r="368" spans="2:4">
      <c r="B368" s="6" t="s">
        <v>56</v>
      </c>
      <c r="C368" s="6" t="s">
        <v>126</v>
      </c>
      <c r="D368" s="5">
        <v>44880</v>
      </c>
    </row>
    <row r="369" spans="2:4">
      <c r="B369" s="6" t="s">
        <v>32</v>
      </c>
      <c r="C369" s="6" t="s">
        <v>305</v>
      </c>
      <c r="D369" s="5">
        <v>44880</v>
      </c>
    </row>
    <row r="370" spans="2:4">
      <c r="B370" s="6" t="s">
        <v>145</v>
      </c>
      <c r="C370" s="6" t="s">
        <v>185</v>
      </c>
      <c r="D370" s="5">
        <v>44880</v>
      </c>
    </row>
    <row r="371" spans="2:4">
      <c r="B371" s="6" t="s">
        <v>53</v>
      </c>
      <c r="C371" s="6" t="s">
        <v>383</v>
      </c>
      <c r="D371" s="5">
        <v>44880</v>
      </c>
    </row>
    <row r="372" spans="2:4">
      <c r="B372" s="6" t="s">
        <v>47</v>
      </c>
      <c r="C372" s="6" t="s">
        <v>176</v>
      </c>
      <c r="D372" s="5">
        <v>44880</v>
      </c>
    </row>
    <row r="373" spans="2:4">
      <c r="B373" s="6" t="s">
        <v>48</v>
      </c>
      <c r="C373" s="6" t="s">
        <v>170</v>
      </c>
      <c r="D373" s="5">
        <v>44880</v>
      </c>
    </row>
    <row r="374" spans="2:4">
      <c r="B374" s="6" t="s">
        <v>51</v>
      </c>
      <c r="C374" s="6" t="s">
        <v>273</v>
      </c>
      <c r="D374" s="5">
        <v>44880</v>
      </c>
    </row>
    <row r="375" spans="2:4">
      <c r="B375" s="6" t="s">
        <v>290</v>
      </c>
      <c r="C375" s="6" t="s">
        <v>156</v>
      </c>
      <c r="D375" s="5">
        <v>44880</v>
      </c>
    </row>
    <row r="376" spans="2:4">
      <c r="B376" s="6" t="s">
        <v>295</v>
      </c>
      <c r="C376" s="6" t="s">
        <v>340</v>
      </c>
      <c r="D376" s="5">
        <v>44880</v>
      </c>
    </row>
    <row r="377" spans="2:4">
      <c r="B377" s="6" t="s">
        <v>88</v>
      </c>
      <c r="C377" s="6" t="s">
        <v>104</v>
      </c>
      <c r="D377" s="5">
        <v>44880</v>
      </c>
    </row>
    <row r="378" spans="2:4">
      <c r="B378" s="6" t="s">
        <v>251</v>
      </c>
      <c r="C378" s="6" t="s">
        <v>425</v>
      </c>
      <c r="D378" s="5">
        <v>44880</v>
      </c>
    </row>
    <row r="379" spans="2:4">
      <c r="B379" s="6" t="s">
        <v>345</v>
      </c>
      <c r="C379" s="6" t="s">
        <v>478</v>
      </c>
      <c r="D379" s="5">
        <v>44880</v>
      </c>
    </row>
    <row r="380" spans="2:4">
      <c r="B380" s="6" t="s">
        <v>313</v>
      </c>
      <c r="C380" s="6" t="s">
        <v>611</v>
      </c>
      <c r="D380" s="5">
        <v>44880</v>
      </c>
    </row>
    <row r="381" spans="2:4">
      <c r="B381" s="6" t="s">
        <v>403</v>
      </c>
      <c r="C381" s="6" t="s">
        <v>460</v>
      </c>
      <c r="D381" s="5">
        <v>44880</v>
      </c>
    </row>
    <row r="382" spans="2:4">
      <c r="B382" s="6" t="s">
        <v>323</v>
      </c>
      <c r="C382" s="6" t="s">
        <v>540</v>
      </c>
      <c r="D382" s="5">
        <v>44880</v>
      </c>
    </row>
    <row r="383" spans="2:4">
      <c r="B383" s="6" t="s">
        <v>196</v>
      </c>
      <c r="C383" s="6" t="s">
        <v>427</v>
      </c>
      <c r="D383" s="5">
        <v>44880</v>
      </c>
    </row>
    <row r="384" spans="2:4">
      <c r="B384" s="6" t="s">
        <v>119</v>
      </c>
      <c r="C384" s="6" t="s">
        <v>247</v>
      </c>
      <c r="D384" s="5">
        <v>44880</v>
      </c>
    </row>
    <row r="385" spans="2:4">
      <c r="B385" s="6" t="s">
        <v>385</v>
      </c>
      <c r="C385" s="6" t="s">
        <v>252</v>
      </c>
      <c r="D385" s="5">
        <v>44880</v>
      </c>
    </row>
    <row r="386" spans="2:4">
      <c r="B386" s="6" t="s">
        <v>341</v>
      </c>
      <c r="C386" s="6" t="s">
        <v>189</v>
      </c>
      <c r="D386" s="5">
        <v>44880</v>
      </c>
    </row>
    <row r="387" spans="2:4">
      <c r="B387" s="6" t="s">
        <v>29</v>
      </c>
      <c r="C387" s="6" t="s">
        <v>327</v>
      </c>
      <c r="D387" s="5">
        <v>44880</v>
      </c>
    </row>
    <row r="388" spans="2:4">
      <c r="B388" s="6" t="s">
        <v>87</v>
      </c>
      <c r="C388" s="6" t="s">
        <v>370</v>
      </c>
      <c r="D388" s="5">
        <v>44880</v>
      </c>
    </row>
    <row r="389" spans="2:4">
      <c r="B389" s="6" t="s">
        <v>58</v>
      </c>
      <c r="C389" s="6" t="s">
        <v>37</v>
      </c>
      <c r="D389" s="5">
        <v>44880</v>
      </c>
    </row>
    <row r="390" spans="2:4">
      <c r="B390" s="6" t="s">
        <v>93</v>
      </c>
      <c r="C390" s="6" t="s">
        <v>392</v>
      </c>
      <c r="D390" s="5">
        <v>44880</v>
      </c>
    </row>
    <row r="391" spans="2:4">
      <c r="B391" s="6" t="s">
        <v>69</v>
      </c>
      <c r="C391" s="6" t="s">
        <v>391</v>
      </c>
      <c r="D391" s="5">
        <v>44880</v>
      </c>
    </row>
    <row r="392" spans="2:4">
      <c r="B392" s="6" t="s">
        <v>376</v>
      </c>
      <c r="C392" s="6" t="s">
        <v>558</v>
      </c>
      <c r="D392" s="5">
        <v>44880</v>
      </c>
    </row>
    <row r="393" spans="2:4">
      <c r="B393" s="6" t="s">
        <v>39</v>
      </c>
      <c r="C393" s="6" t="s">
        <v>112</v>
      </c>
      <c r="D393" s="5">
        <v>44880</v>
      </c>
    </row>
    <row r="394" spans="2:4">
      <c r="B394" s="6" t="s">
        <v>133</v>
      </c>
      <c r="C394" s="6" t="s">
        <v>144</v>
      </c>
      <c r="D394" s="5">
        <v>44880</v>
      </c>
    </row>
    <row r="395" spans="2:4">
      <c r="B395" s="6" t="s">
        <v>65</v>
      </c>
      <c r="C395" s="6" t="s">
        <v>324</v>
      </c>
      <c r="D395" s="5">
        <v>44880</v>
      </c>
    </row>
    <row r="396" spans="2:4">
      <c r="B396" s="6" t="s">
        <v>149</v>
      </c>
      <c r="C396" s="6" t="s">
        <v>274</v>
      </c>
      <c r="D396" s="5">
        <v>44880</v>
      </c>
    </row>
    <row r="397" spans="2:4">
      <c r="B397" s="6" t="s">
        <v>26</v>
      </c>
      <c r="C397" s="6" t="s">
        <v>44</v>
      </c>
      <c r="D397" s="5">
        <v>44880</v>
      </c>
    </row>
    <row r="398" spans="2:4">
      <c r="B398" s="6" t="s">
        <v>306</v>
      </c>
      <c r="C398" s="6" t="s">
        <v>82</v>
      </c>
      <c r="D398" s="5">
        <v>44880</v>
      </c>
    </row>
    <row r="399" spans="2:4">
      <c r="B399" s="6" t="s">
        <v>165</v>
      </c>
      <c r="C399" s="6" t="s">
        <v>612</v>
      </c>
      <c r="D399" s="5">
        <v>44880</v>
      </c>
    </row>
    <row r="400" spans="2:4">
      <c r="B400" s="6" t="s">
        <v>433</v>
      </c>
      <c r="C400" s="6" t="s">
        <v>314</v>
      </c>
      <c r="D400" s="5">
        <v>44880</v>
      </c>
    </row>
    <row r="401" spans="2:4">
      <c r="B401" s="6" t="s">
        <v>159</v>
      </c>
      <c r="C401" s="6" t="s">
        <v>599</v>
      </c>
      <c r="D401" s="5">
        <v>44880</v>
      </c>
    </row>
    <row r="402" spans="2:4">
      <c r="B402" s="6" t="s">
        <v>167</v>
      </c>
      <c r="C402" s="6" t="s">
        <v>396</v>
      </c>
      <c r="D402" s="5">
        <v>44880</v>
      </c>
    </row>
    <row r="403" spans="2:4">
      <c r="B403" s="6" t="s">
        <v>169</v>
      </c>
      <c r="C403" s="6" t="s">
        <v>390</v>
      </c>
      <c r="D403" s="5">
        <v>44880</v>
      </c>
    </row>
    <row r="404" spans="2:4">
      <c r="B404" s="6" t="s">
        <v>236</v>
      </c>
      <c r="C404" s="6" t="s">
        <v>164</v>
      </c>
      <c r="D404" s="5">
        <v>44880</v>
      </c>
    </row>
    <row r="405" spans="2:4">
      <c r="B405" s="6" t="s">
        <v>163</v>
      </c>
      <c r="C405" s="6" t="s">
        <v>214</v>
      </c>
      <c r="D405" s="5">
        <v>44880</v>
      </c>
    </row>
    <row r="406" spans="2:4">
      <c r="B406" s="6" t="s">
        <v>76</v>
      </c>
      <c r="C406" s="6" t="s">
        <v>613</v>
      </c>
      <c r="D406" s="5">
        <v>44880</v>
      </c>
    </row>
    <row r="407" spans="2:4">
      <c r="B407" s="6" t="s">
        <v>74</v>
      </c>
      <c r="C407" s="6" t="s">
        <v>205</v>
      </c>
      <c r="D407" s="5">
        <v>44880</v>
      </c>
    </row>
    <row r="408" spans="2:4">
      <c r="B408" s="6" t="s">
        <v>180</v>
      </c>
      <c r="C408" s="6" t="s">
        <v>332</v>
      </c>
      <c r="D408" s="5">
        <v>44881</v>
      </c>
    </row>
    <row r="409" spans="2:4">
      <c r="B409" s="6" t="s">
        <v>277</v>
      </c>
      <c r="C409" s="6" t="s">
        <v>258</v>
      </c>
      <c r="D409" s="5">
        <v>44881</v>
      </c>
    </row>
    <row r="410" spans="2:4">
      <c r="B410" s="6" t="s">
        <v>269</v>
      </c>
      <c r="C410" s="6" t="s">
        <v>336</v>
      </c>
      <c r="D410" s="5">
        <v>44881</v>
      </c>
    </row>
    <row r="411" spans="2:4">
      <c r="B411" s="6" t="s">
        <v>49</v>
      </c>
      <c r="C411" s="6" t="s">
        <v>59</v>
      </c>
      <c r="D411" s="5">
        <v>44881</v>
      </c>
    </row>
    <row r="412" spans="2:4">
      <c r="B412" s="6" t="s">
        <v>86</v>
      </c>
      <c r="C412" s="6" t="s">
        <v>292</v>
      </c>
      <c r="D412" s="5">
        <v>44881</v>
      </c>
    </row>
    <row r="413" spans="2:4">
      <c r="B413" s="6" t="s">
        <v>412</v>
      </c>
      <c r="C413" s="6" t="s">
        <v>614</v>
      </c>
      <c r="D413" s="5">
        <v>44881</v>
      </c>
    </row>
    <row r="414" spans="2:4">
      <c r="B414" s="6" t="s">
        <v>140</v>
      </c>
      <c r="C414" s="6" t="s">
        <v>101</v>
      </c>
      <c r="D414" s="5">
        <v>44881</v>
      </c>
    </row>
    <row r="415" spans="2:4">
      <c r="B415" s="6" t="s">
        <v>114</v>
      </c>
      <c r="C415" s="6" t="s">
        <v>361</v>
      </c>
      <c r="D415" s="5">
        <v>44881</v>
      </c>
    </row>
    <row r="416" spans="2:4">
      <c r="B416" s="6" t="s">
        <v>232</v>
      </c>
      <c r="C416" s="6" t="s">
        <v>283</v>
      </c>
      <c r="D416" s="5">
        <v>44881</v>
      </c>
    </row>
    <row r="417" spans="2:4">
      <c r="B417" s="6" t="s">
        <v>422</v>
      </c>
      <c r="C417" s="6" t="s">
        <v>127</v>
      </c>
      <c r="D417" s="5">
        <v>44881</v>
      </c>
    </row>
    <row r="418" spans="2:4">
      <c r="B418" s="6" t="s">
        <v>202</v>
      </c>
      <c r="C418" s="6" t="s">
        <v>560</v>
      </c>
      <c r="D418" s="5">
        <v>44881</v>
      </c>
    </row>
    <row r="419" spans="2:4">
      <c r="B419" s="6" t="s">
        <v>130</v>
      </c>
      <c r="C419" s="6" t="s">
        <v>148</v>
      </c>
      <c r="D419" s="5">
        <v>44881</v>
      </c>
    </row>
    <row r="420" spans="2:4">
      <c r="B420" s="6" t="s">
        <v>360</v>
      </c>
      <c r="C420" s="6" t="s">
        <v>413</v>
      </c>
      <c r="D420" s="5">
        <v>44881</v>
      </c>
    </row>
    <row r="421" spans="2:4">
      <c r="B421" s="6" t="s">
        <v>138</v>
      </c>
      <c r="C421" s="6" t="s">
        <v>264</v>
      </c>
      <c r="D421" s="5">
        <v>44881</v>
      </c>
    </row>
    <row r="422" spans="2:4">
      <c r="B422" s="6" t="s">
        <v>256</v>
      </c>
      <c r="C422" s="6" t="s">
        <v>187</v>
      </c>
      <c r="D422" s="5">
        <v>44881</v>
      </c>
    </row>
    <row r="423" spans="2:4">
      <c r="B423" s="6" t="s">
        <v>275</v>
      </c>
      <c r="C423" s="6" t="s">
        <v>179</v>
      </c>
      <c r="D423" s="5">
        <v>44881</v>
      </c>
    </row>
    <row r="424" spans="2:4">
      <c r="B424" s="6" t="s">
        <v>211</v>
      </c>
      <c r="C424" s="6" t="s">
        <v>397</v>
      </c>
      <c r="D424" s="5">
        <v>44881</v>
      </c>
    </row>
    <row r="425" spans="2:4">
      <c r="B425" s="6" t="s">
        <v>221</v>
      </c>
      <c r="C425" s="6" t="s">
        <v>270</v>
      </c>
      <c r="D425" s="5">
        <v>44881</v>
      </c>
    </row>
    <row r="426" spans="2:4">
      <c r="B426" s="6" t="s">
        <v>272</v>
      </c>
      <c r="C426" s="6" t="s">
        <v>108</v>
      </c>
      <c r="D426" s="5">
        <v>44881</v>
      </c>
    </row>
    <row r="427" spans="2:4">
      <c r="B427" s="6" t="s">
        <v>57</v>
      </c>
      <c r="C427" s="6" t="s">
        <v>329</v>
      </c>
      <c r="D427" s="5">
        <v>44881</v>
      </c>
    </row>
    <row r="428" spans="2:4">
      <c r="B428" s="6" t="s">
        <v>195</v>
      </c>
      <c r="C428" s="6" t="s">
        <v>192</v>
      </c>
      <c r="D428" s="5">
        <v>44881</v>
      </c>
    </row>
    <row r="429" spans="2:4">
      <c r="B429" s="6" t="s">
        <v>36</v>
      </c>
      <c r="C429" s="6" t="s">
        <v>61</v>
      </c>
      <c r="D429" s="5">
        <v>44881</v>
      </c>
    </row>
    <row r="430" spans="2:4">
      <c r="B430" s="6" t="s">
        <v>212</v>
      </c>
      <c r="C430" s="6" t="s">
        <v>249</v>
      </c>
      <c r="D430" s="5">
        <v>44881</v>
      </c>
    </row>
    <row r="431" spans="2:4">
      <c r="B431" s="6" t="s">
        <v>84</v>
      </c>
      <c r="C431" s="6" t="s">
        <v>385</v>
      </c>
      <c r="D431" s="5">
        <v>44881</v>
      </c>
    </row>
    <row r="432" spans="2:4">
      <c r="B432" s="6" t="s">
        <v>347</v>
      </c>
      <c r="C432" s="6" t="s">
        <v>139</v>
      </c>
      <c r="D432" s="5">
        <v>44881</v>
      </c>
    </row>
    <row r="433" spans="2:4">
      <c r="B433" s="6" t="s">
        <v>213</v>
      </c>
      <c r="C433" s="6" t="s">
        <v>321</v>
      </c>
      <c r="D433" s="5">
        <v>44881</v>
      </c>
    </row>
    <row r="434" spans="2:4">
      <c r="B434" s="6" t="s">
        <v>46</v>
      </c>
      <c r="C434" s="6" t="s">
        <v>615</v>
      </c>
      <c r="D434" s="5">
        <v>44881</v>
      </c>
    </row>
    <row r="435" spans="2:4">
      <c r="B435" s="6" t="s">
        <v>357</v>
      </c>
      <c r="C435" s="6" t="s">
        <v>109</v>
      </c>
      <c r="D435" s="5">
        <v>44881</v>
      </c>
    </row>
    <row r="436" spans="2:4">
      <c r="B436" s="6" t="s">
        <v>398</v>
      </c>
      <c r="C436" s="6" t="s">
        <v>181</v>
      </c>
      <c r="D436" s="5">
        <v>44881</v>
      </c>
    </row>
    <row r="437" spans="2:4">
      <c r="B437" s="6" t="s">
        <v>73</v>
      </c>
      <c r="C437" s="6" t="s">
        <v>121</v>
      </c>
      <c r="D437" s="5">
        <v>44881</v>
      </c>
    </row>
    <row r="438" spans="2:4">
      <c r="B438" s="6" t="s">
        <v>157</v>
      </c>
      <c r="C438" s="6" t="s">
        <v>320</v>
      </c>
      <c r="D438" s="5">
        <v>44881</v>
      </c>
    </row>
    <row r="439" spans="2:4">
      <c r="B439" s="6" t="s">
        <v>158</v>
      </c>
      <c r="C439" s="6" t="s">
        <v>586</v>
      </c>
      <c r="D439" s="5">
        <v>44881</v>
      </c>
    </row>
    <row r="440" spans="2:4">
      <c r="B440" s="6" t="s">
        <v>30</v>
      </c>
      <c r="C440" s="6" t="s">
        <v>132</v>
      </c>
      <c r="D440" s="5">
        <v>44881</v>
      </c>
    </row>
    <row r="441" spans="2:4">
      <c r="B441" s="6" t="s">
        <v>394</v>
      </c>
      <c r="C441" s="6" t="s">
        <v>404</v>
      </c>
      <c r="D441" s="5">
        <v>44881</v>
      </c>
    </row>
    <row r="442" spans="2:4">
      <c r="B442" s="6" t="s">
        <v>402</v>
      </c>
      <c r="C442" s="6" t="s">
        <v>443</v>
      </c>
      <c r="D442" s="5">
        <v>44881</v>
      </c>
    </row>
    <row r="443" spans="2:4">
      <c r="B443" s="6" t="s">
        <v>66</v>
      </c>
      <c r="C443" s="6" t="s">
        <v>111</v>
      </c>
      <c r="D443" s="5">
        <v>44882</v>
      </c>
    </row>
    <row r="444" spans="2:4">
      <c r="B444" s="6" t="s">
        <v>300</v>
      </c>
      <c r="C444" s="6" t="s">
        <v>72</v>
      </c>
      <c r="D444" s="5">
        <v>44882</v>
      </c>
    </row>
    <row r="445" spans="2:4">
      <c r="B445" s="6" t="s">
        <v>52</v>
      </c>
      <c r="C445" s="6" t="s">
        <v>136</v>
      </c>
      <c r="D445" s="5">
        <v>44882</v>
      </c>
    </row>
    <row r="446" spans="2:4">
      <c r="B446" s="6" t="s">
        <v>91</v>
      </c>
      <c r="C446" s="6" t="s">
        <v>312</v>
      </c>
      <c r="D446" s="5">
        <v>44882</v>
      </c>
    </row>
    <row r="447" spans="2:4">
      <c r="B447" s="6" t="s">
        <v>194</v>
      </c>
      <c r="C447" s="6" t="s">
        <v>175</v>
      </c>
      <c r="D447" s="5">
        <v>44882</v>
      </c>
    </row>
    <row r="448" spans="2:4">
      <c r="B448" s="6" t="s">
        <v>90</v>
      </c>
      <c r="C448" s="6" t="s">
        <v>386</v>
      </c>
      <c r="D448" s="5">
        <v>44882</v>
      </c>
    </row>
    <row r="449" spans="2:4">
      <c r="B449" s="6" t="s">
        <v>42</v>
      </c>
      <c r="C449" s="6" t="s">
        <v>338</v>
      </c>
      <c r="D449" s="5">
        <v>44882</v>
      </c>
    </row>
    <row r="450" spans="2:4">
      <c r="B450" s="6" t="s">
        <v>33</v>
      </c>
      <c r="C450" s="6" t="s">
        <v>331</v>
      </c>
      <c r="D450" s="5">
        <v>44882</v>
      </c>
    </row>
    <row r="451" spans="2:4">
      <c r="B451" s="6" t="s">
        <v>302</v>
      </c>
      <c r="C451" s="6" t="s">
        <v>67</v>
      </c>
      <c r="D451" s="5">
        <v>44882</v>
      </c>
    </row>
    <row r="452" spans="2:4">
      <c r="B452" s="6" t="s">
        <v>80</v>
      </c>
      <c r="C452" s="6" t="s">
        <v>276</v>
      </c>
      <c r="D452" s="5">
        <v>44882</v>
      </c>
    </row>
    <row r="453" spans="2:4">
      <c r="B453" s="6" t="s">
        <v>266</v>
      </c>
      <c r="C453" s="6" t="s">
        <v>485</v>
      </c>
      <c r="D453" s="5">
        <v>44882</v>
      </c>
    </row>
    <row r="454" spans="2:4">
      <c r="B454" s="6" t="s">
        <v>200</v>
      </c>
      <c r="C454" s="6" t="s">
        <v>352</v>
      </c>
      <c r="D454" s="5">
        <v>44882</v>
      </c>
    </row>
    <row r="455" spans="2:4">
      <c r="B455" s="6" t="s">
        <v>278</v>
      </c>
      <c r="C455" s="6" t="s">
        <v>122</v>
      </c>
      <c r="D455" s="5">
        <v>44882</v>
      </c>
    </row>
    <row r="456" spans="2:4">
      <c r="B456" s="6" t="s">
        <v>209</v>
      </c>
      <c r="C456" s="6" t="s">
        <v>193</v>
      </c>
      <c r="D456" s="5">
        <v>44882</v>
      </c>
    </row>
    <row r="457" spans="2:4">
      <c r="B457" s="6" t="s">
        <v>580</v>
      </c>
      <c r="C457" s="6" t="s">
        <v>431</v>
      </c>
      <c r="D457" s="5">
        <v>44882</v>
      </c>
    </row>
    <row r="458" spans="2:4">
      <c r="B458" s="6" t="s">
        <v>421</v>
      </c>
      <c r="C458" s="6" t="s">
        <v>106</v>
      </c>
      <c r="D458" s="5">
        <v>44882</v>
      </c>
    </row>
    <row r="459" spans="2:4">
      <c r="B459" s="6" t="s">
        <v>267</v>
      </c>
      <c r="C459" s="6" t="s">
        <v>123</v>
      </c>
      <c r="D459" s="5">
        <v>44882</v>
      </c>
    </row>
    <row r="460" spans="2:4">
      <c r="B460" s="6" t="s">
        <v>129</v>
      </c>
      <c r="C460" s="6" t="s">
        <v>196</v>
      </c>
      <c r="D460" s="5">
        <v>44882</v>
      </c>
    </row>
    <row r="461" spans="2:4">
      <c r="B461" s="6" t="s">
        <v>325</v>
      </c>
      <c r="C461" s="6" t="s">
        <v>359</v>
      </c>
      <c r="D461" s="5">
        <v>44882</v>
      </c>
    </row>
    <row r="462" spans="2:4">
      <c r="B462" s="6" t="s">
        <v>107</v>
      </c>
      <c r="C462" s="6" t="s">
        <v>99</v>
      </c>
      <c r="D462" s="5">
        <v>44882</v>
      </c>
    </row>
    <row r="463" spans="2:4">
      <c r="B463" s="6" t="s">
        <v>231</v>
      </c>
      <c r="C463" s="6" t="s">
        <v>147</v>
      </c>
      <c r="D463" s="5">
        <v>44882</v>
      </c>
    </row>
    <row r="464" spans="2:4">
      <c r="B464" s="6" t="s">
        <v>334</v>
      </c>
      <c r="C464" s="6" t="s">
        <v>215</v>
      </c>
      <c r="D464" s="5">
        <v>44882</v>
      </c>
    </row>
    <row r="465" spans="2:4">
      <c r="B465" s="6" t="s">
        <v>182</v>
      </c>
      <c r="C465" s="6" t="s">
        <v>162</v>
      </c>
      <c r="D465" s="5">
        <v>44882</v>
      </c>
    </row>
    <row r="466" spans="2:4">
      <c r="B466" s="6" t="s">
        <v>432</v>
      </c>
      <c r="C466" s="6" t="s">
        <v>199</v>
      </c>
      <c r="D466" s="5">
        <v>44882</v>
      </c>
    </row>
    <row r="467" spans="2:4">
      <c r="B467" s="6" t="s">
        <v>451</v>
      </c>
      <c r="C467" s="6" t="s">
        <v>451</v>
      </c>
      <c r="D467" s="5">
        <v>44882</v>
      </c>
    </row>
    <row r="468" spans="2:4">
      <c r="B468" s="6" t="s">
        <v>436</v>
      </c>
      <c r="C468" s="6" t="s">
        <v>240</v>
      </c>
      <c r="D468" s="5">
        <v>44882</v>
      </c>
    </row>
    <row r="469" spans="2:4">
      <c r="B469" s="6" t="s">
        <v>115</v>
      </c>
      <c r="C469" s="6" t="s">
        <v>310</v>
      </c>
      <c r="D469" s="5">
        <v>44882</v>
      </c>
    </row>
    <row r="470" spans="2:4">
      <c r="B470" s="6" t="s">
        <v>34</v>
      </c>
      <c r="C470" s="6" t="s">
        <v>333</v>
      </c>
      <c r="D470" s="5">
        <v>44882</v>
      </c>
    </row>
    <row r="471" spans="2:4">
      <c r="B471" s="6" t="s">
        <v>308</v>
      </c>
      <c r="C471" s="6" t="s">
        <v>102</v>
      </c>
      <c r="D471" s="5">
        <v>44882</v>
      </c>
    </row>
    <row r="472" spans="2:4">
      <c r="B472" s="6" t="s">
        <v>365</v>
      </c>
      <c r="C472" s="6" t="s">
        <v>373</v>
      </c>
      <c r="D472" s="5">
        <v>44882</v>
      </c>
    </row>
    <row r="473" spans="2:4">
      <c r="B473" s="6" t="s">
        <v>241</v>
      </c>
      <c r="C473" s="6" t="s">
        <v>309</v>
      </c>
      <c r="D473" s="5">
        <v>44882</v>
      </c>
    </row>
    <row r="474" spans="2:4">
      <c r="B474" s="6" t="s">
        <v>326</v>
      </c>
      <c r="C474" s="6" t="s">
        <v>343</v>
      </c>
      <c r="D474" s="5">
        <v>44882</v>
      </c>
    </row>
    <row r="475" spans="2:4">
      <c r="B475" s="6" t="s">
        <v>640</v>
      </c>
      <c r="C475" s="6" t="s">
        <v>344</v>
      </c>
      <c r="D475" s="5">
        <v>44882</v>
      </c>
    </row>
    <row r="476" spans="2:4">
      <c r="B476" s="6" t="s">
        <v>368</v>
      </c>
      <c r="C476" s="6" t="s">
        <v>150</v>
      </c>
      <c r="D476" s="5">
        <v>44882</v>
      </c>
    </row>
    <row r="477" spans="2:4">
      <c r="B477" s="6" t="s">
        <v>81</v>
      </c>
      <c r="C477" s="6" t="s">
        <v>134</v>
      </c>
      <c r="D477" s="5">
        <v>44882</v>
      </c>
    </row>
    <row r="478" spans="2:4">
      <c r="B478" s="6" t="s">
        <v>50</v>
      </c>
      <c r="C478" s="6" t="s">
        <v>400</v>
      </c>
      <c r="D478" s="5">
        <v>44882</v>
      </c>
    </row>
    <row r="479" spans="2:4">
      <c r="B479" s="6" t="s">
        <v>38</v>
      </c>
      <c r="C479" s="6" t="s">
        <v>154</v>
      </c>
      <c r="D479" s="5">
        <v>44882</v>
      </c>
    </row>
    <row r="480" spans="2:4">
      <c r="B480" s="6" t="s">
        <v>304</v>
      </c>
      <c r="C480" s="6" t="s">
        <v>116</v>
      </c>
      <c r="D480" s="5">
        <v>44882</v>
      </c>
    </row>
    <row r="481" spans="2:4">
      <c r="B481" s="6" t="s">
        <v>37</v>
      </c>
      <c r="C481" s="6" t="s">
        <v>405</v>
      </c>
      <c r="D481" s="5">
        <v>44882</v>
      </c>
    </row>
    <row r="482" spans="2:4">
      <c r="B482" s="6" t="s">
        <v>70</v>
      </c>
      <c r="C482" s="6" t="s">
        <v>607</v>
      </c>
      <c r="D482" s="5">
        <v>44882</v>
      </c>
    </row>
    <row r="483" spans="2:4">
      <c r="B483" s="6" t="s">
        <v>198</v>
      </c>
      <c r="C483" s="6" t="s">
        <v>161</v>
      </c>
      <c r="D483" s="5">
        <v>44882</v>
      </c>
    </row>
    <row r="484" spans="2:4">
      <c r="B484" s="6" t="s">
        <v>77</v>
      </c>
      <c r="C484" s="6" t="s">
        <v>415</v>
      </c>
      <c r="D484" s="5">
        <v>44882</v>
      </c>
    </row>
    <row r="485" spans="2:4">
      <c r="B485" s="6" t="s">
        <v>63</v>
      </c>
      <c r="C485" s="6" t="s">
        <v>362</v>
      </c>
      <c r="D485" s="5">
        <v>44882</v>
      </c>
    </row>
    <row r="486" spans="2:4">
      <c r="B486" s="6" t="s">
        <v>85</v>
      </c>
      <c r="C486" s="6" t="s">
        <v>208</v>
      </c>
      <c r="D486" s="5">
        <v>44882</v>
      </c>
    </row>
    <row r="487" spans="2:4">
      <c r="B487" s="6" t="s">
        <v>190</v>
      </c>
      <c r="C487" s="6" t="s">
        <v>348</v>
      </c>
      <c r="D487" s="5">
        <v>44882</v>
      </c>
    </row>
    <row r="488" spans="2:4">
      <c r="B488" s="6" t="s">
        <v>95</v>
      </c>
      <c r="C488" s="6" t="s">
        <v>350</v>
      </c>
      <c r="D488" s="5">
        <v>44882</v>
      </c>
    </row>
    <row r="489" spans="2:4">
      <c r="B489" s="6" t="s">
        <v>451</v>
      </c>
      <c r="C489" s="6" t="s">
        <v>451</v>
      </c>
      <c r="D489" s="5">
        <v>44882</v>
      </c>
    </row>
    <row r="490" spans="2:4">
      <c r="B490" s="6" t="s">
        <v>433</v>
      </c>
      <c r="C490" s="6" t="s">
        <v>178</v>
      </c>
      <c r="D490" s="5">
        <v>44882</v>
      </c>
    </row>
    <row r="491" spans="2:4">
      <c r="B491" s="6" t="s">
        <v>166</v>
      </c>
      <c r="C491" s="6" t="s">
        <v>168</v>
      </c>
      <c r="D491" s="5">
        <v>44882</v>
      </c>
    </row>
    <row r="492" spans="2:4">
      <c r="B492" s="6" t="s">
        <v>71</v>
      </c>
      <c r="C492" s="6" t="s">
        <v>159</v>
      </c>
      <c r="D492" s="5">
        <v>44882</v>
      </c>
    </row>
    <row r="493" spans="2:4">
      <c r="B493" s="6" t="s">
        <v>314</v>
      </c>
      <c r="C493" s="6" t="s">
        <v>366</v>
      </c>
      <c r="D493" s="5">
        <v>44883</v>
      </c>
    </row>
    <row r="494" spans="2:4">
      <c r="B494" s="6" t="s">
        <v>142</v>
      </c>
      <c r="C494" s="6" t="s">
        <v>117</v>
      </c>
      <c r="D494" s="5">
        <v>44883</v>
      </c>
    </row>
    <row r="495" spans="2:4">
      <c r="B495" s="6" t="s">
        <v>204</v>
      </c>
      <c r="C495" s="6" t="s">
        <v>355</v>
      </c>
      <c r="D495" s="5">
        <v>44883</v>
      </c>
    </row>
    <row r="496" spans="2:4">
      <c r="B496" s="6" t="s">
        <v>610</v>
      </c>
      <c r="C496" s="6" t="s">
        <v>324</v>
      </c>
      <c r="D496" s="5">
        <v>44883</v>
      </c>
    </row>
    <row r="497" spans="2:4">
      <c r="B497" s="6" t="s">
        <v>451</v>
      </c>
      <c r="C497" s="6" t="s">
        <v>451</v>
      </c>
      <c r="D497" s="5">
        <v>44883</v>
      </c>
    </row>
    <row r="498" spans="2:4">
      <c r="B498" s="6" t="s">
        <v>451</v>
      </c>
      <c r="C498" s="6" t="s">
        <v>451</v>
      </c>
      <c r="D498" s="5">
        <v>44883</v>
      </c>
    </row>
    <row r="499" spans="2:4">
      <c r="B499" s="6" t="s">
        <v>301</v>
      </c>
      <c r="C499" s="6" t="s">
        <v>137</v>
      </c>
      <c r="D499" s="5">
        <v>44883</v>
      </c>
    </row>
    <row r="500" spans="2:4">
      <c r="B500" s="6" t="s">
        <v>363</v>
      </c>
      <c r="C500" s="6" t="s">
        <v>203</v>
      </c>
      <c r="D500" s="5">
        <v>44883</v>
      </c>
    </row>
    <row r="501" spans="2:4">
      <c r="B501" s="6" t="s">
        <v>451</v>
      </c>
      <c r="C501" s="6" t="s">
        <v>451</v>
      </c>
      <c r="D501" s="5">
        <v>44883</v>
      </c>
    </row>
    <row r="502" spans="2:4">
      <c r="B502" s="6" t="s">
        <v>451</v>
      </c>
      <c r="C502" s="6" t="s">
        <v>451</v>
      </c>
      <c r="D502" s="5">
        <v>44883</v>
      </c>
    </row>
    <row r="503" spans="2:4">
      <c r="B503" s="6" t="s">
        <v>53</v>
      </c>
      <c r="C503" s="6" t="s">
        <v>210</v>
      </c>
      <c r="D503" s="5">
        <v>44883</v>
      </c>
    </row>
    <row r="504" spans="2:4">
      <c r="B504" s="6" t="s">
        <v>389</v>
      </c>
      <c r="C504" s="6" t="s">
        <v>511</v>
      </c>
      <c r="D504" s="5">
        <v>44883</v>
      </c>
    </row>
    <row r="505" spans="2:4">
      <c r="B505" s="6" t="s">
        <v>603</v>
      </c>
      <c r="C505" s="6" t="s">
        <v>94</v>
      </c>
      <c r="D505" s="5">
        <v>44883</v>
      </c>
    </row>
    <row r="506" spans="2:4">
      <c r="B506" s="6" t="s">
        <v>216</v>
      </c>
      <c r="C506" s="6" t="s">
        <v>616</v>
      </c>
      <c r="D506" s="5">
        <v>44883</v>
      </c>
    </row>
    <row r="507" spans="2:4">
      <c r="B507" s="6" t="s">
        <v>183</v>
      </c>
      <c r="C507" s="6" t="s">
        <v>356</v>
      </c>
      <c r="D507" s="5">
        <v>44883</v>
      </c>
    </row>
    <row r="508" spans="2:4">
      <c r="B508" s="6" t="s">
        <v>152</v>
      </c>
      <c r="C508" s="6" t="s">
        <v>96</v>
      </c>
      <c r="D508" s="5">
        <v>44883</v>
      </c>
    </row>
    <row r="509" spans="2:4">
      <c r="B509" s="6" t="s">
        <v>396</v>
      </c>
      <c r="C509" s="6" t="s">
        <v>41</v>
      </c>
      <c r="D509" s="5">
        <v>44883</v>
      </c>
    </row>
    <row r="510" spans="2:4">
      <c r="B510" s="6" t="s">
        <v>342</v>
      </c>
      <c r="C510" s="6" t="s">
        <v>287</v>
      </c>
      <c r="D510" s="5">
        <v>44883</v>
      </c>
    </row>
    <row r="511" spans="2:4">
      <c r="B511" s="6" t="s">
        <v>451</v>
      </c>
      <c r="C511" s="6" t="s">
        <v>451</v>
      </c>
      <c r="D511" s="5">
        <v>44883</v>
      </c>
    </row>
    <row r="512" spans="2:4">
      <c r="B512" s="6" t="s">
        <v>395</v>
      </c>
      <c r="C512" s="6" t="s">
        <v>261</v>
      </c>
      <c r="D512" s="5">
        <v>44883</v>
      </c>
    </row>
    <row r="513" spans="2:4">
      <c r="B513" s="6" t="s">
        <v>64</v>
      </c>
      <c r="C513" s="6" t="s">
        <v>145</v>
      </c>
      <c r="D513" s="5">
        <v>44883</v>
      </c>
    </row>
    <row r="514" spans="2:4">
      <c r="B514" s="6" t="s">
        <v>186</v>
      </c>
      <c r="C514" s="6" t="s">
        <v>388</v>
      </c>
      <c r="D514" s="5">
        <v>44883</v>
      </c>
    </row>
    <row r="515" spans="2:4">
      <c r="B515" s="6" t="s">
        <v>39</v>
      </c>
      <c r="C515" s="6" t="s">
        <v>62</v>
      </c>
      <c r="D515" s="5">
        <v>44883</v>
      </c>
    </row>
    <row r="516" spans="2:4">
      <c r="B516" s="6" t="s">
        <v>146</v>
      </c>
      <c r="C516" s="6" t="s">
        <v>617</v>
      </c>
      <c r="D516" s="5">
        <v>44883</v>
      </c>
    </row>
    <row r="517" spans="2:4">
      <c r="B517" s="6" t="s">
        <v>259</v>
      </c>
      <c r="C517" s="6" t="s">
        <v>255</v>
      </c>
      <c r="D517" s="5">
        <v>44883</v>
      </c>
    </row>
    <row r="518" spans="2:4">
      <c r="B518" s="6" t="s">
        <v>284</v>
      </c>
      <c r="C518" s="6" t="s">
        <v>176</v>
      </c>
      <c r="D518" s="5">
        <v>44883</v>
      </c>
    </row>
    <row r="519" spans="2:4">
      <c r="B519" s="6" t="s">
        <v>28</v>
      </c>
      <c r="C519" s="6" t="s">
        <v>188</v>
      </c>
      <c r="D519" s="5">
        <v>44883</v>
      </c>
    </row>
    <row r="520" spans="2:4">
      <c r="B520" s="6" t="s">
        <v>44</v>
      </c>
      <c r="C520" s="6" t="s">
        <v>118</v>
      </c>
      <c r="D520" s="5">
        <v>44883</v>
      </c>
    </row>
    <row r="521" spans="2:4">
      <c r="B521" s="6" t="s">
        <v>98</v>
      </c>
      <c r="C521" s="6" t="s">
        <v>112</v>
      </c>
      <c r="D521" s="5">
        <v>44883</v>
      </c>
    </row>
    <row r="522" spans="2:4">
      <c r="B522" s="6" t="s">
        <v>211</v>
      </c>
      <c r="C522" s="6" t="s">
        <v>482</v>
      </c>
      <c r="D522" s="5">
        <v>44883</v>
      </c>
    </row>
    <row r="523" spans="2:4">
      <c r="B523" s="6" t="s">
        <v>230</v>
      </c>
      <c r="C523" s="6" t="s">
        <v>479</v>
      </c>
      <c r="D523" s="5">
        <v>44883</v>
      </c>
    </row>
    <row r="524" spans="2:4">
      <c r="B524" s="6" t="s">
        <v>174</v>
      </c>
      <c r="C524" s="6" t="s">
        <v>138</v>
      </c>
      <c r="D524" s="5">
        <v>44883</v>
      </c>
    </row>
    <row r="525" spans="2:4">
      <c r="B525" s="6" t="s">
        <v>125</v>
      </c>
      <c r="C525" s="6" t="s">
        <v>618</v>
      </c>
      <c r="D525" s="5">
        <v>44883</v>
      </c>
    </row>
    <row r="526" spans="2:4">
      <c r="B526" s="6" t="s">
        <v>348</v>
      </c>
      <c r="C526" s="6" t="s">
        <v>194</v>
      </c>
      <c r="D526" s="5">
        <v>44883</v>
      </c>
    </row>
    <row r="527" spans="2:4">
      <c r="B527" s="6" t="s">
        <v>397</v>
      </c>
      <c r="C527" s="6" t="s">
        <v>332</v>
      </c>
      <c r="D527" s="5">
        <v>44883</v>
      </c>
    </row>
    <row r="528" spans="2:4">
      <c r="B528" s="6" t="s">
        <v>103</v>
      </c>
      <c r="C528" s="6" t="s">
        <v>425</v>
      </c>
      <c r="D528" s="5">
        <v>44883</v>
      </c>
    </row>
    <row r="529" spans="2:4">
      <c r="B529" s="6" t="s">
        <v>286</v>
      </c>
      <c r="C529" s="6" t="s">
        <v>298</v>
      </c>
      <c r="D529" s="5">
        <v>44883</v>
      </c>
    </row>
    <row r="530" spans="2:4">
      <c r="B530" s="6" t="s">
        <v>220</v>
      </c>
      <c r="C530" s="6" t="s">
        <v>236</v>
      </c>
      <c r="D530" s="5">
        <v>44883</v>
      </c>
    </row>
    <row r="531" spans="2:4">
      <c r="B531" s="6" t="s">
        <v>337</v>
      </c>
      <c r="C531" s="6" t="s">
        <v>335</v>
      </c>
      <c r="D531" s="5">
        <v>44883</v>
      </c>
    </row>
    <row r="532" spans="2:4">
      <c r="B532" s="6" t="s">
        <v>143</v>
      </c>
      <c r="C532" s="6" t="s">
        <v>289</v>
      </c>
      <c r="D532" s="5">
        <v>44883</v>
      </c>
    </row>
    <row r="533" spans="2:4">
      <c r="B533" s="6" t="s">
        <v>238</v>
      </c>
      <c r="C533" s="6" t="s">
        <v>383</v>
      </c>
      <c r="D533" s="5">
        <v>44883</v>
      </c>
    </row>
    <row r="534" spans="2:4">
      <c r="B534" s="6" t="s">
        <v>322</v>
      </c>
      <c r="C534" s="6" t="s">
        <v>411</v>
      </c>
      <c r="D534" s="5">
        <v>44883</v>
      </c>
    </row>
    <row r="535" spans="2:4">
      <c r="B535" s="6" t="s">
        <v>451</v>
      </c>
      <c r="C535" s="6" t="s">
        <v>451</v>
      </c>
      <c r="D535" s="5">
        <v>44883</v>
      </c>
    </row>
    <row r="536" spans="2:4">
      <c r="B536" s="6" t="s">
        <v>201</v>
      </c>
      <c r="C536" s="6" t="s">
        <v>316</v>
      </c>
      <c r="D536" s="5">
        <v>44883</v>
      </c>
    </row>
    <row r="537" spans="2:4">
      <c r="B537" s="6" t="s">
        <v>32</v>
      </c>
      <c r="C537" s="6" t="s">
        <v>419</v>
      </c>
      <c r="D537" s="5">
        <v>44883</v>
      </c>
    </row>
    <row r="538" spans="2:4">
      <c r="B538" s="6" t="s">
        <v>185</v>
      </c>
      <c r="C538" s="6" t="s">
        <v>305</v>
      </c>
      <c r="D538" s="5">
        <v>44883</v>
      </c>
    </row>
    <row r="539" spans="2:4">
      <c r="B539" s="6" t="s">
        <v>89</v>
      </c>
      <c r="C539" s="6" t="s">
        <v>113</v>
      </c>
      <c r="D539" s="5">
        <v>44883</v>
      </c>
    </row>
    <row r="540" spans="2:4">
      <c r="B540" s="6" t="s">
        <v>46</v>
      </c>
      <c r="C540" s="6" t="s">
        <v>128</v>
      </c>
      <c r="D540" s="5">
        <v>44883</v>
      </c>
    </row>
    <row r="541" spans="2:4">
      <c r="B541" s="6" t="s">
        <v>51</v>
      </c>
      <c r="C541" s="6" t="s">
        <v>248</v>
      </c>
      <c r="D541" s="5">
        <v>44883</v>
      </c>
    </row>
    <row r="542" spans="2:4">
      <c r="B542" s="6" t="s">
        <v>391</v>
      </c>
      <c r="C542" s="6" t="s">
        <v>619</v>
      </c>
      <c r="D542" s="5">
        <v>44883</v>
      </c>
    </row>
    <row r="543" spans="2:4">
      <c r="B543" s="6" t="s">
        <v>273</v>
      </c>
      <c r="C543" s="6" t="s">
        <v>294</v>
      </c>
      <c r="D543" s="5">
        <v>44883</v>
      </c>
    </row>
    <row r="544" spans="2:4">
      <c r="B544" s="6" t="s">
        <v>370</v>
      </c>
      <c r="C544" s="6" t="s">
        <v>410</v>
      </c>
      <c r="D544" s="5">
        <v>44883</v>
      </c>
    </row>
    <row r="545" spans="2:4">
      <c r="B545" s="6" t="s">
        <v>285</v>
      </c>
      <c r="C545" s="6" t="s">
        <v>205</v>
      </c>
      <c r="D545" s="5">
        <v>44883</v>
      </c>
    </row>
    <row r="546" spans="2:4">
      <c r="B546" s="6" t="s">
        <v>451</v>
      </c>
      <c r="C546" s="6" t="s">
        <v>451</v>
      </c>
      <c r="D546" s="5">
        <v>44883</v>
      </c>
    </row>
    <row r="547" spans="2:4">
      <c r="B547" s="6" t="s">
        <v>88</v>
      </c>
      <c r="C547" s="6" t="s">
        <v>250</v>
      </c>
      <c r="D547" s="5">
        <v>44883</v>
      </c>
    </row>
    <row r="548" spans="2:4">
      <c r="B548" s="6" t="s">
        <v>26</v>
      </c>
      <c r="C548" s="6" t="s">
        <v>378</v>
      </c>
      <c r="D548" s="5">
        <v>44883</v>
      </c>
    </row>
    <row r="549" spans="2:4">
      <c r="B549" s="6" t="s">
        <v>83</v>
      </c>
      <c r="C549" s="6" t="s">
        <v>249</v>
      </c>
      <c r="D549" s="5">
        <v>44883</v>
      </c>
    </row>
    <row r="550" spans="2:4">
      <c r="B550" s="6" t="s">
        <v>55</v>
      </c>
      <c r="C550" s="6" t="s">
        <v>35</v>
      </c>
      <c r="D550" s="5">
        <v>44883</v>
      </c>
    </row>
    <row r="551" spans="2:4">
      <c r="B551" s="6" t="s">
        <v>615</v>
      </c>
      <c r="C551" s="6" t="s">
        <v>620</v>
      </c>
      <c r="D551" s="5">
        <v>44883</v>
      </c>
    </row>
    <row r="552" spans="2:4">
      <c r="B552" s="6" t="s">
        <v>303</v>
      </c>
      <c r="C552" s="6" t="s">
        <v>173</v>
      </c>
      <c r="D552" s="5">
        <v>44883</v>
      </c>
    </row>
    <row r="553" spans="2:4">
      <c r="B553" s="6" t="s">
        <v>584</v>
      </c>
      <c r="C553" s="6" t="s">
        <v>414</v>
      </c>
      <c r="D553" s="5">
        <v>44883</v>
      </c>
    </row>
    <row r="554" spans="2:4">
      <c r="B554" s="6" t="s">
        <v>403</v>
      </c>
      <c r="C554" s="6" t="s">
        <v>423</v>
      </c>
      <c r="D554" s="5">
        <v>44883</v>
      </c>
    </row>
    <row r="555" spans="2:4">
      <c r="B555" s="6" t="s">
        <v>323</v>
      </c>
      <c r="C555" s="6" t="s">
        <v>169</v>
      </c>
      <c r="D555" s="5">
        <v>44883</v>
      </c>
    </row>
    <row r="556" spans="2:4">
      <c r="B556" s="6" t="s">
        <v>68</v>
      </c>
      <c r="C556" s="6" t="s">
        <v>296</v>
      </c>
      <c r="D556" s="5">
        <v>44883</v>
      </c>
    </row>
    <row r="557" spans="2:4">
      <c r="B557" s="6" t="s">
        <v>29</v>
      </c>
      <c r="C557" s="6" t="s">
        <v>306</v>
      </c>
      <c r="D557" s="5">
        <v>44883</v>
      </c>
    </row>
    <row r="558" spans="2:4">
      <c r="B558" s="6" t="s">
        <v>45</v>
      </c>
      <c r="C558" s="6" t="s">
        <v>79</v>
      </c>
      <c r="D558" s="5">
        <v>44883</v>
      </c>
    </row>
    <row r="559" spans="2:4">
      <c r="B559" s="6" t="s">
        <v>281</v>
      </c>
      <c r="C559" s="6" t="s">
        <v>54</v>
      </c>
      <c r="D559" s="5">
        <v>44883</v>
      </c>
    </row>
    <row r="560" spans="2:4">
      <c r="B560" s="6" t="s">
        <v>297</v>
      </c>
      <c r="C560" s="6" t="s">
        <v>588</v>
      </c>
      <c r="D560" s="5">
        <v>44883</v>
      </c>
    </row>
    <row r="561" spans="2:4">
      <c r="B561" s="6" t="s">
        <v>245</v>
      </c>
      <c r="C561" s="6" t="s">
        <v>327</v>
      </c>
      <c r="D561" s="5">
        <v>44883</v>
      </c>
    </row>
    <row r="562" spans="2:4">
      <c r="B562" s="6" t="s">
        <v>82</v>
      </c>
      <c r="C562" s="6" t="s">
        <v>353</v>
      </c>
      <c r="D562" s="5">
        <v>44883</v>
      </c>
    </row>
    <row r="563" spans="2:4">
      <c r="B563" s="6" t="s">
        <v>153</v>
      </c>
      <c r="C563" s="6" t="s">
        <v>151</v>
      </c>
      <c r="D563" s="5">
        <v>44883</v>
      </c>
    </row>
    <row r="564" spans="2:4">
      <c r="B564" s="6" t="s">
        <v>381</v>
      </c>
      <c r="C564" s="6" t="s">
        <v>382</v>
      </c>
      <c r="D564" s="5">
        <v>44883</v>
      </c>
    </row>
    <row r="565" spans="2:4">
      <c r="B565" s="6" t="s">
        <v>141</v>
      </c>
      <c r="C565" s="6" t="s">
        <v>367</v>
      </c>
      <c r="D565" s="5">
        <v>44883</v>
      </c>
    </row>
    <row r="566" spans="2:4">
      <c r="B566" s="6" t="s">
        <v>164</v>
      </c>
      <c r="C566" s="6" t="s">
        <v>181</v>
      </c>
      <c r="D566" s="5">
        <v>44883</v>
      </c>
    </row>
    <row r="567" spans="2:4">
      <c r="B567" s="6" t="s">
        <v>75</v>
      </c>
      <c r="C567" s="6" t="s">
        <v>60</v>
      </c>
      <c r="D567" s="5">
        <v>44883</v>
      </c>
    </row>
    <row r="568" spans="2:4">
      <c r="B568" s="6" t="s">
        <v>190</v>
      </c>
      <c r="C568" s="6" t="s">
        <v>175</v>
      </c>
      <c r="D568" s="5">
        <v>44883</v>
      </c>
    </row>
    <row r="569" spans="2:4">
      <c r="B569" s="6" t="s">
        <v>451</v>
      </c>
      <c r="C569" s="6" t="s">
        <v>451</v>
      </c>
      <c r="D569" s="5">
        <v>44883</v>
      </c>
    </row>
    <row r="570" spans="2:4">
      <c r="B570" s="6" t="s">
        <v>160</v>
      </c>
      <c r="C570" s="6" t="s">
        <v>155</v>
      </c>
      <c r="D570" s="5">
        <v>44883</v>
      </c>
    </row>
    <row r="571" spans="2:4">
      <c r="B571" s="6" t="s">
        <v>427</v>
      </c>
      <c r="C571" s="6" t="s">
        <v>621</v>
      </c>
      <c r="D571" s="5">
        <v>44883</v>
      </c>
    </row>
    <row r="572" spans="2:4">
      <c r="B572" s="6" t="s">
        <v>163</v>
      </c>
      <c r="C572" s="6" t="s">
        <v>110</v>
      </c>
      <c r="D572" s="5">
        <v>44883</v>
      </c>
    </row>
    <row r="573" spans="2:4">
      <c r="B573" s="6" t="s">
        <v>93</v>
      </c>
      <c r="C573" s="6" t="s">
        <v>207</v>
      </c>
      <c r="D573" s="5">
        <v>44883</v>
      </c>
    </row>
    <row r="574" spans="2:4">
      <c r="B574" s="6" t="s">
        <v>74</v>
      </c>
      <c r="C574" s="6" t="s">
        <v>233</v>
      </c>
      <c r="D574" s="5">
        <v>44883</v>
      </c>
    </row>
    <row r="575" spans="2:4">
      <c r="B575" s="6" t="s">
        <v>117</v>
      </c>
      <c r="C575" s="6" t="s">
        <v>355</v>
      </c>
      <c r="D575" s="5">
        <v>44884</v>
      </c>
    </row>
    <row r="576" spans="2:4">
      <c r="B576" s="6" t="s">
        <v>172</v>
      </c>
      <c r="C576" s="6" t="s">
        <v>622</v>
      </c>
      <c r="D576" s="5">
        <v>44884</v>
      </c>
    </row>
    <row r="577" spans="2:4">
      <c r="B577" s="6" t="s">
        <v>268</v>
      </c>
      <c r="C577" s="6" t="s">
        <v>425</v>
      </c>
      <c r="D577" s="5">
        <v>44884</v>
      </c>
    </row>
    <row r="578" spans="2:4">
      <c r="B578" s="6" t="s">
        <v>246</v>
      </c>
      <c r="C578" s="6" t="s">
        <v>137</v>
      </c>
      <c r="D578" s="5">
        <v>44884</v>
      </c>
    </row>
    <row r="579" spans="2:4">
      <c r="B579" s="6" t="s">
        <v>142</v>
      </c>
      <c r="C579" s="6" t="s">
        <v>204</v>
      </c>
      <c r="D579" s="5">
        <v>44884</v>
      </c>
    </row>
    <row r="580" spans="2:4">
      <c r="B580" s="6" t="s">
        <v>214</v>
      </c>
      <c r="C580" s="6" t="s">
        <v>412</v>
      </c>
      <c r="D580" s="5">
        <v>44884</v>
      </c>
    </row>
    <row r="581" spans="2:4">
      <c r="B581" s="6" t="s">
        <v>56</v>
      </c>
      <c r="C581" s="6" t="s">
        <v>133</v>
      </c>
      <c r="D581" s="5">
        <v>44884</v>
      </c>
    </row>
    <row r="582" spans="2:4">
      <c r="B582" s="6" t="s">
        <v>149</v>
      </c>
      <c r="C582" s="6" t="s">
        <v>129</v>
      </c>
      <c r="D582" s="5">
        <v>44884</v>
      </c>
    </row>
    <row r="583" spans="2:4">
      <c r="B583" s="6" t="s">
        <v>122</v>
      </c>
      <c r="C583" s="6" t="s">
        <v>623</v>
      </c>
      <c r="D583" s="5">
        <v>44884</v>
      </c>
    </row>
    <row r="584" spans="2:4">
      <c r="B584" s="6" t="s">
        <v>587</v>
      </c>
      <c r="C584" s="6" t="s">
        <v>244</v>
      </c>
      <c r="D584" s="5">
        <v>44884</v>
      </c>
    </row>
    <row r="585" spans="2:4">
      <c r="B585" s="6" t="s">
        <v>109</v>
      </c>
      <c r="C585" s="6" t="s">
        <v>624</v>
      </c>
      <c r="D585" s="5">
        <v>44884</v>
      </c>
    </row>
    <row r="586" spans="2:4">
      <c r="B586" s="6" t="s">
        <v>104</v>
      </c>
      <c r="C586" s="6" t="s">
        <v>484</v>
      </c>
      <c r="D586" s="5">
        <v>44884</v>
      </c>
    </row>
    <row r="587" spans="2:4">
      <c r="B587" s="6" t="s">
        <v>126</v>
      </c>
      <c r="C587" s="6" t="s">
        <v>336</v>
      </c>
      <c r="D587" s="5">
        <v>44884</v>
      </c>
    </row>
    <row r="588" spans="2:4">
      <c r="B588" s="6" t="s">
        <v>171</v>
      </c>
      <c r="C588" s="6" t="s">
        <v>191</v>
      </c>
      <c r="D588" s="5">
        <v>44884</v>
      </c>
    </row>
    <row r="589" spans="2:4">
      <c r="B589" s="6" t="s">
        <v>180</v>
      </c>
      <c r="C589" s="6" t="s">
        <v>347</v>
      </c>
      <c r="D589" s="5">
        <v>44884</v>
      </c>
    </row>
    <row r="590" spans="2:4">
      <c r="B590" s="6" t="s">
        <v>342</v>
      </c>
      <c r="C590" s="6" t="s">
        <v>603</v>
      </c>
      <c r="D590" s="5">
        <v>44884</v>
      </c>
    </row>
    <row r="591" spans="2:4">
      <c r="B591" s="6" t="s">
        <v>100</v>
      </c>
      <c r="C591" s="6" t="s">
        <v>625</v>
      </c>
      <c r="D591" s="5">
        <v>44884</v>
      </c>
    </row>
    <row r="592" spans="2:4">
      <c r="B592" s="6" t="s">
        <v>252</v>
      </c>
      <c r="C592" s="6" t="s">
        <v>288</v>
      </c>
      <c r="D592" s="5">
        <v>44884</v>
      </c>
    </row>
    <row r="593" spans="2:4">
      <c r="B593" s="6" t="s">
        <v>47</v>
      </c>
      <c r="C593" s="6" t="s">
        <v>272</v>
      </c>
      <c r="D593" s="5">
        <v>44884</v>
      </c>
    </row>
    <row r="594" spans="2:4">
      <c r="B594" s="6" t="s">
        <v>101</v>
      </c>
      <c r="C594" s="6" t="s">
        <v>247</v>
      </c>
      <c r="D594" s="5">
        <v>44884</v>
      </c>
    </row>
    <row r="595" spans="2:4">
      <c r="B595" s="6" t="s">
        <v>320</v>
      </c>
      <c r="C595" s="6" t="s">
        <v>242</v>
      </c>
      <c r="D595" s="5">
        <v>44884</v>
      </c>
    </row>
    <row r="596" spans="2:4">
      <c r="B596" s="6" t="s">
        <v>341</v>
      </c>
      <c r="C596" s="6" t="s">
        <v>213</v>
      </c>
      <c r="D596" s="5">
        <v>44884</v>
      </c>
    </row>
    <row r="597" spans="2:4">
      <c r="B597" s="6" t="s">
        <v>287</v>
      </c>
      <c r="C597" s="6" t="s">
        <v>94</v>
      </c>
      <c r="D597" s="5">
        <v>44884</v>
      </c>
    </row>
    <row r="598" spans="2:4">
      <c r="B598" s="6" t="s">
        <v>259</v>
      </c>
      <c r="C598" s="6" t="s">
        <v>588</v>
      </c>
      <c r="D598" s="5">
        <v>44884</v>
      </c>
    </row>
    <row r="599" spans="2:4">
      <c r="B599" s="6" t="s">
        <v>451</v>
      </c>
      <c r="C599" s="6" t="s">
        <v>451</v>
      </c>
      <c r="D599" s="5">
        <v>44884</v>
      </c>
    </row>
    <row r="600" spans="2:4">
      <c r="B600" s="6" t="s">
        <v>426</v>
      </c>
      <c r="C600" s="6" t="s">
        <v>433</v>
      </c>
      <c r="D600" s="5">
        <v>44884</v>
      </c>
    </row>
    <row r="601" spans="2:4">
      <c r="B601" s="6" t="s">
        <v>177</v>
      </c>
      <c r="C601" s="6" t="s">
        <v>360</v>
      </c>
      <c r="D601" s="5">
        <v>44884</v>
      </c>
    </row>
    <row r="602" spans="2:4">
      <c r="B602" s="6" t="s">
        <v>119</v>
      </c>
      <c r="C602" s="6" t="s">
        <v>321</v>
      </c>
      <c r="D602" s="5">
        <v>44884</v>
      </c>
    </row>
    <row r="603" spans="2:4">
      <c r="B603" s="6" t="s">
        <v>413</v>
      </c>
      <c r="C603" s="6" t="s">
        <v>148</v>
      </c>
      <c r="D603" s="5">
        <v>44884</v>
      </c>
    </row>
    <row r="604" spans="2:4">
      <c r="B604" s="6" t="s">
        <v>298</v>
      </c>
      <c r="C604" s="6" t="s">
        <v>183</v>
      </c>
      <c r="D604" s="5">
        <v>44884</v>
      </c>
    </row>
    <row r="605" spans="2:4">
      <c r="B605" s="6" t="s">
        <v>40</v>
      </c>
      <c r="C605" s="6" t="s">
        <v>48</v>
      </c>
      <c r="D605" s="5">
        <v>44884</v>
      </c>
    </row>
    <row r="606" spans="2:4">
      <c r="B606" s="6" t="s">
        <v>354</v>
      </c>
      <c r="C606" s="6" t="s">
        <v>276</v>
      </c>
      <c r="D606" s="5">
        <v>44884</v>
      </c>
    </row>
    <row r="607" spans="2:4">
      <c r="B607" s="6" t="s">
        <v>428</v>
      </c>
      <c r="C607" s="6" t="s">
        <v>517</v>
      </c>
      <c r="D607" s="5">
        <v>44884</v>
      </c>
    </row>
    <row r="608" spans="2:4">
      <c r="B608" s="6" t="s">
        <v>269</v>
      </c>
      <c r="C608" s="6" t="s">
        <v>257</v>
      </c>
      <c r="D608" s="5">
        <v>44884</v>
      </c>
    </row>
    <row r="609" spans="2:4">
      <c r="B609" s="6" t="s">
        <v>158</v>
      </c>
      <c r="C609" s="6" t="s">
        <v>607</v>
      </c>
      <c r="D609" s="5">
        <v>44884</v>
      </c>
    </row>
    <row r="610" spans="2:4">
      <c r="B610" s="6" t="s">
        <v>349</v>
      </c>
      <c r="C610" s="6" t="s">
        <v>280</v>
      </c>
      <c r="D610" s="5">
        <v>44884</v>
      </c>
    </row>
    <row r="611" spans="2:4">
      <c r="B611" s="6" t="s">
        <v>395</v>
      </c>
      <c r="C611" s="6" t="s">
        <v>410</v>
      </c>
      <c r="D611" s="5">
        <v>44884</v>
      </c>
    </row>
    <row r="612" spans="2:4">
      <c r="B612" s="6" t="s">
        <v>297</v>
      </c>
      <c r="C612" s="6" t="s">
        <v>255</v>
      </c>
      <c r="D612" s="5">
        <v>44884</v>
      </c>
    </row>
    <row r="613" spans="2:4">
      <c r="B613" s="6" t="s">
        <v>451</v>
      </c>
      <c r="C613" s="6" t="s">
        <v>451</v>
      </c>
      <c r="D613" s="5">
        <v>44884</v>
      </c>
    </row>
    <row r="614" spans="2:4">
      <c r="B614" s="6" t="s">
        <v>135</v>
      </c>
      <c r="C614" s="6" t="s">
        <v>394</v>
      </c>
      <c r="D614" s="5">
        <v>44884</v>
      </c>
    </row>
    <row r="615" spans="2:4">
      <c r="B615" s="6" t="s">
        <v>421</v>
      </c>
      <c r="C615" s="6" t="s">
        <v>422</v>
      </c>
      <c r="D615" s="5">
        <v>44884</v>
      </c>
    </row>
    <row r="616" spans="2:4">
      <c r="B616" s="6" t="s">
        <v>236</v>
      </c>
      <c r="C616" s="6" t="s">
        <v>418</v>
      </c>
      <c r="D616" s="5">
        <v>44884</v>
      </c>
    </row>
    <row r="617" spans="2:4">
      <c r="B617" s="6" t="s">
        <v>143</v>
      </c>
      <c r="C617" s="6" t="s">
        <v>414</v>
      </c>
      <c r="D617" s="5">
        <v>44884</v>
      </c>
    </row>
    <row r="618" spans="2:4">
      <c r="B618" s="6" t="s">
        <v>385</v>
      </c>
      <c r="C618" s="6" t="s">
        <v>290</v>
      </c>
      <c r="D618" s="5">
        <v>44884</v>
      </c>
    </row>
    <row r="619" spans="2:4">
      <c r="B619" s="6" t="s">
        <v>154</v>
      </c>
      <c r="C619" s="6" t="s">
        <v>626</v>
      </c>
      <c r="D619" s="5">
        <v>44884</v>
      </c>
    </row>
    <row r="620" spans="2:4">
      <c r="B620" s="6" t="s">
        <v>361</v>
      </c>
      <c r="C620" s="6" t="s">
        <v>97</v>
      </c>
      <c r="D620" s="5">
        <v>44884</v>
      </c>
    </row>
    <row r="621" spans="2:4">
      <c r="B621" s="6" t="s">
        <v>274</v>
      </c>
      <c r="C621" s="6" t="s">
        <v>106</v>
      </c>
      <c r="D621" s="5">
        <v>44884</v>
      </c>
    </row>
    <row r="622" spans="2:4">
      <c r="B622" s="6" t="s">
        <v>193</v>
      </c>
      <c r="C622" s="6" t="s">
        <v>116</v>
      </c>
      <c r="D622" s="5">
        <v>44884</v>
      </c>
    </row>
    <row r="623" spans="2:4">
      <c r="B623" s="6" t="s">
        <v>348</v>
      </c>
      <c r="C623" s="6" t="s">
        <v>175</v>
      </c>
      <c r="D623" s="5">
        <v>44884</v>
      </c>
    </row>
    <row r="624" spans="2:4">
      <c r="B624" s="6" t="s">
        <v>286</v>
      </c>
      <c r="C624" s="6" t="s">
        <v>356</v>
      </c>
      <c r="D624" s="5">
        <v>44884</v>
      </c>
    </row>
    <row r="625" spans="2:4">
      <c r="B625" s="6" t="s">
        <v>420</v>
      </c>
      <c r="C625" s="6" t="s">
        <v>491</v>
      </c>
      <c r="D625" s="5">
        <v>44884</v>
      </c>
    </row>
    <row r="626" spans="2:4">
      <c r="B626" s="6" t="s">
        <v>189</v>
      </c>
      <c r="C626" s="6" t="s">
        <v>375</v>
      </c>
      <c r="D626" s="5">
        <v>44884</v>
      </c>
    </row>
    <row r="627" spans="2:4">
      <c r="B627" s="6" t="s">
        <v>42</v>
      </c>
      <c r="C627" s="6" t="s">
        <v>282</v>
      </c>
      <c r="D627" s="5">
        <v>44884</v>
      </c>
    </row>
    <row r="628" spans="2:4">
      <c r="B628" s="6" t="s">
        <v>131</v>
      </c>
      <c r="C628" s="6" t="s">
        <v>590</v>
      </c>
      <c r="D628" s="5">
        <v>44884</v>
      </c>
    </row>
    <row r="629" spans="2:4">
      <c r="B629" s="6" t="s">
        <v>261</v>
      </c>
      <c r="C629" s="6" t="s">
        <v>370</v>
      </c>
      <c r="D629" s="5">
        <v>44884</v>
      </c>
    </row>
    <row r="630" spans="2:4">
      <c r="B630" s="6" t="s">
        <v>184</v>
      </c>
      <c r="C630" s="6" t="s">
        <v>627</v>
      </c>
      <c r="D630" s="5">
        <v>44884</v>
      </c>
    </row>
    <row r="631" spans="2:4">
      <c r="B631" s="6" t="s">
        <v>139</v>
      </c>
      <c r="C631" s="6" t="s">
        <v>295</v>
      </c>
      <c r="D631" s="5">
        <v>44884</v>
      </c>
    </row>
    <row r="632" spans="2:4">
      <c r="B632" s="6" t="s">
        <v>161</v>
      </c>
      <c r="C632" s="6" t="s">
        <v>424</v>
      </c>
      <c r="D632" s="5">
        <v>44884</v>
      </c>
    </row>
    <row r="633" spans="2:4">
      <c r="B633" s="6" t="s">
        <v>584</v>
      </c>
      <c r="C633" s="6" t="s">
        <v>289</v>
      </c>
      <c r="D633" s="5">
        <v>44884</v>
      </c>
    </row>
    <row r="634" spans="2:4">
      <c r="B634" s="6" t="s">
        <v>165</v>
      </c>
      <c r="C634" s="6" t="s">
        <v>167</v>
      </c>
      <c r="D634" s="5">
        <v>44884</v>
      </c>
    </row>
    <row r="635" spans="2:4">
      <c r="B635" s="6" t="s">
        <v>310</v>
      </c>
      <c r="C635" s="6" t="s">
        <v>308</v>
      </c>
      <c r="D635" s="5">
        <v>44884</v>
      </c>
    </row>
    <row r="636" spans="2:4">
      <c r="B636" s="6" t="s">
        <v>398</v>
      </c>
      <c r="C636" s="6" t="s">
        <v>178</v>
      </c>
      <c r="D636" s="5">
        <v>44884</v>
      </c>
    </row>
    <row r="637" spans="2:4">
      <c r="B637" s="6" t="s">
        <v>157</v>
      </c>
      <c r="C637" s="6" t="s">
        <v>319</v>
      </c>
      <c r="D637" s="5">
        <v>44884</v>
      </c>
    </row>
    <row r="638" spans="2:4">
      <c r="B638" s="6" t="s">
        <v>190</v>
      </c>
      <c r="C638" s="6" t="s">
        <v>194</v>
      </c>
      <c r="D638" s="5">
        <v>44884</v>
      </c>
    </row>
    <row r="639" spans="2:4">
      <c r="B639" s="6" t="s">
        <v>76</v>
      </c>
      <c r="C639" s="6" t="s">
        <v>402</v>
      </c>
      <c r="D639" s="5">
        <v>44884</v>
      </c>
    </row>
    <row r="640" spans="2:4">
      <c r="B640" s="6" t="s">
        <v>451</v>
      </c>
      <c r="C640" s="6" t="s">
        <v>451</v>
      </c>
      <c r="D640" s="5">
        <v>44885</v>
      </c>
    </row>
    <row r="641" spans="2:4">
      <c r="B641" s="6" t="s">
        <v>451</v>
      </c>
      <c r="C641" s="6" t="s">
        <v>451</v>
      </c>
      <c r="D641" s="5">
        <v>44885</v>
      </c>
    </row>
    <row r="642" spans="2:4">
      <c r="B642" s="6" t="s">
        <v>451</v>
      </c>
      <c r="C642" s="6" t="s">
        <v>451</v>
      </c>
      <c r="D642" s="5">
        <v>44885</v>
      </c>
    </row>
    <row r="643" spans="2:4">
      <c r="B643" s="6" t="s">
        <v>451</v>
      </c>
      <c r="C643" s="6" t="s">
        <v>451</v>
      </c>
      <c r="D643" s="5">
        <v>44885</v>
      </c>
    </row>
    <row r="644" spans="2:4">
      <c r="B644" s="6" t="s">
        <v>451</v>
      </c>
      <c r="C644" s="6" t="s">
        <v>451</v>
      </c>
      <c r="D644" s="5">
        <v>44885</v>
      </c>
    </row>
    <row r="645" spans="2:4">
      <c r="B645" s="6" t="s">
        <v>451</v>
      </c>
      <c r="C645" s="6" t="s">
        <v>451</v>
      </c>
      <c r="D645" s="5">
        <v>44885</v>
      </c>
    </row>
    <row r="646" spans="2:4">
      <c r="B646" s="6" t="s">
        <v>451</v>
      </c>
      <c r="C646" s="6" t="s">
        <v>451</v>
      </c>
      <c r="D646" s="5">
        <v>44885</v>
      </c>
    </row>
    <row r="647" spans="2:4">
      <c r="B647" s="6" t="s">
        <v>251</v>
      </c>
      <c r="C647" s="6" t="s">
        <v>409</v>
      </c>
      <c r="D647" s="5">
        <v>44885</v>
      </c>
    </row>
    <row r="648" spans="2:4">
      <c r="B648" s="6" t="s">
        <v>287</v>
      </c>
      <c r="C648" s="6" t="s">
        <v>603</v>
      </c>
      <c r="D648" s="5">
        <v>44885</v>
      </c>
    </row>
    <row r="649" spans="2:4">
      <c r="B649" s="6" t="s">
        <v>298</v>
      </c>
      <c r="C649" s="6" t="s">
        <v>356</v>
      </c>
      <c r="D649" s="5">
        <v>44885</v>
      </c>
    </row>
    <row r="650" spans="2:4">
      <c r="B650" s="6" t="s">
        <v>138</v>
      </c>
      <c r="C650" s="6" t="s">
        <v>628</v>
      </c>
      <c r="D650" s="5">
        <v>44885</v>
      </c>
    </row>
    <row r="651" spans="2:4">
      <c r="B651" s="6" t="s">
        <v>253</v>
      </c>
      <c r="C651" s="6" t="s">
        <v>278</v>
      </c>
      <c r="D651" s="5">
        <v>44885</v>
      </c>
    </row>
    <row r="652" spans="2:4">
      <c r="B652" s="6" t="s">
        <v>588</v>
      </c>
      <c r="C652" s="6" t="s">
        <v>255</v>
      </c>
      <c r="D652" s="5">
        <v>44885</v>
      </c>
    </row>
    <row r="653" spans="2:4">
      <c r="B653" s="6" t="s">
        <v>414</v>
      </c>
      <c r="C653" s="6" t="s">
        <v>289</v>
      </c>
      <c r="D653" s="5">
        <v>44885</v>
      </c>
    </row>
    <row r="654" spans="2:4">
      <c r="B654" s="6" t="s">
        <v>301</v>
      </c>
      <c r="C654" s="6" t="s">
        <v>246</v>
      </c>
      <c r="D654" s="5">
        <v>44885</v>
      </c>
    </row>
    <row r="655" spans="2:4">
      <c r="B655" s="6" t="s">
        <v>451</v>
      </c>
      <c r="C655" s="6" t="s">
        <v>451</v>
      </c>
      <c r="D655" s="5">
        <v>44885</v>
      </c>
    </row>
    <row r="656" spans="2:4">
      <c r="B656" s="6" t="s">
        <v>451</v>
      </c>
      <c r="C656" s="6" t="s">
        <v>451</v>
      </c>
      <c r="D656" s="5">
        <v>44885</v>
      </c>
    </row>
    <row r="657" spans="2:4">
      <c r="B657" s="6" t="s">
        <v>395</v>
      </c>
      <c r="C657" s="6" t="s">
        <v>370</v>
      </c>
      <c r="D657" s="5">
        <v>44885</v>
      </c>
    </row>
    <row r="658" spans="2:4">
      <c r="B658" s="6" t="s">
        <v>120</v>
      </c>
      <c r="C658" s="6" t="s">
        <v>513</v>
      </c>
      <c r="D658" s="5">
        <v>44885</v>
      </c>
    </row>
    <row r="659" spans="2:4">
      <c r="B659" s="6" t="s">
        <v>359</v>
      </c>
      <c r="C659" s="6" t="s">
        <v>508</v>
      </c>
      <c r="D659" s="5">
        <v>44885</v>
      </c>
    </row>
    <row r="660" spans="2:4">
      <c r="B660" s="6" t="s">
        <v>196</v>
      </c>
      <c r="C660" s="6" t="s">
        <v>391</v>
      </c>
      <c r="D660" s="5">
        <v>44885</v>
      </c>
    </row>
    <row r="661" spans="2:4">
      <c r="B661" s="6" t="s">
        <v>202</v>
      </c>
      <c r="C661" s="6" t="s">
        <v>148</v>
      </c>
      <c r="D661" s="5">
        <v>44885</v>
      </c>
    </row>
    <row r="662" spans="2:4">
      <c r="B662" s="6" t="s">
        <v>342</v>
      </c>
      <c r="C662" s="6" t="s">
        <v>94</v>
      </c>
      <c r="D662" s="5">
        <v>44885</v>
      </c>
    </row>
    <row r="663" spans="2:4">
      <c r="B663" s="6" t="s">
        <v>220</v>
      </c>
      <c r="C663" s="6" t="s">
        <v>418</v>
      </c>
      <c r="D663" s="5">
        <v>44885</v>
      </c>
    </row>
    <row r="664" spans="2:4">
      <c r="B664" s="6" t="s">
        <v>108</v>
      </c>
      <c r="C664" s="6" t="s">
        <v>130</v>
      </c>
      <c r="D664" s="5">
        <v>44885</v>
      </c>
    </row>
    <row r="665" spans="2:4">
      <c r="B665" s="6" t="s">
        <v>49</v>
      </c>
      <c r="C665" s="6" t="s">
        <v>314</v>
      </c>
      <c r="D665" s="5">
        <v>44885</v>
      </c>
    </row>
    <row r="666" spans="2:4">
      <c r="B666" s="6" t="s">
        <v>286</v>
      </c>
      <c r="C666" s="6" t="s">
        <v>183</v>
      </c>
      <c r="D666" s="5">
        <v>44885</v>
      </c>
    </row>
    <row r="667" spans="2:4">
      <c r="B667" s="6" t="s">
        <v>451</v>
      </c>
      <c r="C667" s="6" t="s">
        <v>451</v>
      </c>
      <c r="D667" s="5">
        <v>44885</v>
      </c>
    </row>
    <row r="668" spans="2:4">
      <c r="B668" s="6" t="s">
        <v>102</v>
      </c>
      <c r="C668" s="6" t="s">
        <v>249</v>
      </c>
      <c r="D668" s="5">
        <v>44885</v>
      </c>
    </row>
    <row r="669" spans="2:4">
      <c r="B669" s="6" t="s">
        <v>250</v>
      </c>
      <c r="C669" s="6" t="s">
        <v>399</v>
      </c>
      <c r="D669" s="5">
        <v>44885</v>
      </c>
    </row>
    <row r="670" spans="2:4">
      <c r="B670" s="6" t="s">
        <v>36</v>
      </c>
      <c r="C670" s="6" t="s">
        <v>98</v>
      </c>
      <c r="D670" s="5">
        <v>44885</v>
      </c>
    </row>
    <row r="671" spans="2:4">
      <c r="B671" s="6" t="s">
        <v>259</v>
      </c>
      <c r="C671" s="6" t="s">
        <v>297</v>
      </c>
      <c r="D671" s="5">
        <v>44885</v>
      </c>
    </row>
    <row r="672" spans="2:4">
      <c r="B672" s="6" t="s">
        <v>451</v>
      </c>
      <c r="C672" s="6" t="s">
        <v>451</v>
      </c>
      <c r="D672" s="5">
        <v>44885</v>
      </c>
    </row>
    <row r="673" spans="2:4">
      <c r="B673" s="6" t="s">
        <v>451</v>
      </c>
      <c r="C673" s="6" t="s">
        <v>451</v>
      </c>
      <c r="D673" s="5">
        <v>44885</v>
      </c>
    </row>
    <row r="674" spans="2:4">
      <c r="B674" s="6" t="s">
        <v>67</v>
      </c>
      <c r="C674" s="6" t="s">
        <v>332</v>
      </c>
      <c r="D674" s="5">
        <v>44885</v>
      </c>
    </row>
    <row r="675" spans="2:4">
      <c r="B675" s="6" t="s">
        <v>304</v>
      </c>
      <c r="C675" s="6" t="s">
        <v>436</v>
      </c>
      <c r="D675" s="5">
        <v>44885</v>
      </c>
    </row>
    <row r="676" spans="2:4">
      <c r="B676" s="6" t="s">
        <v>410</v>
      </c>
      <c r="C676" s="6" t="s">
        <v>261</v>
      </c>
      <c r="D676" s="5">
        <v>44885</v>
      </c>
    </row>
    <row r="677" spans="2:4">
      <c r="B677" s="6" t="s">
        <v>451</v>
      </c>
      <c r="C677" s="6" t="s">
        <v>451</v>
      </c>
      <c r="D677" s="5">
        <v>44885</v>
      </c>
    </row>
    <row r="678" spans="2:4">
      <c r="B678" s="6" t="s">
        <v>451</v>
      </c>
      <c r="C678" s="6" t="s">
        <v>451</v>
      </c>
      <c r="D678" s="5">
        <v>44885</v>
      </c>
    </row>
    <row r="679" spans="2:4">
      <c r="B679" s="6" t="s">
        <v>103</v>
      </c>
      <c r="C679" s="6" t="s">
        <v>268</v>
      </c>
      <c r="D679" s="5">
        <v>44885</v>
      </c>
    </row>
    <row r="680" spans="2:4">
      <c r="B680" s="6" t="s">
        <v>144</v>
      </c>
      <c r="C680" s="6" t="s">
        <v>121</v>
      </c>
      <c r="D680" s="5">
        <v>44885</v>
      </c>
    </row>
    <row r="681" spans="2:4">
      <c r="B681" s="6" t="s">
        <v>245</v>
      </c>
      <c r="C681" s="6" t="s">
        <v>264</v>
      </c>
      <c r="D681" s="5">
        <v>44885</v>
      </c>
    </row>
    <row r="682" spans="2:4">
      <c r="B682" s="6" t="s">
        <v>209</v>
      </c>
      <c r="C682" s="6" t="s">
        <v>62</v>
      </c>
      <c r="D682" s="5">
        <v>44885</v>
      </c>
    </row>
    <row r="683" spans="2:4">
      <c r="B683" s="6" t="s">
        <v>451</v>
      </c>
      <c r="C683" s="6" t="s">
        <v>451</v>
      </c>
      <c r="D683" s="5">
        <v>44885</v>
      </c>
    </row>
    <row r="684" spans="2:4">
      <c r="B684" s="6" t="s">
        <v>451</v>
      </c>
      <c r="C684" s="6" t="s">
        <v>451</v>
      </c>
      <c r="D684" s="5">
        <v>44885</v>
      </c>
    </row>
    <row r="685" spans="2:4">
      <c r="B685" s="6" t="s">
        <v>451</v>
      </c>
      <c r="C685" s="6" t="s">
        <v>451</v>
      </c>
      <c r="D685" s="5">
        <v>44885</v>
      </c>
    </row>
    <row r="686" spans="2:4">
      <c r="B686" s="6" t="s">
        <v>31</v>
      </c>
      <c r="C686" s="6" t="s">
        <v>358</v>
      </c>
      <c r="D686" s="5">
        <v>44885</v>
      </c>
    </row>
    <row r="687" spans="2:4">
      <c r="B687" s="6" t="s">
        <v>451</v>
      </c>
      <c r="C687" s="6" t="s">
        <v>451</v>
      </c>
      <c r="D687" s="5">
        <v>44885</v>
      </c>
    </row>
    <row r="688" spans="2:4">
      <c r="B688" s="6" t="s">
        <v>451</v>
      </c>
      <c r="C688" s="6" t="s">
        <v>451</v>
      </c>
      <c r="D688" s="5">
        <v>44885</v>
      </c>
    </row>
    <row r="689" spans="2:4">
      <c r="B689" s="6" t="s">
        <v>132</v>
      </c>
      <c r="C689" s="6" t="s">
        <v>80</v>
      </c>
      <c r="D689" s="5">
        <v>44885</v>
      </c>
    </row>
    <row r="690" spans="2:4">
      <c r="B690" s="6" t="s">
        <v>59</v>
      </c>
      <c r="C690" s="6" t="s">
        <v>127</v>
      </c>
      <c r="D690" s="5">
        <v>44885</v>
      </c>
    </row>
    <row r="691" spans="2:4">
      <c r="B691" s="6" t="s">
        <v>240</v>
      </c>
      <c r="C691" s="6" t="s">
        <v>364</v>
      </c>
      <c r="D691" s="5">
        <v>44885</v>
      </c>
    </row>
    <row r="692" spans="2:4">
      <c r="B692" s="6" t="s">
        <v>87</v>
      </c>
      <c r="C692" s="6" t="s">
        <v>303</v>
      </c>
      <c r="D692" s="5">
        <v>44885</v>
      </c>
    </row>
    <row r="693" spans="2:4">
      <c r="B693" s="6" t="s">
        <v>451</v>
      </c>
      <c r="C693" s="6" t="s">
        <v>451</v>
      </c>
      <c r="D693" s="5">
        <v>44885</v>
      </c>
    </row>
    <row r="694" spans="2:4">
      <c r="B694" s="6" t="s">
        <v>69</v>
      </c>
      <c r="C694" s="6" t="s">
        <v>212</v>
      </c>
      <c r="D694" s="5">
        <v>44885</v>
      </c>
    </row>
    <row r="695" spans="2:4">
      <c r="B695" s="6" t="s">
        <v>207</v>
      </c>
      <c r="C695" s="6" t="s">
        <v>233</v>
      </c>
      <c r="D695" s="5">
        <v>44885</v>
      </c>
    </row>
    <row r="696" spans="2:4">
      <c r="B696" s="6" t="s">
        <v>331</v>
      </c>
      <c r="C696" s="6" t="s">
        <v>140</v>
      </c>
      <c r="D696" s="5">
        <v>44886</v>
      </c>
    </row>
    <row r="697" spans="2:4">
      <c r="B697" s="6" t="s">
        <v>81</v>
      </c>
      <c r="C697" s="6" t="s">
        <v>326</v>
      </c>
      <c r="D697" s="5">
        <v>44886</v>
      </c>
    </row>
    <row r="698" spans="2:4">
      <c r="B698" s="6" t="s">
        <v>106</v>
      </c>
      <c r="C698" s="6" t="s">
        <v>422</v>
      </c>
      <c r="D698" s="5">
        <v>44886</v>
      </c>
    </row>
    <row r="699" spans="2:4">
      <c r="B699" s="6" t="s">
        <v>215</v>
      </c>
      <c r="C699" s="6" t="s">
        <v>147</v>
      </c>
      <c r="D699" s="5">
        <v>44886</v>
      </c>
    </row>
    <row r="700" spans="2:4">
      <c r="B700" s="6" t="s">
        <v>404</v>
      </c>
      <c r="C700" s="6" t="s">
        <v>318</v>
      </c>
      <c r="D700" s="5">
        <v>44886</v>
      </c>
    </row>
    <row r="701" spans="2:4">
      <c r="B701" s="6" t="s">
        <v>329</v>
      </c>
      <c r="C701" s="6" t="s">
        <v>629</v>
      </c>
      <c r="D701" s="5">
        <v>44886</v>
      </c>
    </row>
    <row r="702" spans="2:4">
      <c r="B702" s="6" t="s">
        <v>451</v>
      </c>
      <c r="C702" s="6" t="s">
        <v>451</v>
      </c>
      <c r="D702" s="5">
        <v>44886</v>
      </c>
    </row>
    <row r="703" spans="2:4">
      <c r="B703" s="6" t="s">
        <v>325</v>
      </c>
      <c r="C703" s="6" t="s">
        <v>275</v>
      </c>
      <c r="D703" s="5">
        <v>44886</v>
      </c>
    </row>
    <row r="704" spans="2:4">
      <c r="B704" s="6" t="s">
        <v>313</v>
      </c>
      <c r="C704" s="6" t="s">
        <v>105</v>
      </c>
      <c r="D704" s="5">
        <v>44886</v>
      </c>
    </row>
    <row r="705" spans="2:4">
      <c r="B705" s="6" t="s">
        <v>192</v>
      </c>
      <c r="C705" s="6" t="s">
        <v>113</v>
      </c>
      <c r="D705" s="5">
        <v>44886</v>
      </c>
    </row>
    <row r="706" spans="2:4">
      <c r="B706" s="6" t="s">
        <v>38</v>
      </c>
      <c r="C706" s="6" t="s">
        <v>27</v>
      </c>
      <c r="D706" s="5">
        <v>44886</v>
      </c>
    </row>
    <row r="707" spans="2:4">
      <c r="B707" s="6" t="s">
        <v>381</v>
      </c>
      <c r="C707" s="6" t="s">
        <v>352</v>
      </c>
      <c r="D707" s="5">
        <v>44886</v>
      </c>
    </row>
    <row r="708" spans="2:4">
      <c r="B708" s="6" t="s">
        <v>309</v>
      </c>
      <c r="C708" s="6" t="s">
        <v>599</v>
      </c>
      <c r="D708" s="5">
        <v>44886</v>
      </c>
    </row>
    <row r="709" spans="2:4">
      <c r="B709" s="6" t="s">
        <v>451</v>
      </c>
      <c r="C709" s="6" t="s">
        <v>451</v>
      </c>
      <c r="D709" s="5">
        <v>44886</v>
      </c>
    </row>
    <row r="710" spans="2:4">
      <c r="B710" s="6" t="s">
        <v>590</v>
      </c>
      <c r="C710" s="6" t="s">
        <v>280</v>
      </c>
      <c r="D710" s="5">
        <v>44886</v>
      </c>
    </row>
    <row r="711" spans="2:4">
      <c r="B711" s="6" t="s">
        <v>84</v>
      </c>
      <c r="C711" s="6" t="s">
        <v>43</v>
      </c>
      <c r="D711" s="5">
        <v>44886</v>
      </c>
    </row>
    <row r="712" spans="2:4">
      <c r="B712" s="6" t="s">
        <v>323</v>
      </c>
      <c r="C712" s="6" t="s">
        <v>146</v>
      </c>
      <c r="D712" s="5">
        <v>44886</v>
      </c>
    </row>
    <row r="713" spans="2:4">
      <c r="B713" s="6" t="s">
        <v>169</v>
      </c>
      <c r="C713" s="6" t="s">
        <v>221</v>
      </c>
      <c r="D713" s="5">
        <v>44886</v>
      </c>
    </row>
    <row r="714" spans="2:4">
      <c r="B714" s="6" t="s">
        <v>362</v>
      </c>
      <c r="C714" s="6" t="s">
        <v>110</v>
      </c>
      <c r="D714" s="5">
        <v>44886</v>
      </c>
    </row>
    <row r="715" spans="2:4">
      <c r="B715" s="6" t="s">
        <v>451</v>
      </c>
      <c r="C715" s="6" t="s">
        <v>451</v>
      </c>
      <c r="D715" s="5">
        <v>44886</v>
      </c>
    </row>
    <row r="716" spans="2:4">
      <c r="B716" s="6" t="s">
        <v>344</v>
      </c>
      <c r="C716" s="6" t="s">
        <v>330</v>
      </c>
      <c r="D716" s="5">
        <v>44886</v>
      </c>
    </row>
    <row r="717" spans="2:4">
      <c r="B717" s="6" t="s">
        <v>231</v>
      </c>
      <c r="C717" s="6" t="s">
        <v>195</v>
      </c>
      <c r="D717" s="5">
        <v>44886</v>
      </c>
    </row>
    <row r="718" spans="2:4">
      <c r="B718" s="6" t="s">
        <v>77</v>
      </c>
      <c r="C718" s="6" t="s">
        <v>50</v>
      </c>
      <c r="D718" s="5">
        <v>44886</v>
      </c>
    </row>
    <row r="719" spans="2:4">
      <c r="B719" s="6" t="s">
        <v>45</v>
      </c>
      <c r="C719" s="6" t="s">
        <v>171</v>
      </c>
      <c r="D719" s="5">
        <v>44886</v>
      </c>
    </row>
    <row r="720" spans="2:4">
      <c r="B720" s="6" t="s">
        <v>170</v>
      </c>
      <c r="C720" s="6" t="s">
        <v>630</v>
      </c>
      <c r="D720" s="5">
        <v>44886</v>
      </c>
    </row>
    <row r="721" spans="2:4">
      <c r="B721" s="6" t="s">
        <v>284</v>
      </c>
      <c r="C721" s="6" t="s">
        <v>354</v>
      </c>
      <c r="D721" s="5">
        <v>44886</v>
      </c>
    </row>
    <row r="722" spans="2:4">
      <c r="B722" s="6" t="s">
        <v>338</v>
      </c>
      <c r="C722" s="6" t="s">
        <v>114</v>
      </c>
      <c r="D722" s="5">
        <v>44886</v>
      </c>
    </row>
    <row r="723" spans="2:4">
      <c r="B723" s="6" t="s">
        <v>193</v>
      </c>
      <c r="C723" s="6" t="s">
        <v>347</v>
      </c>
      <c r="D723" s="5">
        <v>44886</v>
      </c>
    </row>
    <row r="724" spans="2:4">
      <c r="B724" s="6" t="s">
        <v>327</v>
      </c>
      <c r="C724" s="6" t="s">
        <v>532</v>
      </c>
      <c r="D724" s="5">
        <v>44886</v>
      </c>
    </row>
    <row r="725" spans="2:4">
      <c r="B725" s="6" t="s">
        <v>270</v>
      </c>
      <c r="C725" s="6" t="s">
        <v>232</v>
      </c>
      <c r="D725" s="5">
        <v>44886</v>
      </c>
    </row>
    <row r="726" spans="2:4">
      <c r="B726" s="6" t="s">
        <v>373</v>
      </c>
      <c r="C726" s="6" t="s">
        <v>333</v>
      </c>
      <c r="D726" s="5">
        <v>44886</v>
      </c>
    </row>
    <row r="727" spans="2:4">
      <c r="B727" s="6" t="s">
        <v>349</v>
      </c>
      <c r="C727" s="6" t="s">
        <v>131</v>
      </c>
      <c r="D727" s="5">
        <v>44886</v>
      </c>
    </row>
    <row r="728" spans="2:4">
      <c r="B728" s="6" t="s">
        <v>128</v>
      </c>
      <c r="C728" s="6" t="s">
        <v>484</v>
      </c>
      <c r="D728" s="5">
        <v>44886</v>
      </c>
    </row>
    <row r="729" spans="2:4">
      <c r="B729" s="6" t="s">
        <v>176</v>
      </c>
      <c r="C729" s="6" t="s">
        <v>115</v>
      </c>
      <c r="D729" s="5">
        <v>44886</v>
      </c>
    </row>
    <row r="730" spans="2:4">
      <c r="B730" s="6" t="s">
        <v>200</v>
      </c>
      <c r="C730" s="6" t="s">
        <v>47</v>
      </c>
      <c r="D730" s="5">
        <v>44886</v>
      </c>
    </row>
    <row r="731" spans="2:4">
      <c r="B731" s="6" t="s">
        <v>51</v>
      </c>
      <c r="C731" s="6" t="s">
        <v>580</v>
      </c>
      <c r="D731" s="5">
        <v>44886</v>
      </c>
    </row>
    <row r="732" spans="2:4">
      <c r="B732" s="6" t="s">
        <v>345</v>
      </c>
      <c r="C732" s="6" t="s">
        <v>266</v>
      </c>
      <c r="D732" s="5">
        <v>44886</v>
      </c>
    </row>
    <row r="733" spans="2:4">
      <c r="B733" s="6" t="s">
        <v>292</v>
      </c>
      <c r="C733" s="6" t="s">
        <v>256</v>
      </c>
      <c r="D733" s="5">
        <v>44886</v>
      </c>
    </row>
    <row r="734" spans="2:4">
      <c r="B734" s="6" t="s">
        <v>33</v>
      </c>
      <c r="C734" s="6" t="s">
        <v>124</v>
      </c>
      <c r="D734" s="5">
        <v>44886</v>
      </c>
    </row>
    <row r="735" spans="2:4">
      <c r="B735" s="6" t="s">
        <v>143</v>
      </c>
      <c r="C735" s="6" t="s">
        <v>584</v>
      </c>
      <c r="D735" s="5">
        <v>44886</v>
      </c>
    </row>
    <row r="736" spans="2:4">
      <c r="B736" s="6" t="s">
        <v>451</v>
      </c>
      <c r="C736" s="6" t="s">
        <v>451</v>
      </c>
      <c r="D736" s="5">
        <v>44886</v>
      </c>
    </row>
    <row r="737" spans="2:4">
      <c r="B737" s="6" t="s">
        <v>61</v>
      </c>
      <c r="C737" s="6" t="s">
        <v>357</v>
      </c>
      <c r="D737" s="5">
        <v>44886</v>
      </c>
    </row>
    <row r="738" spans="2:4">
      <c r="B738" s="6" t="s">
        <v>44</v>
      </c>
      <c r="C738" s="6" t="s">
        <v>248</v>
      </c>
      <c r="D738" s="5">
        <v>44886</v>
      </c>
    </row>
    <row r="739" spans="2:4">
      <c r="B739" s="6" t="s">
        <v>30</v>
      </c>
      <c r="C739" s="6" t="s">
        <v>403</v>
      </c>
      <c r="D739" s="5">
        <v>44886</v>
      </c>
    </row>
    <row r="740" spans="2:4">
      <c r="B740" s="6" t="s">
        <v>37</v>
      </c>
      <c r="C740" s="6" t="s">
        <v>85</v>
      </c>
      <c r="D740" s="5">
        <v>44886</v>
      </c>
    </row>
    <row r="741" spans="2:4">
      <c r="B741" s="6" t="s">
        <v>334</v>
      </c>
      <c r="C741" s="6" t="s">
        <v>89</v>
      </c>
      <c r="D741" s="5">
        <v>44886</v>
      </c>
    </row>
    <row r="742" spans="2:4">
      <c r="B742" s="6" t="s">
        <v>392</v>
      </c>
      <c r="C742" s="6" t="s">
        <v>57</v>
      </c>
      <c r="D742" s="5">
        <v>44886</v>
      </c>
    </row>
    <row r="743" spans="2:4">
      <c r="B743" s="6" t="s">
        <v>393</v>
      </c>
      <c r="C743" s="6" t="s">
        <v>78</v>
      </c>
      <c r="D743" s="5">
        <v>44886</v>
      </c>
    </row>
    <row r="744" spans="2:4">
      <c r="B744" s="6" t="s">
        <v>423</v>
      </c>
      <c r="C744" s="6" t="s">
        <v>179</v>
      </c>
      <c r="D744" s="5">
        <v>44886</v>
      </c>
    </row>
    <row r="745" spans="2:4">
      <c r="B745" s="6" t="s">
        <v>198</v>
      </c>
      <c r="C745" s="6" t="s">
        <v>273</v>
      </c>
      <c r="D745" s="5">
        <v>44886</v>
      </c>
    </row>
    <row r="746" spans="2:4">
      <c r="B746" s="6" t="s">
        <v>145</v>
      </c>
      <c r="C746" s="6" t="s">
        <v>302</v>
      </c>
      <c r="D746" s="5">
        <v>44886</v>
      </c>
    </row>
    <row r="747" spans="2:4">
      <c r="B747" s="6" t="s">
        <v>166</v>
      </c>
      <c r="C747" s="6" t="s">
        <v>472</v>
      </c>
      <c r="D747" s="5">
        <v>44886</v>
      </c>
    </row>
    <row r="748" spans="2:4">
      <c r="B748" s="6" t="s">
        <v>154</v>
      </c>
      <c r="C748" s="6" t="s">
        <v>206</v>
      </c>
      <c r="D748" s="5">
        <v>44886</v>
      </c>
    </row>
    <row r="749" spans="2:4">
      <c r="B749" s="6" t="s">
        <v>167</v>
      </c>
      <c r="C749" s="6" t="s">
        <v>446</v>
      </c>
      <c r="D749" s="5">
        <v>44886</v>
      </c>
    </row>
    <row r="750" spans="2:4">
      <c r="B750" s="6" t="s">
        <v>164</v>
      </c>
      <c r="C750" s="6" t="s">
        <v>150</v>
      </c>
      <c r="D750" s="5">
        <v>44886</v>
      </c>
    </row>
    <row r="751" spans="2:4">
      <c r="B751" s="6" t="s">
        <v>63</v>
      </c>
      <c r="C751" s="6" t="s">
        <v>159</v>
      </c>
      <c r="D751" s="5">
        <v>44886</v>
      </c>
    </row>
    <row r="752" spans="2:4">
      <c r="B752" s="6" t="s">
        <v>70</v>
      </c>
      <c r="C752" s="6" t="s">
        <v>187</v>
      </c>
      <c r="D752" s="5">
        <v>44886</v>
      </c>
    </row>
    <row r="753" spans="2:4">
      <c r="B753" s="6" t="s">
        <v>163</v>
      </c>
      <c r="C753" s="6" t="s">
        <v>241</v>
      </c>
      <c r="D753" s="5">
        <v>44887</v>
      </c>
    </row>
    <row r="754" spans="2:4">
      <c r="B754" s="6" t="s">
        <v>451</v>
      </c>
      <c r="C754" s="6" t="s">
        <v>451</v>
      </c>
      <c r="D754" s="5">
        <v>44887</v>
      </c>
    </row>
    <row r="755" spans="2:4">
      <c r="B755" s="6" t="s">
        <v>451</v>
      </c>
      <c r="C755" s="6" t="s">
        <v>451</v>
      </c>
      <c r="D755" s="5">
        <v>44887</v>
      </c>
    </row>
    <row r="756" spans="2:4">
      <c r="B756" s="6" t="s">
        <v>451</v>
      </c>
      <c r="C756" s="6" t="s">
        <v>451</v>
      </c>
      <c r="D756" s="5">
        <v>44887</v>
      </c>
    </row>
    <row r="757" spans="2:4">
      <c r="B757" s="6" t="s">
        <v>451</v>
      </c>
      <c r="C757" s="6" t="s">
        <v>451</v>
      </c>
      <c r="D757" s="5">
        <v>44887</v>
      </c>
    </row>
    <row r="758" spans="2:4">
      <c r="B758" s="6" t="s">
        <v>451</v>
      </c>
      <c r="C758" s="6" t="s">
        <v>451</v>
      </c>
      <c r="D758" s="5">
        <v>44887</v>
      </c>
    </row>
    <row r="759" spans="2:4">
      <c r="B759" s="6" t="s">
        <v>415</v>
      </c>
      <c r="C759" s="6" t="s">
        <v>400</v>
      </c>
      <c r="D759" s="5">
        <v>44887</v>
      </c>
    </row>
    <row r="760" spans="2:4">
      <c r="B760" s="6" t="s">
        <v>247</v>
      </c>
      <c r="C760" s="6" t="s">
        <v>296</v>
      </c>
      <c r="D760" s="5">
        <v>44887</v>
      </c>
    </row>
    <row r="761" spans="2:4">
      <c r="B761" s="6" t="s">
        <v>336</v>
      </c>
      <c r="C761" s="6" t="s">
        <v>177</v>
      </c>
      <c r="D761" s="5">
        <v>44887</v>
      </c>
    </row>
    <row r="762" spans="2:4">
      <c r="B762" s="6" t="s">
        <v>451</v>
      </c>
      <c r="C762" s="6" t="s">
        <v>451</v>
      </c>
      <c r="D762" s="5">
        <v>44887</v>
      </c>
    </row>
    <row r="763" spans="2:4">
      <c r="B763" s="6" t="s">
        <v>451</v>
      </c>
      <c r="C763" s="6" t="s">
        <v>451</v>
      </c>
      <c r="D763" s="5">
        <v>44887</v>
      </c>
    </row>
    <row r="764" spans="2:4">
      <c r="B764" s="6" t="s">
        <v>451</v>
      </c>
      <c r="C764" s="6" t="s">
        <v>451</v>
      </c>
      <c r="D764" s="5">
        <v>44887</v>
      </c>
    </row>
    <row r="765" spans="2:4">
      <c r="B765" s="6" t="s">
        <v>208</v>
      </c>
      <c r="C765" s="6" t="s">
        <v>405</v>
      </c>
      <c r="D765" s="5">
        <v>44887</v>
      </c>
    </row>
    <row r="766" spans="2:4">
      <c r="B766" s="6" t="s">
        <v>191</v>
      </c>
      <c r="C766" s="6" t="s">
        <v>316</v>
      </c>
      <c r="D766" s="5">
        <v>44887</v>
      </c>
    </row>
    <row r="767" spans="2:4">
      <c r="B767" s="6" t="s">
        <v>179</v>
      </c>
      <c r="C767" s="6" t="s">
        <v>173</v>
      </c>
      <c r="D767" s="5">
        <v>44887</v>
      </c>
    </row>
    <row r="768" spans="2:4">
      <c r="B768" s="6" t="s">
        <v>131</v>
      </c>
      <c r="C768" s="6" t="s">
        <v>280</v>
      </c>
      <c r="D768" s="5">
        <v>44887</v>
      </c>
    </row>
    <row r="769" spans="2:4">
      <c r="B769" s="6" t="s">
        <v>451</v>
      </c>
      <c r="C769" s="6" t="s">
        <v>451</v>
      </c>
      <c r="D769" s="5">
        <v>44887</v>
      </c>
    </row>
    <row r="770" spans="2:4">
      <c r="B770" s="6" t="s">
        <v>125</v>
      </c>
      <c r="C770" s="6" t="s">
        <v>211</v>
      </c>
      <c r="D770" s="5">
        <v>44887</v>
      </c>
    </row>
    <row r="771" spans="2:4">
      <c r="B771" s="6" t="s">
        <v>451</v>
      </c>
      <c r="C771" s="6" t="s">
        <v>451</v>
      </c>
      <c r="D771" s="5">
        <v>44887</v>
      </c>
    </row>
    <row r="772" spans="2:4">
      <c r="B772" s="6" t="s">
        <v>451</v>
      </c>
      <c r="C772" s="6" t="s">
        <v>451</v>
      </c>
      <c r="D772" s="5">
        <v>44887</v>
      </c>
    </row>
    <row r="773" spans="2:4">
      <c r="B773" s="6" t="s">
        <v>451</v>
      </c>
      <c r="C773" s="6" t="s">
        <v>451</v>
      </c>
      <c r="D773" s="5">
        <v>44887</v>
      </c>
    </row>
    <row r="774" spans="2:4">
      <c r="B774" s="6" t="s">
        <v>119</v>
      </c>
      <c r="C774" s="6" t="s">
        <v>83</v>
      </c>
      <c r="D774" s="5">
        <v>44887</v>
      </c>
    </row>
    <row r="775" spans="2:4">
      <c r="B775" s="6" t="s">
        <v>122</v>
      </c>
      <c r="C775" s="6" t="s">
        <v>631</v>
      </c>
      <c r="D775" s="5">
        <v>44887</v>
      </c>
    </row>
    <row r="776" spans="2:4">
      <c r="B776" s="6" t="s">
        <v>268</v>
      </c>
      <c r="C776" s="6" t="s">
        <v>454</v>
      </c>
      <c r="D776" s="5">
        <v>44887</v>
      </c>
    </row>
    <row r="777" spans="2:4">
      <c r="B777" s="6" t="s">
        <v>640</v>
      </c>
      <c r="C777" s="6" t="s">
        <v>586</v>
      </c>
      <c r="D777" s="5">
        <v>44887</v>
      </c>
    </row>
    <row r="778" spans="2:4">
      <c r="B778" s="6" t="s">
        <v>367</v>
      </c>
      <c r="C778" s="6" t="s">
        <v>250</v>
      </c>
      <c r="D778" s="5">
        <v>44887</v>
      </c>
    </row>
    <row r="779" spans="2:4">
      <c r="B779" s="6" t="s">
        <v>451</v>
      </c>
      <c r="C779" s="6" t="s">
        <v>451</v>
      </c>
      <c r="D779" s="5">
        <v>44887</v>
      </c>
    </row>
    <row r="780" spans="2:4">
      <c r="B780" s="6" t="s">
        <v>46</v>
      </c>
      <c r="C780" s="6" t="s">
        <v>288</v>
      </c>
      <c r="D780" s="5">
        <v>44887</v>
      </c>
    </row>
    <row r="781" spans="2:4">
      <c r="B781" s="6" t="s">
        <v>194</v>
      </c>
      <c r="C781" s="6" t="s">
        <v>632</v>
      </c>
      <c r="D781" s="5">
        <v>44887</v>
      </c>
    </row>
    <row r="782" spans="2:4">
      <c r="B782" s="6" t="s">
        <v>304</v>
      </c>
      <c r="C782" s="6" t="s">
        <v>556</v>
      </c>
      <c r="D782" s="5">
        <v>44887</v>
      </c>
    </row>
    <row r="783" spans="2:4">
      <c r="B783" s="6" t="s">
        <v>305</v>
      </c>
      <c r="C783" s="6" t="s">
        <v>597</v>
      </c>
      <c r="D783" s="5">
        <v>44887</v>
      </c>
    </row>
    <row r="784" spans="2:4">
      <c r="B784" s="6" t="s">
        <v>353</v>
      </c>
      <c r="C784" s="6" t="s">
        <v>129</v>
      </c>
      <c r="D784" s="5">
        <v>44887</v>
      </c>
    </row>
    <row r="785" spans="2:4">
      <c r="B785" s="6" t="s">
        <v>123</v>
      </c>
      <c r="C785" s="6" t="s">
        <v>116</v>
      </c>
      <c r="D785" s="5">
        <v>44887</v>
      </c>
    </row>
    <row r="786" spans="2:4">
      <c r="B786" s="6" t="s">
        <v>267</v>
      </c>
      <c r="C786" s="6" t="s">
        <v>301</v>
      </c>
      <c r="D786" s="5">
        <v>44887</v>
      </c>
    </row>
    <row r="787" spans="2:4">
      <c r="B787" s="6" t="s">
        <v>337</v>
      </c>
      <c r="C787" s="6" t="s">
        <v>236</v>
      </c>
      <c r="D787" s="5">
        <v>44887</v>
      </c>
    </row>
    <row r="788" spans="2:4">
      <c r="B788" s="6" t="s">
        <v>349</v>
      </c>
      <c r="C788" s="6" t="s">
        <v>590</v>
      </c>
      <c r="D788" s="5">
        <v>44887</v>
      </c>
    </row>
    <row r="789" spans="2:4">
      <c r="B789" s="6" t="s">
        <v>100</v>
      </c>
      <c r="C789" s="6" t="s">
        <v>205</v>
      </c>
      <c r="D789" s="5">
        <v>44887</v>
      </c>
    </row>
    <row r="790" spans="2:4">
      <c r="B790" s="6" t="s">
        <v>451</v>
      </c>
      <c r="C790" s="6" t="s">
        <v>451</v>
      </c>
      <c r="D790" s="5">
        <v>44887</v>
      </c>
    </row>
    <row r="791" spans="2:4">
      <c r="B791" s="6" t="s">
        <v>252</v>
      </c>
      <c r="C791" s="6" t="s">
        <v>615</v>
      </c>
      <c r="D791" s="5">
        <v>44887</v>
      </c>
    </row>
    <row r="792" spans="2:4">
      <c r="B792" s="6" t="s">
        <v>310</v>
      </c>
      <c r="C792" s="6" t="s">
        <v>239</v>
      </c>
      <c r="D792" s="5">
        <v>44887</v>
      </c>
    </row>
    <row r="793" spans="2:4">
      <c r="B793" s="6" t="s">
        <v>64</v>
      </c>
      <c r="C793" s="6" t="s">
        <v>117</v>
      </c>
      <c r="D793" s="5">
        <v>44887</v>
      </c>
    </row>
    <row r="794" spans="2:4">
      <c r="B794" s="6" t="s">
        <v>321</v>
      </c>
      <c r="C794" s="6" t="s">
        <v>542</v>
      </c>
      <c r="D794" s="5">
        <v>44887</v>
      </c>
    </row>
    <row r="795" spans="2:4">
      <c r="B795" s="6" t="s">
        <v>206</v>
      </c>
      <c r="C795" s="6" t="s">
        <v>345</v>
      </c>
      <c r="D795" s="5">
        <v>44887</v>
      </c>
    </row>
    <row r="796" spans="2:4">
      <c r="B796" s="6" t="s">
        <v>295</v>
      </c>
      <c r="C796" s="6" t="s">
        <v>503</v>
      </c>
      <c r="D796" s="5">
        <v>44887</v>
      </c>
    </row>
    <row r="797" spans="2:4">
      <c r="B797" s="6" t="s">
        <v>344</v>
      </c>
      <c r="C797" s="6" t="s">
        <v>403</v>
      </c>
      <c r="D797" s="5">
        <v>44887</v>
      </c>
    </row>
    <row r="798" spans="2:4">
      <c r="B798" s="6" t="s">
        <v>451</v>
      </c>
      <c r="C798" s="6" t="s">
        <v>451</v>
      </c>
      <c r="D798" s="5">
        <v>44887</v>
      </c>
    </row>
    <row r="799" spans="2:4">
      <c r="B799" s="6" t="s">
        <v>451</v>
      </c>
      <c r="C799" s="6" t="s">
        <v>451</v>
      </c>
      <c r="D799" s="5">
        <v>44887</v>
      </c>
    </row>
    <row r="800" spans="2:4">
      <c r="B800" s="6" t="s">
        <v>135</v>
      </c>
      <c r="C800" s="6" t="s">
        <v>447</v>
      </c>
      <c r="D800" s="5">
        <v>44887</v>
      </c>
    </row>
    <row r="801" spans="2:4">
      <c r="B801" s="6" t="s">
        <v>319</v>
      </c>
      <c r="C801" s="6" t="s">
        <v>459</v>
      </c>
      <c r="D801" s="5">
        <v>44887</v>
      </c>
    </row>
    <row r="802" spans="2:4">
      <c r="B802" s="6" t="s">
        <v>332</v>
      </c>
      <c r="C802" s="6" t="s">
        <v>549</v>
      </c>
      <c r="D802" s="5">
        <v>44887</v>
      </c>
    </row>
    <row r="803" spans="2:4">
      <c r="B803" s="6" t="s">
        <v>426</v>
      </c>
      <c r="C803" s="6" t="s">
        <v>633</v>
      </c>
      <c r="D803" s="5">
        <v>44887</v>
      </c>
    </row>
    <row r="804" spans="2:4">
      <c r="B804" s="6" t="s">
        <v>335</v>
      </c>
      <c r="C804" s="6" t="s">
        <v>361</v>
      </c>
      <c r="D804" s="5">
        <v>44887</v>
      </c>
    </row>
    <row r="805" spans="2:4">
      <c r="B805" s="6" t="s">
        <v>196</v>
      </c>
      <c r="C805" s="6" t="s">
        <v>634</v>
      </c>
      <c r="D805" s="5">
        <v>44887</v>
      </c>
    </row>
    <row r="806" spans="2:4">
      <c r="B806" s="6" t="s">
        <v>368</v>
      </c>
      <c r="C806" s="6" t="s">
        <v>399</v>
      </c>
      <c r="D806" s="5">
        <v>44887</v>
      </c>
    </row>
    <row r="807" spans="2:4">
      <c r="B807" s="6" t="s">
        <v>451</v>
      </c>
      <c r="C807" s="6" t="s">
        <v>451</v>
      </c>
      <c r="D807" s="5">
        <v>44887</v>
      </c>
    </row>
    <row r="808" spans="2:4">
      <c r="B808" s="6" t="s">
        <v>341</v>
      </c>
      <c r="C808" s="6" t="s">
        <v>365</v>
      </c>
      <c r="D808" s="5">
        <v>44887</v>
      </c>
    </row>
    <row r="809" spans="2:4">
      <c r="B809" s="6" t="s">
        <v>137</v>
      </c>
      <c r="C809" s="6" t="s">
        <v>419</v>
      </c>
      <c r="D809" s="5">
        <v>44887</v>
      </c>
    </row>
    <row r="810" spans="2:4">
      <c r="B810" s="6" t="s">
        <v>451</v>
      </c>
      <c r="C810" s="6" t="s">
        <v>451</v>
      </c>
      <c r="D810" s="5">
        <v>44887</v>
      </c>
    </row>
    <row r="811" spans="2:4">
      <c r="B811" s="6" t="s">
        <v>68</v>
      </c>
      <c r="C811" s="6" t="s">
        <v>201</v>
      </c>
      <c r="D811" s="5">
        <v>44887</v>
      </c>
    </row>
    <row r="812" spans="2:4">
      <c r="B812" s="6" t="s">
        <v>49</v>
      </c>
      <c r="C812" s="6" t="s">
        <v>410</v>
      </c>
      <c r="D812" s="5">
        <v>44887</v>
      </c>
    </row>
    <row r="813" spans="2:4">
      <c r="B813" s="6" t="s">
        <v>190</v>
      </c>
      <c r="C813" s="6" t="s">
        <v>635</v>
      </c>
      <c r="D813" s="5">
        <v>44887</v>
      </c>
    </row>
    <row r="814" spans="2:4">
      <c r="B814" s="6" t="s">
        <v>168</v>
      </c>
      <c r="C814" s="6" t="s">
        <v>184</v>
      </c>
      <c r="D814" s="5">
        <v>44887</v>
      </c>
    </row>
    <row r="815" spans="2:4">
      <c r="B815" s="6" t="s">
        <v>376</v>
      </c>
      <c r="C815" s="6" t="s">
        <v>156</v>
      </c>
      <c r="D815" s="5">
        <v>44887</v>
      </c>
    </row>
    <row r="816" spans="2:4">
      <c r="B816" s="6" t="s">
        <v>73</v>
      </c>
      <c r="C816" s="6" t="s">
        <v>382</v>
      </c>
      <c r="D816" s="5">
        <v>44887</v>
      </c>
    </row>
    <row r="817" spans="2:4">
      <c r="B817" s="6" t="s">
        <v>451</v>
      </c>
      <c r="C817" s="6" t="s">
        <v>451</v>
      </c>
      <c r="D817" s="5">
        <v>44887</v>
      </c>
    </row>
    <row r="818" spans="2:4">
      <c r="B818" s="6" t="s">
        <v>621</v>
      </c>
      <c r="C818" s="6" t="s">
        <v>387</v>
      </c>
      <c r="D818" s="5">
        <v>44887</v>
      </c>
    </row>
    <row r="819" spans="2:4">
      <c r="B819" s="6" t="s">
        <v>266</v>
      </c>
      <c r="C819" s="6" t="s">
        <v>154</v>
      </c>
      <c r="D819" s="5">
        <v>44887</v>
      </c>
    </row>
    <row r="820" spans="2:4">
      <c r="B820" s="6" t="s">
        <v>427</v>
      </c>
      <c r="C820" s="6" t="s">
        <v>233</v>
      </c>
      <c r="D820" s="5">
        <v>44887</v>
      </c>
    </row>
    <row r="821" spans="2:4">
      <c r="B821" s="6" t="s">
        <v>141</v>
      </c>
      <c r="C821" s="6" t="s">
        <v>389</v>
      </c>
      <c r="D821" s="5">
        <v>44887</v>
      </c>
    </row>
    <row r="822" spans="2:4">
      <c r="B822" s="6" t="s">
        <v>451</v>
      </c>
      <c r="C822" s="6" t="s">
        <v>451</v>
      </c>
      <c r="D822" s="5">
        <v>44887</v>
      </c>
    </row>
    <row r="823" spans="2:4">
      <c r="B823" s="6" t="s">
        <v>451</v>
      </c>
      <c r="C823" s="6" t="s">
        <v>451</v>
      </c>
      <c r="D823" s="5">
        <v>44888</v>
      </c>
    </row>
    <row r="824" spans="2:4">
      <c r="B824" s="6" t="s">
        <v>451</v>
      </c>
      <c r="C824" s="6" t="s">
        <v>451</v>
      </c>
      <c r="D824" s="5">
        <v>44888</v>
      </c>
    </row>
    <row r="825" spans="2:4">
      <c r="B825" s="6" t="s">
        <v>451</v>
      </c>
      <c r="C825" s="6" t="s">
        <v>451</v>
      </c>
      <c r="D825" s="5">
        <v>44888</v>
      </c>
    </row>
    <row r="826" spans="2:4">
      <c r="B826" s="6" t="s">
        <v>451</v>
      </c>
      <c r="C826" s="6" t="s">
        <v>451</v>
      </c>
      <c r="D826" s="5">
        <v>44888</v>
      </c>
    </row>
    <row r="827" spans="2:4">
      <c r="B827" s="6" t="s">
        <v>422</v>
      </c>
      <c r="C827" s="6" t="s">
        <v>182</v>
      </c>
      <c r="D827" s="5">
        <v>44888</v>
      </c>
    </row>
    <row r="828" spans="2:4">
      <c r="B828" s="6" t="s">
        <v>451</v>
      </c>
      <c r="C828" s="6" t="s">
        <v>451</v>
      </c>
      <c r="D828" s="5">
        <v>44888</v>
      </c>
    </row>
    <row r="829" spans="2:4">
      <c r="B829" s="6" t="s">
        <v>451</v>
      </c>
      <c r="C829" s="6" t="s">
        <v>451</v>
      </c>
      <c r="D829" s="5">
        <v>44888</v>
      </c>
    </row>
    <row r="830" spans="2:4">
      <c r="B830" s="6" t="s">
        <v>26</v>
      </c>
      <c r="C830" s="6" t="s">
        <v>149</v>
      </c>
      <c r="D830" s="5">
        <v>44888</v>
      </c>
    </row>
    <row r="831" spans="2:4">
      <c r="B831" s="6" t="s">
        <v>451</v>
      </c>
      <c r="C831" s="6" t="s">
        <v>451</v>
      </c>
      <c r="D831" s="5">
        <v>44888</v>
      </c>
    </row>
    <row r="832" spans="2:4">
      <c r="B832" s="6" t="s">
        <v>103</v>
      </c>
      <c r="C832" s="6" t="s">
        <v>263</v>
      </c>
      <c r="D832" s="5">
        <v>44888</v>
      </c>
    </row>
    <row r="833" spans="2:4">
      <c r="B833" s="6" t="s">
        <v>397</v>
      </c>
      <c r="C833" s="6" t="s">
        <v>347</v>
      </c>
      <c r="D833" s="5">
        <v>44888</v>
      </c>
    </row>
    <row r="834" spans="2:4">
      <c r="B834" s="6" t="s">
        <v>451</v>
      </c>
      <c r="C834" s="6" t="s">
        <v>451</v>
      </c>
      <c r="D834" s="5">
        <v>44888</v>
      </c>
    </row>
    <row r="835" spans="2:4">
      <c r="B835" s="6" t="s">
        <v>451</v>
      </c>
      <c r="C835" s="6" t="s">
        <v>451</v>
      </c>
      <c r="D835" s="5">
        <v>44888</v>
      </c>
    </row>
    <row r="836" spans="2:4">
      <c r="B836" s="6" t="s">
        <v>451</v>
      </c>
      <c r="C836" s="6" t="s">
        <v>451</v>
      </c>
      <c r="D836" s="5">
        <v>44888</v>
      </c>
    </row>
    <row r="837" spans="2:4">
      <c r="B837" s="6" t="s">
        <v>126</v>
      </c>
      <c r="C837" s="6" t="s">
        <v>138</v>
      </c>
      <c r="D837" s="5">
        <v>44888</v>
      </c>
    </row>
    <row r="838" spans="2:4">
      <c r="B838" s="6" t="s">
        <v>413</v>
      </c>
      <c r="C838" s="6" t="s">
        <v>202</v>
      </c>
      <c r="D838" s="5">
        <v>44888</v>
      </c>
    </row>
    <row r="839" spans="2:4">
      <c r="B839" s="6" t="s">
        <v>65</v>
      </c>
      <c r="C839" s="6" t="s">
        <v>214</v>
      </c>
      <c r="D839" s="5">
        <v>44888</v>
      </c>
    </row>
    <row r="840" spans="2:4">
      <c r="B840" s="6" t="s">
        <v>451</v>
      </c>
      <c r="C840" s="6" t="s">
        <v>451</v>
      </c>
      <c r="D840" s="5">
        <v>44888</v>
      </c>
    </row>
    <row r="841" spans="2:4">
      <c r="B841" s="6" t="s">
        <v>102</v>
      </c>
      <c r="C841" s="6" t="s">
        <v>139</v>
      </c>
      <c r="D841" s="5">
        <v>44888</v>
      </c>
    </row>
    <row r="842" spans="2:4">
      <c r="B842" s="6" t="s">
        <v>204</v>
      </c>
      <c r="C842" s="6" t="s">
        <v>636</v>
      </c>
      <c r="D842" s="5">
        <v>44888</v>
      </c>
    </row>
    <row r="843" spans="2:4">
      <c r="B843" s="6" t="s">
        <v>358</v>
      </c>
      <c r="C843" s="6" t="s">
        <v>348</v>
      </c>
      <c r="D843" s="5">
        <v>44888</v>
      </c>
    </row>
    <row r="844" spans="2:4">
      <c r="B844" s="6" t="s">
        <v>396</v>
      </c>
      <c r="C844" s="6" t="s">
        <v>238</v>
      </c>
      <c r="D844" s="5">
        <v>44888</v>
      </c>
    </row>
    <row r="845" spans="2:4">
      <c r="B845" s="6" t="s">
        <v>172</v>
      </c>
      <c r="C845" s="6" t="s">
        <v>151</v>
      </c>
      <c r="D845" s="5">
        <v>44888</v>
      </c>
    </row>
    <row r="846" spans="2:4">
      <c r="B846" s="6" t="s">
        <v>134</v>
      </c>
      <c r="C846" s="6" t="s">
        <v>282</v>
      </c>
      <c r="D846" s="5">
        <v>44888</v>
      </c>
    </row>
    <row r="847" spans="2:4">
      <c r="B847" s="6" t="s">
        <v>451</v>
      </c>
      <c r="C847" s="6" t="s">
        <v>451</v>
      </c>
      <c r="D847" s="5">
        <v>44888</v>
      </c>
    </row>
    <row r="848" spans="2:4">
      <c r="B848" s="6" t="s">
        <v>246</v>
      </c>
      <c r="C848" s="6" t="s">
        <v>174</v>
      </c>
      <c r="D848" s="5">
        <v>44888</v>
      </c>
    </row>
    <row r="849" spans="2:4">
      <c r="B849" s="6" t="s">
        <v>80</v>
      </c>
      <c r="C849" s="6" t="s">
        <v>354</v>
      </c>
      <c r="D849" s="5">
        <v>44888</v>
      </c>
    </row>
    <row r="850" spans="2:4">
      <c r="B850" s="6" t="s">
        <v>28</v>
      </c>
      <c r="C850" s="6" t="s">
        <v>342</v>
      </c>
      <c r="D850" s="5">
        <v>44888</v>
      </c>
    </row>
    <row r="851" spans="2:4">
      <c r="B851" s="6" t="s">
        <v>298</v>
      </c>
      <c r="C851" s="6" t="s">
        <v>120</v>
      </c>
      <c r="D851" s="5">
        <v>44888</v>
      </c>
    </row>
    <row r="852" spans="2:4">
      <c r="B852" s="6" t="s">
        <v>266</v>
      </c>
      <c r="C852" s="6" t="s">
        <v>206</v>
      </c>
      <c r="D852" s="5">
        <v>44888</v>
      </c>
    </row>
    <row r="853" spans="2:4">
      <c r="B853" s="6" t="s">
        <v>104</v>
      </c>
      <c r="C853" s="6" t="s">
        <v>128</v>
      </c>
      <c r="D853" s="5">
        <v>44888</v>
      </c>
    </row>
    <row r="854" spans="2:4">
      <c r="B854" s="6" t="s">
        <v>255</v>
      </c>
      <c r="C854" s="6" t="s">
        <v>243</v>
      </c>
      <c r="D854" s="5">
        <v>44888</v>
      </c>
    </row>
    <row r="855" spans="2:4">
      <c r="B855" s="6" t="s">
        <v>451</v>
      </c>
      <c r="C855" s="6" t="s">
        <v>451</v>
      </c>
      <c r="D855" s="5">
        <v>44888</v>
      </c>
    </row>
    <row r="856" spans="2:4">
      <c r="B856" s="6" t="s">
        <v>451</v>
      </c>
      <c r="C856" s="6" t="s">
        <v>451</v>
      </c>
      <c r="D856" s="5">
        <v>44888</v>
      </c>
    </row>
    <row r="857" spans="2:4">
      <c r="B857" s="6" t="s">
        <v>451</v>
      </c>
      <c r="C857" s="6" t="s">
        <v>451</v>
      </c>
      <c r="D857" s="5">
        <v>44888</v>
      </c>
    </row>
    <row r="858" spans="2:4">
      <c r="B858" s="6" t="s">
        <v>74</v>
      </c>
      <c r="C858" s="6" t="s">
        <v>157</v>
      </c>
      <c r="D858" s="5">
        <v>44888</v>
      </c>
    </row>
    <row r="859" spans="2:4">
      <c r="B859" s="6" t="s">
        <v>432</v>
      </c>
      <c r="C859" s="6" t="s">
        <v>180</v>
      </c>
      <c r="D859" s="5">
        <v>44888</v>
      </c>
    </row>
    <row r="860" spans="2:4">
      <c r="B860" s="6" t="s">
        <v>640</v>
      </c>
      <c r="C860" s="6" t="s">
        <v>156</v>
      </c>
      <c r="D860" s="5">
        <v>44888</v>
      </c>
    </row>
    <row r="861" spans="2:4">
      <c r="B861" s="6" t="s">
        <v>198</v>
      </c>
      <c r="C861" s="6" t="s">
        <v>303</v>
      </c>
      <c r="D861" s="5">
        <v>44888</v>
      </c>
    </row>
    <row r="862" spans="2:4">
      <c r="B862" s="6" t="s">
        <v>451</v>
      </c>
      <c r="C862" s="6" t="s">
        <v>451</v>
      </c>
      <c r="D862" s="5">
        <v>44888</v>
      </c>
    </row>
    <row r="863" spans="2:4">
      <c r="B863" s="6" t="s">
        <v>451</v>
      </c>
      <c r="C863" s="6" t="s">
        <v>451</v>
      </c>
      <c r="D863" s="5">
        <v>44888</v>
      </c>
    </row>
    <row r="864" spans="2:4">
      <c r="B864" s="6" t="s">
        <v>610</v>
      </c>
      <c r="C864" s="6" t="s">
        <v>637</v>
      </c>
      <c r="D864" s="5">
        <v>44888</v>
      </c>
    </row>
    <row r="865" spans="2:4">
      <c r="B865" s="6" t="s">
        <v>62</v>
      </c>
      <c r="C865" s="6" t="s">
        <v>240</v>
      </c>
      <c r="D865" s="5">
        <v>44888</v>
      </c>
    </row>
    <row r="866" spans="2:4">
      <c r="B866" s="6" t="s">
        <v>345</v>
      </c>
      <c r="C866" s="6" t="s">
        <v>154</v>
      </c>
      <c r="D866" s="5">
        <v>44888</v>
      </c>
    </row>
    <row r="867" spans="2:4">
      <c r="B867" s="6" t="s">
        <v>48</v>
      </c>
      <c r="C867" s="6" t="s">
        <v>587</v>
      </c>
      <c r="D867" s="5">
        <v>44888</v>
      </c>
    </row>
    <row r="868" spans="2:4">
      <c r="B868" s="6" t="s">
        <v>244</v>
      </c>
      <c r="C868" s="6" t="s">
        <v>638</v>
      </c>
      <c r="D868" s="5">
        <v>44888</v>
      </c>
    </row>
    <row r="869" spans="2:4">
      <c r="B869" s="6" t="s">
        <v>160</v>
      </c>
      <c r="C869" s="6" t="s">
        <v>554</v>
      </c>
      <c r="D869" s="5">
        <v>44888</v>
      </c>
    </row>
    <row r="870" spans="2:4">
      <c r="B870" s="6" t="s">
        <v>338</v>
      </c>
      <c r="C870" s="6" t="s">
        <v>458</v>
      </c>
      <c r="D870" s="5">
        <v>44888</v>
      </c>
    </row>
    <row r="871" spans="2:4">
      <c r="B871" s="6" t="s">
        <v>207</v>
      </c>
      <c r="C871" s="6" t="s">
        <v>158</v>
      </c>
      <c r="D871" s="5">
        <v>44888</v>
      </c>
    </row>
    <row r="872" spans="2:4">
      <c r="B872" s="6" t="s">
        <v>274</v>
      </c>
      <c r="C872" s="6" t="s">
        <v>99</v>
      </c>
      <c r="D872" s="5">
        <v>44888</v>
      </c>
    </row>
    <row r="873" spans="2:4">
      <c r="B873" s="6" t="s">
        <v>411</v>
      </c>
      <c r="C873" s="6" t="s">
        <v>213</v>
      </c>
      <c r="D873" s="5">
        <v>44888</v>
      </c>
    </row>
    <row r="874" spans="2:4">
      <c r="B874" s="6" t="s">
        <v>284</v>
      </c>
      <c r="C874" s="6" t="s">
        <v>314</v>
      </c>
      <c r="D874" s="5">
        <v>44888</v>
      </c>
    </row>
    <row r="875" spans="2:4">
      <c r="B875" s="6" t="s">
        <v>107</v>
      </c>
      <c r="C875" s="6" t="s">
        <v>269</v>
      </c>
      <c r="D875" s="5">
        <v>44888</v>
      </c>
    </row>
    <row r="876" spans="2:4">
      <c r="B876" s="6" t="s">
        <v>436</v>
      </c>
      <c r="C876" s="6" t="s">
        <v>286</v>
      </c>
      <c r="D876" s="5">
        <v>44888</v>
      </c>
    </row>
    <row r="877" spans="2:4">
      <c r="B877" s="6" t="s">
        <v>40</v>
      </c>
      <c r="C877" s="6" t="s">
        <v>175</v>
      </c>
      <c r="D877" s="5">
        <v>44888</v>
      </c>
    </row>
    <row r="878" spans="2:4">
      <c r="B878" s="6" t="s">
        <v>87</v>
      </c>
      <c r="C878" s="6" t="s">
        <v>294</v>
      </c>
      <c r="D878" s="5">
        <v>44888</v>
      </c>
    </row>
    <row r="879" spans="2:4">
      <c r="B879" s="6" t="s">
        <v>86</v>
      </c>
      <c r="C879" s="6" t="s">
        <v>42</v>
      </c>
      <c r="D879" s="5">
        <v>44888</v>
      </c>
    </row>
    <row r="880" spans="2:4">
      <c r="B880" s="6" t="s">
        <v>451</v>
      </c>
      <c r="C880" s="6" t="s">
        <v>451</v>
      </c>
      <c r="D880" s="5">
        <v>44888</v>
      </c>
    </row>
    <row r="881" spans="2:4">
      <c r="B881" s="6" t="s">
        <v>451</v>
      </c>
      <c r="C881" s="6" t="s">
        <v>451</v>
      </c>
      <c r="D881" s="5">
        <v>44888</v>
      </c>
    </row>
    <row r="882" spans="2:4">
      <c r="B882" s="6" t="s">
        <v>451</v>
      </c>
      <c r="C882" s="6" t="s">
        <v>451</v>
      </c>
      <c r="D882" s="5">
        <v>44888</v>
      </c>
    </row>
    <row r="883" spans="2:4">
      <c r="B883" s="6" t="s">
        <v>308</v>
      </c>
      <c r="C883" s="6" t="s">
        <v>373</v>
      </c>
      <c r="D883" s="5">
        <v>44888</v>
      </c>
    </row>
    <row r="884" spans="2:4">
      <c r="B884" s="6" t="s">
        <v>603</v>
      </c>
      <c r="C884" s="6" t="s">
        <v>153</v>
      </c>
      <c r="D884" s="5">
        <v>44888</v>
      </c>
    </row>
    <row r="885" spans="2:4">
      <c r="B885" s="6" t="s">
        <v>133</v>
      </c>
      <c r="C885" s="6" t="s">
        <v>447</v>
      </c>
      <c r="D885" s="5">
        <v>44888</v>
      </c>
    </row>
    <row r="886" spans="2:4">
      <c r="B886" s="6" t="s">
        <v>59</v>
      </c>
      <c r="C886" s="6" t="s">
        <v>364</v>
      </c>
      <c r="D886" s="5">
        <v>44888</v>
      </c>
    </row>
    <row r="887" spans="2:4">
      <c r="B887" s="6" t="s">
        <v>451</v>
      </c>
      <c r="C887" s="6" t="s">
        <v>451</v>
      </c>
      <c r="D887" s="5">
        <v>44888</v>
      </c>
    </row>
    <row r="888" spans="2:4">
      <c r="B888" s="6" t="s">
        <v>451</v>
      </c>
      <c r="C888" s="6" t="s">
        <v>451</v>
      </c>
      <c r="D888" s="5">
        <v>44888</v>
      </c>
    </row>
    <row r="889" spans="2:4">
      <c r="B889" s="6" t="s">
        <v>53</v>
      </c>
      <c r="C889" s="6" t="s">
        <v>276</v>
      </c>
      <c r="D889" s="5">
        <v>44888</v>
      </c>
    </row>
    <row r="890" spans="2:4">
      <c r="B890" s="6" t="s">
        <v>376</v>
      </c>
      <c r="C890" s="6" t="s">
        <v>586</v>
      </c>
      <c r="D890" s="5">
        <v>44888</v>
      </c>
    </row>
    <row r="891" spans="2:4">
      <c r="B891" s="6" t="s">
        <v>423</v>
      </c>
      <c r="C891" s="6" t="s">
        <v>173</v>
      </c>
      <c r="D891" s="5">
        <v>44888</v>
      </c>
    </row>
    <row r="892" spans="2:4">
      <c r="B892" s="6" t="s">
        <v>71</v>
      </c>
      <c r="C892" s="6" t="s">
        <v>394</v>
      </c>
      <c r="D892" s="5">
        <v>44888</v>
      </c>
    </row>
    <row r="893" spans="2:4">
      <c r="B893" s="6" t="s">
        <v>424</v>
      </c>
      <c r="C893" s="6" t="s">
        <v>490</v>
      </c>
      <c r="D893" s="5">
        <v>44888</v>
      </c>
    </row>
    <row r="894" spans="2:4">
      <c r="B894" s="6" t="s">
        <v>451</v>
      </c>
      <c r="C894" s="6" t="s">
        <v>451</v>
      </c>
      <c r="D894" s="5">
        <v>44888</v>
      </c>
    </row>
    <row r="895" spans="2:4">
      <c r="B895" s="6" t="s">
        <v>75</v>
      </c>
      <c r="C895" s="6" t="s">
        <v>165</v>
      </c>
      <c r="D895" s="5">
        <v>44888</v>
      </c>
    </row>
    <row r="896" spans="2:4">
      <c r="B896" s="6" t="s">
        <v>451</v>
      </c>
      <c r="C896" s="6" t="s">
        <v>451</v>
      </c>
      <c r="D896" s="5">
        <v>44888</v>
      </c>
    </row>
    <row r="897" spans="2:4">
      <c r="B897" s="6" t="s">
        <v>41</v>
      </c>
      <c r="C897" s="6" t="s">
        <v>360</v>
      </c>
      <c r="D897" s="5">
        <v>44888</v>
      </c>
    </row>
    <row r="898" spans="2:4">
      <c r="B898" s="6" t="s">
        <v>185</v>
      </c>
      <c r="C898" s="6" t="s">
        <v>398</v>
      </c>
      <c r="D898" s="5">
        <v>44888</v>
      </c>
    </row>
    <row r="899" spans="2:4">
      <c r="B899" s="6" t="s">
        <v>451</v>
      </c>
      <c r="C899" s="6" t="s">
        <v>451</v>
      </c>
      <c r="D899" s="5">
        <v>44889</v>
      </c>
    </row>
    <row r="900" spans="2:4">
      <c r="B900" s="6" t="s">
        <v>130</v>
      </c>
      <c r="C900" s="6" t="s">
        <v>45</v>
      </c>
      <c r="D900" s="5">
        <v>44889</v>
      </c>
    </row>
    <row r="901" spans="2:4">
      <c r="B901" s="6" t="s">
        <v>451</v>
      </c>
      <c r="C901" s="6" t="s">
        <v>451</v>
      </c>
      <c r="D901" s="5">
        <v>44889</v>
      </c>
    </row>
    <row r="902" spans="2:4">
      <c r="B902" s="6" t="s">
        <v>272</v>
      </c>
      <c r="C902" s="6" t="s">
        <v>230</v>
      </c>
      <c r="D902" s="5">
        <v>44889</v>
      </c>
    </row>
    <row r="903" spans="2:4">
      <c r="B903" s="6" t="s">
        <v>161</v>
      </c>
      <c r="C903" s="6" t="s">
        <v>251</v>
      </c>
      <c r="D903" s="5">
        <v>44889</v>
      </c>
    </row>
    <row r="904" spans="2:4">
      <c r="B904" s="6" t="s">
        <v>451</v>
      </c>
      <c r="C904" s="6" t="s">
        <v>451</v>
      </c>
      <c r="D904" s="5">
        <v>44889</v>
      </c>
    </row>
    <row r="905" spans="2:4">
      <c r="B905" s="6" t="s">
        <v>93</v>
      </c>
      <c r="C905" s="6" t="s">
        <v>88</v>
      </c>
      <c r="D905" s="5">
        <v>44889</v>
      </c>
    </row>
    <row r="906" spans="2:4">
      <c r="B906" s="6" t="s">
        <v>97</v>
      </c>
      <c r="C906" s="6" t="s">
        <v>148</v>
      </c>
      <c r="D906" s="5">
        <v>44889</v>
      </c>
    </row>
    <row r="907" spans="2:4">
      <c r="B907" s="6" t="s">
        <v>76</v>
      </c>
      <c r="C907" s="6" t="s">
        <v>44</v>
      </c>
      <c r="D907" s="5">
        <v>44889</v>
      </c>
    </row>
    <row r="908" spans="2:4">
      <c r="B908" s="6" t="s">
        <v>282</v>
      </c>
      <c r="C908" s="6" t="s">
        <v>151</v>
      </c>
      <c r="D908" s="5">
        <v>44889</v>
      </c>
    </row>
    <row r="909" spans="2:4">
      <c r="B909" s="6" t="s">
        <v>134</v>
      </c>
      <c r="C909" s="6" t="s">
        <v>172</v>
      </c>
      <c r="D909" s="5">
        <v>44889</v>
      </c>
    </row>
    <row r="910" spans="2:4">
      <c r="B910" s="6" t="s">
        <v>35</v>
      </c>
      <c r="C910" s="6" t="s">
        <v>31</v>
      </c>
      <c r="D910" s="5">
        <v>44889</v>
      </c>
    </row>
    <row r="911" spans="2:4">
      <c r="B911" s="6" t="s">
        <v>451</v>
      </c>
      <c r="C911" s="6" t="s">
        <v>451</v>
      </c>
      <c r="D911" s="5">
        <v>44889</v>
      </c>
    </row>
    <row r="912" spans="2:4">
      <c r="B912" s="6" t="s">
        <v>67</v>
      </c>
      <c r="C912" s="6" t="s">
        <v>29</v>
      </c>
      <c r="D912" s="5">
        <v>44889</v>
      </c>
    </row>
    <row r="913" spans="2:4">
      <c r="B913" s="6" t="s">
        <v>39</v>
      </c>
      <c r="C913" s="6" t="s">
        <v>79</v>
      </c>
      <c r="D913" s="5">
        <v>44889</v>
      </c>
    </row>
    <row r="914" spans="2:4">
      <c r="B914" s="6" t="s">
        <v>36</v>
      </c>
      <c r="C914" s="6" t="s">
        <v>144</v>
      </c>
      <c r="D914" s="5">
        <v>44889</v>
      </c>
    </row>
    <row r="915" spans="2:4">
      <c r="B915" s="6" t="s">
        <v>69</v>
      </c>
      <c r="C915" s="6" t="s">
        <v>245</v>
      </c>
      <c r="D915" s="5">
        <v>44889</v>
      </c>
    </row>
    <row r="916" spans="2:4">
      <c r="B916" s="6" t="s">
        <v>451</v>
      </c>
      <c r="C916" s="6" t="s">
        <v>451</v>
      </c>
      <c r="D916" s="5">
        <v>44889</v>
      </c>
    </row>
    <row r="917" spans="2:4">
      <c r="B917" s="6" t="s">
        <v>32</v>
      </c>
      <c r="C917" s="6" t="s">
        <v>58</v>
      </c>
      <c r="D917" s="5">
        <v>44889</v>
      </c>
    </row>
    <row r="918" spans="2:4">
      <c r="B918" s="6" t="s">
        <v>55</v>
      </c>
      <c r="C918" s="6" t="s">
        <v>82</v>
      </c>
      <c r="D918" s="5">
        <v>44889</v>
      </c>
    </row>
    <row r="919" spans="2:4">
      <c r="B919" s="6" t="s">
        <v>132</v>
      </c>
      <c r="C919" s="6" t="s">
        <v>402</v>
      </c>
      <c r="D919" s="5">
        <v>44890</v>
      </c>
    </row>
    <row r="920" spans="2:4">
      <c r="B920" s="6" t="s">
        <v>451</v>
      </c>
      <c r="C920" s="6" t="s">
        <v>451</v>
      </c>
      <c r="D920" s="5">
        <v>44890</v>
      </c>
    </row>
    <row r="921" spans="2:4">
      <c r="B921" s="6" t="s">
        <v>150</v>
      </c>
      <c r="C921" s="6" t="s">
        <v>378</v>
      </c>
      <c r="D921" s="5">
        <v>44890</v>
      </c>
    </row>
    <row r="922" spans="2:4">
      <c r="B922" s="6" t="s">
        <v>409</v>
      </c>
      <c r="C922" s="6" t="s">
        <v>497</v>
      </c>
      <c r="D922" s="5">
        <v>44890</v>
      </c>
    </row>
    <row r="923" spans="2:4">
      <c r="B923" s="6" t="s">
        <v>451</v>
      </c>
      <c r="C923" s="6" t="s">
        <v>451</v>
      </c>
      <c r="D923" s="5">
        <v>44890</v>
      </c>
    </row>
    <row r="924" spans="2:4">
      <c r="B924" s="6" t="s">
        <v>580</v>
      </c>
      <c r="C924" s="6" t="s">
        <v>181</v>
      </c>
      <c r="D924" s="5">
        <v>44890</v>
      </c>
    </row>
    <row r="925" spans="2:4">
      <c r="B925" s="6" t="s">
        <v>395</v>
      </c>
      <c r="C925" s="6" t="s">
        <v>237</v>
      </c>
      <c r="D925" s="5">
        <v>44890</v>
      </c>
    </row>
    <row r="926" spans="2:4">
      <c r="B926" s="6" t="s">
        <v>109</v>
      </c>
      <c r="C926" s="6" t="s">
        <v>205</v>
      </c>
      <c r="D926" s="5">
        <v>44890</v>
      </c>
    </row>
    <row r="927" spans="2:4">
      <c r="B927" s="6" t="s">
        <v>62</v>
      </c>
      <c r="C927" s="6" t="s">
        <v>364</v>
      </c>
      <c r="D927" s="5">
        <v>44890</v>
      </c>
    </row>
    <row r="928" spans="2:4">
      <c r="B928" s="6" t="s">
        <v>586</v>
      </c>
      <c r="C928" s="6" t="s">
        <v>156</v>
      </c>
      <c r="D928" s="5">
        <v>44890</v>
      </c>
    </row>
    <row r="929" spans="2:4">
      <c r="B929" s="6" t="s">
        <v>451</v>
      </c>
      <c r="C929" s="6" t="s">
        <v>451</v>
      </c>
      <c r="D929" s="5">
        <v>44890</v>
      </c>
    </row>
    <row r="930" spans="2:4">
      <c r="B930" s="6" t="s">
        <v>155</v>
      </c>
      <c r="C930" s="6" t="s">
        <v>91</v>
      </c>
      <c r="D930" s="5">
        <v>44890</v>
      </c>
    </row>
    <row r="931" spans="2:4">
      <c r="B931" s="6" t="s">
        <v>139</v>
      </c>
      <c r="C931" s="6" t="s">
        <v>385</v>
      </c>
      <c r="D931" s="5">
        <v>44890</v>
      </c>
    </row>
    <row r="932" spans="2:4">
      <c r="B932" s="6" t="s">
        <v>451</v>
      </c>
      <c r="C932" s="6" t="s">
        <v>451</v>
      </c>
      <c r="D932" s="5">
        <v>44890</v>
      </c>
    </row>
    <row r="933" spans="2:4">
      <c r="B933" s="6" t="s">
        <v>290</v>
      </c>
      <c r="C933" s="6" t="s">
        <v>216</v>
      </c>
      <c r="D933" s="5">
        <v>44890</v>
      </c>
    </row>
    <row r="934" spans="2:4">
      <c r="B934" s="6" t="s">
        <v>199</v>
      </c>
      <c r="C934" s="6" t="s">
        <v>404</v>
      </c>
      <c r="D934" s="5">
        <v>44890</v>
      </c>
    </row>
    <row r="935" spans="2:4">
      <c r="B935" s="6" t="s">
        <v>196</v>
      </c>
      <c r="C935" s="6" t="s">
        <v>607</v>
      </c>
      <c r="D935" s="5">
        <v>44890</v>
      </c>
    </row>
    <row r="936" spans="2:4">
      <c r="B936" s="6" t="s">
        <v>231</v>
      </c>
      <c r="C936" s="6" t="s">
        <v>587</v>
      </c>
      <c r="D936" s="5">
        <v>44890</v>
      </c>
    </row>
    <row r="937" spans="2:4">
      <c r="B937" s="6" t="s">
        <v>127</v>
      </c>
      <c r="C937" s="6" t="s">
        <v>329</v>
      </c>
      <c r="D937" s="5">
        <v>44890</v>
      </c>
    </row>
    <row r="938" spans="2:4">
      <c r="B938" s="6" t="s">
        <v>118</v>
      </c>
      <c r="C938" s="6" t="s">
        <v>176</v>
      </c>
      <c r="D938" s="5">
        <v>44890</v>
      </c>
    </row>
    <row r="939" spans="2:4">
      <c r="B939" s="6" t="s">
        <v>108</v>
      </c>
      <c r="C939" s="6" t="s">
        <v>350</v>
      </c>
      <c r="D939" s="5">
        <v>44890</v>
      </c>
    </row>
    <row r="940" spans="2:4">
      <c r="B940" s="6" t="s">
        <v>295</v>
      </c>
      <c r="C940" s="6" t="s">
        <v>351</v>
      </c>
      <c r="D940" s="5">
        <v>44890</v>
      </c>
    </row>
    <row r="941" spans="2:4">
      <c r="B941" s="6" t="s">
        <v>115</v>
      </c>
      <c r="C941" s="6" t="s">
        <v>125</v>
      </c>
      <c r="D941" s="5">
        <v>44890</v>
      </c>
    </row>
    <row r="942" spans="2:4">
      <c r="B942" s="6" t="s">
        <v>111</v>
      </c>
      <c r="C942" s="6" t="s">
        <v>639</v>
      </c>
      <c r="D942" s="5">
        <v>44890</v>
      </c>
    </row>
    <row r="943" spans="2:4">
      <c r="B943" s="6" t="s">
        <v>357</v>
      </c>
      <c r="C943" s="6" t="s">
        <v>333</v>
      </c>
      <c r="D943" s="5">
        <v>44890</v>
      </c>
    </row>
    <row r="944" spans="2:4">
      <c r="B944" s="6" t="s">
        <v>327</v>
      </c>
      <c r="C944" s="6" t="s">
        <v>320</v>
      </c>
      <c r="D944" s="5">
        <v>44890</v>
      </c>
    </row>
    <row r="945" spans="2:4">
      <c r="B945" s="6" t="s">
        <v>102</v>
      </c>
      <c r="C945" s="6" t="s">
        <v>373</v>
      </c>
      <c r="D945" s="5">
        <v>44890</v>
      </c>
    </row>
    <row r="946" spans="2:4">
      <c r="B946" s="6" t="s">
        <v>134</v>
      </c>
      <c r="C946" s="6" t="s">
        <v>151</v>
      </c>
      <c r="D946" s="5">
        <v>44890</v>
      </c>
    </row>
    <row r="947" spans="2:4">
      <c r="B947" s="6" t="s">
        <v>451</v>
      </c>
      <c r="C947" s="6" t="s">
        <v>451</v>
      </c>
      <c r="D947" s="5">
        <v>44890</v>
      </c>
    </row>
    <row r="948" spans="2:4">
      <c r="B948" s="6" t="s">
        <v>451</v>
      </c>
      <c r="C948" s="6" t="s">
        <v>451</v>
      </c>
      <c r="D948" s="5">
        <v>44890</v>
      </c>
    </row>
    <row r="949" spans="2:4">
      <c r="B949" s="6" t="s">
        <v>396</v>
      </c>
      <c r="C949" s="6" t="s">
        <v>248</v>
      </c>
      <c r="D949" s="5">
        <v>44890</v>
      </c>
    </row>
    <row r="950" spans="2:4">
      <c r="B950" s="6" t="s">
        <v>451</v>
      </c>
      <c r="C950" s="6" t="s">
        <v>451</v>
      </c>
      <c r="D950" s="5">
        <v>44890</v>
      </c>
    </row>
    <row r="951" spans="2:4">
      <c r="B951" s="6" t="s">
        <v>123</v>
      </c>
      <c r="C951" s="6" t="s">
        <v>112</v>
      </c>
      <c r="D951" s="5">
        <v>44890</v>
      </c>
    </row>
    <row r="952" spans="2:4">
      <c r="B952" s="6" t="s">
        <v>172</v>
      </c>
      <c r="C952" s="6" t="s">
        <v>282</v>
      </c>
      <c r="D952" s="5">
        <v>44890</v>
      </c>
    </row>
    <row r="953" spans="2:4">
      <c r="B953" s="6" t="s">
        <v>78</v>
      </c>
      <c r="C953" s="6" t="s">
        <v>422</v>
      </c>
      <c r="D953" s="5">
        <v>44890</v>
      </c>
    </row>
    <row r="954" spans="2:4">
      <c r="B954" s="6" t="s">
        <v>376</v>
      </c>
      <c r="C954" s="6" t="s">
        <v>640</v>
      </c>
      <c r="D954" s="5">
        <v>44890</v>
      </c>
    </row>
    <row r="955" spans="2:4">
      <c r="B955" s="6" t="s">
        <v>56</v>
      </c>
      <c r="C955" s="6" t="s">
        <v>116</v>
      </c>
      <c r="D955" s="5">
        <v>44890</v>
      </c>
    </row>
    <row r="956" spans="2:4">
      <c r="B956" s="6" t="s">
        <v>90</v>
      </c>
      <c r="C956" s="6" t="s">
        <v>273</v>
      </c>
      <c r="D956" s="5">
        <v>44890</v>
      </c>
    </row>
    <row r="957" spans="2:4">
      <c r="B957" s="6" t="s">
        <v>46</v>
      </c>
      <c r="C957" s="6" t="s">
        <v>252</v>
      </c>
      <c r="D957" s="5">
        <v>44890</v>
      </c>
    </row>
    <row r="958" spans="2:4">
      <c r="B958" s="6" t="s">
        <v>391</v>
      </c>
      <c r="C958" s="6" t="s">
        <v>267</v>
      </c>
      <c r="D958" s="5">
        <v>44890</v>
      </c>
    </row>
    <row r="959" spans="2:4">
      <c r="B959" s="6" t="s">
        <v>419</v>
      </c>
      <c r="C959" s="6" t="s">
        <v>122</v>
      </c>
      <c r="D959" s="5">
        <v>44890</v>
      </c>
    </row>
    <row r="960" spans="2:4">
      <c r="B960" s="6" t="s">
        <v>393</v>
      </c>
      <c r="C960" s="6" t="s">
        <v>99</v>
      </c>
      <c r="D960" s="5">
        <v>44890</v>
      </c>
    </row>
    <row r="961" spans="2:4">
      <c r="B961" s="6" t="s">
        <v>451</v>
      </c>
      <c r="C961" s="6" t="s">
        <v>451</v>
      </c>
      <c r="D961" s="5">
        <v>44890</v>
      </c>
    </row>
    <row r="962" spans="2:4">
      <c r="B962" s="6" t="s">
        <v>451</v>
      </c>
      <c r="C962" s="6" t="s">
        <v>451</v>
      </c>
      <c r="D962" s="5">
        <v>44890</v>
      </c>
    </row>
    <row r="963" spans="2:4">
      <c r="B963" s="6" t="s">
        <v>433</v>
      </c>
      <c r="C963" s="6" t="s">
        <v>135</v>
      </c>
      <c r="D963" s="5">
        <v>44890</v>
      </c>
    </row>
    <row r="964" spans="2:4">
      <c r="B964" s="6" t="s">
        <v>188</v>
      </c>
      <c r="C964" s="6" t="s">
        <v>335</v>
      </c>
      <c r="D964" s="5">
        <v>44890</v>
      </c>
    </row>
    <row r="965" spans="2:4">
      <c r="B965" s="6" t="s">
        <v>189</v>
      </c>
      <c r="C965" s="6" t="s">
        <v>353</v>
      </c>
      <c r="D965" s="5">
        <v>44890</v>
      </c>
    </row>
    <row r="966" spans="2:4">
      <c r="B966" s="6" t="s">
        <v>213</v>
      </c>
      <c r="C966" s="6" t="s">
        <v>306</v>
      </c>
      <c r="D966" s="5">
        <v>44890</v>
      </c>
    </row>
    <row r="967" spans="2:4">
      <c r="B967" s="6" t="s">
        <v>319</v>
      </c>
      <c r="C967" s="6" t="s">
        <v>167</v>
      </c>
      <c r="D967" s="5">
        <v>44890</v>
      </c>
    </row>
    <row r="968" spans="2:4">
      <c r="B968" s="6" t="s">
        <v>242</v>
      </c>
      <c r="C968" s="6" t="s">
        <v>178</v>
      </c>
      <c r="D968" s="5">
        <v>44890</v>
      </c>
    </row>
    <row r="969" spans="2:4">
      <c r="B969" s="6" t="s">
        <v>66</v>
      </c>
      <c r="C969" s="6" t="s">
        <v>137</v>
      </c>
      <c r="D969" s="5">
        <v>44890</v>
      </c>
    </row>
    <row r="970" spans="2:4">
      <c r="B970" s="6" t="s">
        <v>49</v>
      </c>
      <c r="C970" s="6" t="s">
        <v>413</v>
      </c>
      <c r="D970" s="5">
        <v>44890</v>
      </c>
    </row>
    <row r="971" spans="2:4">
      <c r="B971" s="6" t="s">
        <v>51</v>
      </c>
      <c r="C971" s="6" t="s">
        <v>61</v>
      </c>
      <c r="D971" s="5">
        <v>44890</v>
      </c>
    </row>
    <row r="972" spans="2:4">
      <c r="B972" s="6" t="s">
        <v>451</v>
      </c>
      <c r="C972" s="6" t="s">
        <v>451</v>
      </c>
      <c r="D972" s="5">
        <v>44890</v>
      </c>
    </row>
    <row r="973" spans="2:4">
      <c r="B973" s="6" t="s">
        <v>308</v>
      </c>
      <c r="C973" s="6" t="s">
        <v>315</v>
      </c>
      <c r="D973" s="5">
        <v>44890</v>
      </c>
    </row>
    <row r="974" spans="2:4">
      <c r="B974" s="6" t="s">
        <v>322</v>
      </c>
      <c r="C974" s="6" t="s">
        <v>95</v>
      </c>
      <c r="D974" s="5">
        <v>44890</v>
      </c>
    </row>
    <row r="975" spans="2:4">
      <c r="B975" s="6" t="s">
        <v>367</v>
      </c>
      <c r="C975" s="6" t="s">
        <v>399</v>
      </c>
      <c r="D975" s="5">
        <v>44890</v>
      </c>
    </row>
    <row r="976" spans="2:4">
      <c r="B976" s="6" t="s">
        <v>451</v>
      </c>
      <c r="C976" s="6" t="s">
        <v>451</v>
      </c>
      <c r="D976" s="5">
        <v>44890</v>
      </c>
    </row>
    <row r="977" spans="2:4">
      <c r="B977" s="6" t="s">
        <v>420</v>
      </c>
      <c r="C977" s="6" t="s">
        <v>101</v>
      </c>
      <c r="D977" s="5">
        <v>44890</v>
      </c>
    </row>
    <row r="978" spans="2:4">
      <c r="B978" s="6" t="s">
        <v>52</v>
      </c>
      <c r="C978" s="6" t="s">
        <v>270</v>
      </c>
      <c r="D978" s="5">
        <v>44890</v>
      </c>
    </row>
    <row r="979" spans="2:4">
      <c r="B979" s="6" t="s">
        <v>428</v>
      </c>
      <c r="C979" s="6" t="s">
        <v>389</v>
      </c>
      <c r="D979" s="5">
        <v>44890</v>
      </c>
    </row>
    <row r="980" spans="2:4">
      <c r="B980" s="6" t="s">
        <v>368</v>
      </c>
      <c r="C980" s="6" t="s">
        <v>382</v>
      </c>
      <c r="D980" s="5">
        <v>44890</v>
      </c>
    </row>
    <row r="981" spans="2:4">
      <c r="B981" s="6" t="s">
        <v>60</v>
      </c>
      <c r="C981" s="6" t="s">
        <v>603</v>
      </c>
      <c r="D981" s="5">
        <v>44890</v>
      </c>
    </row>
    <row r="982" spans="2:4">
      <c r="B982" s="6" t="s">
        <v>412</v>
      </c>
      <c r="C982" s="6" t="s">
        <v>171</v>
      </c>
      <c r="D982" s="5">
        <v>44890</v>
      </c>
    </row>
    <row r="983" spans="2:4">
      <c r="B983" s="6" t="s">
        <v>427</v>
      </c>
      <c r="C983" s="6" t="s">
        <v>158</v>
      </c>
      <c r="D983" s="5">
        <v>44890</v>
      </c>
    </row>
    <row r="984" spans="2:4">
      <c r="B984" s="6" t="s">
        <v>451</v>
      </c>
      <c r="C984" s="6" t="s">
        <v>451</v>
      </c>
      <c r="D984" s="5">
        <v>44890</v>
      </c>
    </row>
    <row r="985" spans="2:4">
      <c r="B985" s="6" t="s">
        <v>34</v>
      </c>
      <c r="C985" s="6" t="s">
        <v>164</v>
      </c>
      <c r="D985" s="5">
        <v>44890</v>
      </c>
    </row>
    <row r="986" spans="2:4">
      <c r="B986" s="6" t="s">
        <v>375</v>
      </c>
      <c r="C986" s="6" t="s">
        <v>166</v>
      </c>
      <c r="D986" s="5">
        <v>44890</v>
      </c>
    </row>
    <row r="987" spans="2:4">
      <c r="B987" s="6" t="s">
        <v>426</v>
      </c>
      <c r="C987" s="6" t="s">
        <v>359</v>
      </c>
      <c r="D987" s="5">
        <v>44890</v>
      </c>
    </row>
    <row r="988" spans="2:4">
      <c r="B988" s="6" t="s">
        <v>451</v>
      </c>
      <c r="C988" s="6" t="s">
        <v>451</v>
      </c>
      <c r="D988" s="5">
        <v>44890</v>
      </c>
    </row>
    <row r="989" spans="2:4">
      <c r="B989" s="6" t="s">
        <v>451</v>
      </c>
      <c r="C989" s="6" t="s">
        <v>451</v>
      </c>
      <c r="D989" s="5">
        <v>44890</v>
      </c>
    </row>
    <row r="990" spans="2:4">
      <c r="B990" s="6" t="s">
        <v>451</v>
      </c>
      <c r="C990" s="6" t="s">
        <v>451</v>
      </c>
      <c r="D990" s="5">
        <v>44890</v>
      </c>
    </row>
    <row r="991" spans="2:4">
      <c r="B991" s="6" t="s">
        <v>451</v>
      </c>
      <c r="C991" s="6" t="s">
        <v>451</v>
      </c>
      <c r="D991" s="5">
        <v>44891</v>
      </c>
    </row>
    <row r="992" spans="2:4">
      <c r="B992" s="6" t="s">
        <v>451</v>
      </c>
      <c r="C992" s="6" t="s">
        <v>451</v>
      </c>
      <c r="D992" s="5">
        <v>44891</v>
      </c>
    </row>
    <row r="993" spans="2:4">
      <c r="B993" s="6" t="s">
        <v>212</v>
      </c>
      <c r="C993" s="6" t="s">
        <v>180</v>
      </c>
      <c r="D993" s="5">
        <v>44891</v>
      </c>
    </row>
    <row r="994" spans="2:4">
      <c r="B994" s="6" t="s">
        <v>373</v>
      </c>
      <c r="C994" s="6" t="s">
        <v>315</v>
      </c>
      <c r="D994" s="5">
        <v>44891</v>
      </c>
    </row>
    <row r="995" spans="2:4">
      <c r="B995" s="6" t="s">
        <v>193</v>
      </c>
      <c r="C995" s="6" t="s">
        <v>305</v>
      </c>
      <c r="D995" s="5">
        <v>44891</v>
      </c>
    </row>
    <row r="996" spans="2:4">
      <c r="B996" s="6" t="s">
        <v>451</v>
      </c>
      <c r="C996" s="6" t="s">
        <v>451</v>
      </c>
      <c r="D996" s="5">
        <v>44891</v>
      </c>
    </row>
    <row r="997" spans="2:4">
      <c r="B997" s="6" t="s">
        <v>451</v>
      </c>
      <c r="C997" s="6" t="s">
        <v>451</v>
      </c>
      <c r="D997" s="5">
        <v>44891</v>
      </c>
    </row>
    <row r="998" spans="2:4">
      <c r="B998" s="6" t="s">
        <v>451</v>
      </c>
      <c r="C998" s="6" t="s">
        <v>451</v>
      </c>
      <c r="D998" s="5">
        <v>44891</v>
      </c>
    </row>
    <row r="999" spans="2:4">
      <c r="B999" s="6" t="s">
        <v>451</v>
      </c>
      <c r="C999" s="6" t="s">
        <v>451</v>
      </c>
      <c r="D999" s="5">
        <v>44891</v>
      </c>
    </row>
    <row r="1000" spans="2:4">
      <c r="B1000" s="6" t="s">
        <v>220</v>
      </c>
      <c r="C1000" s="6" t="s">
        <v>233</v>
      </c>
      <c r="D1000" s="5">
        <v>44891</v>
      </c>
    </row>
    <row r="1001" spans="2:4">
      <c r="B1001" s="6" t="s">
        <v>451</v>
      </c>
      <c r="C1001" s="6" t="s">
        <v>451</v>
      </c>
      <c r="D1001" s="5">
        <v>44891</v>
      </c>
    </row>
    <row r="1002" spans="2:4">
      <c r="B1002" s="6" t="s">
        <v>385</v>
      </c>
      <c r="C1002" s="6" t="s">
        <v>409</v>
      </c>
      <c r="D1002" s="5">
        <v>44891</v>
      </c>
    </row>
    <row r="1003" spans="2:4">
      <c r="B1003" s="6" t="s">
        <v>414</v>
      </c>
      <c r="C1003" s="6" t="s">
        <v>397</v>
      </c>
      <c r="D1003" s="5">
        <v>44891</v>
      </c>
    </row>
    <row r="1004" spans="2:4">
      <c r="B1004" s="6" t="s">
        <v>451</v>
      </c>
      <c r="C1004" s="6" t="s">
        <v>451</v>
      </c>
      <c r="D1004" s="5">
        <v>44891</v>
      </c>
    </row>
    <row r="1005" spans="2:4">
      <c r="B1005" s="6" t="s">
        <v>41</v>
      </c>
      <c r="C1005" s="6" t="s">
        <v>301</v>
      </c>
      <c r="D1005" s="5">
        <v>44891</v>
      </c>
    </row>
    <row r="1006" spans="2:4">
      <c r="B1006" s="6" t="s">
        <v>87</v>
      </c>
      <c r="C1006" s="6" t="s">
        <v>584</v>
      </c>
      <c r="D1006" s="5">
        <v>44891</v>
      </c>
    </row>
    <row r="1007" spans="2:4">
      <c r="B1007" s="6" t="s">
        <v>53</v>
      </c>
      <c r="C1007" s="6" t="s">
        <v>179</v>
      </c>
      <c r="D1007" s="5">
        <v>44891</v>
      </c>
    </row>
    <row r="1008" spans="2:4">
      <c r="B1008" s="6" t="s">
        <v>215</v>
      </c>
      <c r="C1008" s="6" t="s">
        <v>421</v>
      </c>
      <c r="D1008" s="5">
        <v>44891</v>
      </c>
    </row>
    <row r="1009" spans="2:4">
      <c r="B1009" s="6" t="s">
        <v>289</v>
      </c>
      <c r="C1009" s="6" t="s">
        <v>641</v>
      </c>
      <c r="D1009" s="5">
        <v>44891</v>
      </c>
    </row>
    <row r="1010" spans="2:4">
      <c r="B1010" s="6" t="s">
        <v>195</v>
      </c>
      <c r="C1010" s="6" t="s">
        <v>449</v>
      </c>
      <c r="D1010" s="5">
        <v>44891</v>
      </c>
    </row>
    <row r="1011" spans="2:4">
      <c r="B1011" s="6" t="s">
        <v>209</v>
      </c>
      <c r="C1011" s="6" t="s">
        <v>240</v>
      </c>
      <c r="D1011" s="5">
        <v>44891</v>
      </c>
    </row>
    <row r="1012" spans="2:4">
      <c r="B1012" s="6" t="s">
        <v>261</v>
      </c>
      <c r="C1012" s="6" t="s">
        <v>407</v>
      </c>
      <c r="D1012" s="5">
        <v>44891</v>
      </c>
    </row>
    <row r="1013" spans="2:4">
      <c r="B1013" s="6" t="s">
        <v>451</v>
      </c>
      <c r="C1013" s="6" t="s">
        <v>451</v>
      </c>
      <c r="D1013" s="5">
        <v>44891</v>
      </c>
    </row>
    <row r="1014" spans="2:4">
      <c r="B1014" s="6" t="s">
        <v>318</v>
      </c>
      <c r="C1014" s="6" t="s">
        <v>400</v>
      </c>
      <c r="D1014" s="5">
        <v>44891</v>
      </c>
    </row>
    <row r="1015" spans="2:4">
      <c r="B1015" s="6" t="s">
        <v>113</v>
      </c>
      <c r="C1015" s="6" t="s">
        <v>361</v>
      </c>
      <c r="D1015" s="5">
        <v>44891</v>
      </c>
    </row>
    <row r="1016" spans="2:4">
      <c r="B1016" s="6" t="s">
        <v>278</v>
      </c>
      <c r="C1016" s="6" t="s">
        <v>321</v>
      </c>
      <c r="D1016" s="5">
        <v>44891</v>
      </c>
    </row>
    <row r="1017" spans="2:4">
      <c r="B1017" s="6" t="s">
        <v>267</v>
      </c>
      <c r="C1017" s="6" t="s">
        <v>178</v>
      </c>
      <c r="D1017" s="5">
        <v>44891</v>
      </c>
    </row>
    <row r="1018" spans="2:4">
      <c r="B1018" s="6" t="s">
        <v>297</v>
      </c>
      <c r="C1018" s="6" t="s">
        <v>287</v>
      </c>
      <c r="D1018" s="5">
        <v>44891</v>
      </c>
    </row>
    <row r="1019" spans="2:4">
      <c r="B1019" s="6" t="s">
        <v>183</v>
      </c>
      <c r="C1019" s="6" t="s">
        <v>317</v>
      </c>
      <c r="D1019" s="5">
        <v>44891</v>
      </c>
    </row>
    <row r="1020" spans="2:4">
      <c r="B1020" s="6" t="s">
        <v>294</v>
      </c>
      <c r="C1020" s="6" t="s">
        <v>208</v>
      </c>
      <c r="D1020" s="5">
        <v>44891</v>
      </c>
    </row>
    <row r="1021" spans="2:4">
      <c r="B1021" s="6" t="s">
        <v>329</v>
      </c>
      <c r="C1021" s="6" t="s">
        <v>314</v>
      </c>
      <c r="D1021" s="5">
        <v>44891</v>
      </c>
    </row>
    <row r="1022" spans="2:4">
      <c r="B1022" s="6" t="s">
        <v>122</v>
      </c>
      <c r="C1022" s="6" t="s">
        <v>118</v>
      </c>
      <c r="D1022" s="5">
        <v>44891</v>
      </c>
    </row>
    <row r="1023" spans="2:4">
      <c r="B1023" s="6" t="s">
        <v>210</v>
      </c>
      <c r="C1023" s="6" t="s">
        <v>126</v>
      </c>
      <c r="D1023" s="5">
        <v>44891</v>
      </c>
    </row>
    <row r="1024" spans="2:4">
      <c r="B1024" s="6" t="s">
        <v>337</v>
      </c>
      <c r="C1024" s="6" t="s">
        <v>253</v>
      </c>
      <c r="D1024" s="5">
        <v>44891</v>
      </c>
    </row>
    <row r="1025" spans="2:4">
      <c r="B1025" s="6" t="s">
        <v>288</v>
      </c>
      <c r="C1025" s="6" t="s">
        <v>615</v>
      </c>
      <c r="D1025" s="5">
        <v>44891</v>
      </c>
    </row>
    <row r="1026" spans="2:4">
      <c r="B1026" s="6" t="s">
        <v>281</v>
      </c>
      <c r="C1026" s="6" t="s">
        <v>610</v>
      </c>
      <c r="D1026" s="5">
        <v>44891</v>
      </c>
    </row>
    <row r="1027" spans="2:4">
      <c r="B1027" s="6" t="s">
        <v>302</v>
      </c>
      <c r="C1027" s="6" t="s">
        <v>204</v>
      </c>
      <c r="D1027" s="5">
        <v>44891</v>
      </c>
    </row>
    <row r="1028" spans="2:4">
      <c r="B1028" s="6" t="s">
        <v>306</v>
      </c>
      <c r="C1028" s="6" t="s">
        <v>123</v>
      </c>
      <c r="D1028" s="5">
        <v>44891</v>
      </c>
    </row>
    <row r="1029" spans="2:4">
      <c r="B1029" s="6" t="s">
        <v>451</v>
      </c>
      <c r="C1029" s="6" t="s">
        <v>451</v>
      </c>
      <c r="D1029" s="5">
        <v>44891</v>
      </c>
    </row>
    <row r="1030" spans="2:4">
      <c r="B1030" s="6" t="s">
        <v>330</v>
      </c>
      <c r="C1030" s="6" t="s">
        <v>418</v>
      </c>
      <c r="D1030" s="5">
        <v>44891</v>
      </c>
    </row>
    <row r="1031" spans="2:4">
      <c r="B1031" s="6" t="s">
        <v>607</v>
      </c>
      <c r="C1031" s="6" t="s">
        <v>621</v>
      </c>
      <c r="D1031" s="5">
        <v>44891</v>
      </c>
    </row>
    <row r="1032" spans="2:4">
      <c r="B1032" s="6" t="s">
        <v>64</v>
      </c>
      <c r="C1032" s="6" t="s">
        <v>246</v>
      </c>
      <c r="D1032" s="5">
        <v>44891</v>
      </c>
    </row>
    <row r="1033" spans="2:4">
      <c r="B1033" s="6" t="s">
        <v>30</v>
      </c>
      <c r="C1033" s="6" t="s">
        <v>344</v>
      </c>
      <c r="D1033" s="5">
        <v>44891</v>
      </c>
    </row>
    <row r="1034" spans="2:4">
      <c r="B1034" s="6" t="s">
        <v>147</v>
      </c>
      <c r="C1034" s="6" t="s">
        <v>96</v>
      </c>
      <c r="D1034" s="5">
        <v>44891</v>
      </c>
    </row>
    <row r="1035" spans="2:4">
      <c r="B1035" s="6" t="s">
        <v>277</v>
      </c>
      <c r="C1035" s="6" t="s">
        <v>425</v>
      </c>
      <c r="D1035" s="5">
        <v>44891</v>
      </c>
    </row>
    <row r="1036" spans="2:4">
      <c r="B1036" s="6" t="s">
        <v>352</v>
      </c>
      <c r="C1036" s="6" t="s">
        <v>388</v>
      </c>
      <c r="D1036" s="5">
        <v>44891</v>
      </c>
    </row>
    <row r="1037" spans="2:4">
      <c r="B1037" s="6" t="s">
        <v>313</v>
      </c>
      <c r="C1037" s="6" t="s">
        <v>276</v>
      </c>
      <c r="D1037" s="5">
        <v>44891</v>
      </c>
    </row>
    <row r="1038" spans="2:4">
      <c r="B1038" s="6" t="s">
        <v>162</v>
      </c>
      <c r="C1038" s="6" t="s">
        <v>383</v>
      </c>
      <c r="D1038" s="5">
        <v>44891</v>
      </c>
    </row>
    <row r="1039" spans="2:4">
      <c r="B1039" s="6" t="s">
        <v>119</v>
      </c>
      <c r="C1039" s="6" t="s">
        <v>175</v>
      </c>
      <c r="D1039" s="5">
        <v>44891</v>
      </c>
    </row>
    <row r="1040" spans="2:4">
      <c r="B1040" s="6" t="s">
        <v>153</v>
      </c>
      <c r="C1040" s="6" t="s">
        <v>232</v>
      </c>
      <c r="D1040" s="5">
        <v>44891</v>
      </c>
    </row>
    <row r="1041" spans="2:4">
      <c r="B1041" s="6" t="s">
        <v>121</v>
      </c>
      <c r="C1041" s="6" t="s">
        <v>356</v>
      </c>
      <c r="D1041" s="5">
        <v>44891</v>
      </c>
    </row>
    <row r="1042" spans="2:4">
      <c r="B1042" s="6" t="s">
        <v>386</v>
      </c>
      <c r="C1042" s="6" t="s">
        <v>303</v>
      </c>
      <c r="D1042" s="5">
        <v>44891</v>
      </c>
    </row>
    <row r="1043" spans="2:4">
      <c r="B1043" s="6" t="s">
        <v>182</v>
      </c>
      <c r="C1043" s="6" t="s">
        <v>192</v>
      </c>
      <c r="D1043" s="5">
        <v>44891</v>
      </c>
    </row>
    <row r="1044" spans="2:4">
      <c r="B1044" s="6" t="s">
        <v>451</v>
      </c>
      <c r="C1044" s="6" t="s">
        <v>451</v>
      </c>
      <c r="D1044" s="5">
        <v>44891</v>
      </c>
    </row>
    <row r="1045" spans="2:4">
      <c r="B1045" s="6" t="s">
        <v>40</v>
      </c>
      <c r="C1045" s="6" t="s">
        <v>138</v>
      </c>
      <c r="D1045" s="5">
        <v>44891</v>
      </c>
    </row>
    <row r="1046" spans="2:4">
      <c r="B1046" s="6" t="s">
        <v>50</v>
      </c>
      <c r="C1046" s="6" t="s">
        <v>173</v>
      </c>
      <c r="D1046" s="5">
        <v>44891</v>
      </c>
    </row>
    <row r="1047" spans="2:4">
      <c r="B1047" s="6" t="s">
        <v>242</v>
      </c>
      <c r="C1047" s="6" t="s">
        <v>290</v>
      </c>
      <c r="D1047" s="5">
        <v>44891</v>
      </c>
    </row>
    <row r="1048" spans="2:4">
      <c r="B1048" s="6" t="s">
        <v>419</v>
      </c>
      <c r="C1048" s="6" t="s">
        <v>176</v>
      </c>
      <c r="D1048" s="5">
        <v>44891</v>
      </c>
    </row>
    <row r="1049" spans="2:4">
      <c r="B1049" s="6" t="s">
        <v>213</v>
      </c>
      <c r="C1049" s="6" t="s">
        <v>412</v>
      </c>
      <c r="D1049" s="5">
        <v>44891</v>
      </c>
    </row>
    <row r="1050" spans="2:4">
      <c r="B1050" s="6" t="s">
        <v>358</v>
      </c>
      <c r="C1050" s="6" t="s">
        <v>141</v>
      </c>
      <c r="D1050" s="5">
        <v>44891</v>
      </c>
    </row>
    <row r="1051" spans="2:4">
      <c r="B1051" s="6" t="s">
        <v>201</v>
      </c>
      <c r="C1051" s="6" t="s">
        <v>264</v>
      </c>
      <c r="D1051" s="5">
        <v>44891</v>
      </c>
    </row>
    <row r="1052" spans="2:4">
      <c r="B1052" s="6" t="s">
        <v>451</v>
      </c>
      <c r="C1052" s="6" t="s">
        <v>451</v>
      </c>
      <c r="D1052" s="5">
        <v>44891</v>
      </c>
    </row>
    <row r="1053" spans="2:4">
      <c r="B1053" s="6" t="s">
        <v>363</v>
      </c>
      <c r="C1053" s="6" t="s">
        <v>365</v>
      </c>
      <c r="D1053" s="5">
        <v>44891</v>
      </c>
    </row>
    <row r="1054" spans="2:4">
      <c r="B1054" s="6" t="s">
        <v>355</v>
      </c>
      <c r="C1054" s="6" t="s">
        <v>343</v>
      </c>
      <c r="D1054" s="5">
        <v>44891</v>
      </c>
    </row>
    <row r="1055" spans="2:4">
      <c r="B1055" s="6" t="s">
        <v>451</v>
      </c>
      <c r="C1055" s="6" t="s">
        <v>451</v>
      </c>
      <c r="D1055" s="5">
        <v>44891</v>
      </c>
    </row>
    <row r="1056" spans="2:4">
      <c r="B1056" s="6" t="s">
        <v>216</v>
      </c>
      <c r="C1056" s="6" t="s">
        <v>391</v>
      </c>
      <c r="D1056" s="5">
        <v>44891</v>
      </c>
    </row>
    <row r="1057" spans="2:4">
      <c r="B1057" s="6" t="s">
        <v>324</v>
      </c>
      <c r="C1057" s="6" t="s">
        <v>280</v>
      </c>
      <c r="D1057" s="5">
        <v>44891</v>
      </c>
    </row>
    <row r="1058" spans="2:4">
      <c r="B1058" s="6" t="s">
        <v>104</v>
      </c>
      <c r="C1058" s="6" t="s">
        <v>312</v>
      </c>
      <c r="D1058" s="5">
        <v>44891</v>
      </c>
    </row>
    <row r="1059" spans="2:4">
      <c r="B1059" s="6" t="s">
        <v>268</v>
      </c>
      <c r="C1059" s="6" t="s">
        <v>474</v>
      </c>
      <c r="D1059" s="5">
        <v>44891</v>
      </c>
    </row>
    <row r="1060" spans="2:4">
      <c r="B1060" s="6" t="s">
        <v>338</v>
      </c>
      <c r="C1060" s="6" t="s">
        <v>360</v>
      </c>
      <c r="D1060" s="5">
        <v>44891</v>
      </c>
    </row>
    <row r="1061" spans="2:4">
      <c r="B1061" s="6" t="s">
        <v>136</v>
      </c>
      <c r="C1061" s="6" t="s">
        <v>275</v>
      </c>
      <c r="D1061" s="5">
        <v>44891</v>
      </c>
    </row>
    <row r="1062" spans="2:4">
      <c r="B1062" s="6" t="s">
        <v>189</v>
      </c>
      <c r="C1062" s="6" t="s">
        <v>359</v>
      </c>
      <c r="D1062" s="5">
        <v>44891</v>
      </c>
    </row>
    <row r="1063" spans="2:4">
      <c r="B1063" s="6" t="s">
        <v>451</v>
      </c>
      <c r="C1063" s="6" t="s">
        <v>451</v>
      </c>
      <c r="D1063" s="5">
        <v>44891</v>
      </c>
    </row>
    <row r="1064" spans="2:4">
      <c r="B1064" s="6" t="s">
        <v>47</v>
      </c>
      <c r="C1064" s="6" t="s">
        <v>106</v>
      </c>
      <c r="D1064" s="5">
        <v>44891</v>
      </c>
    </row>
    <row r="1065" spans="2:4">
      <c r="B1065" s="6" t="s">
        <v>171</v>
      </c>
      <c r="C1065" s="6" t="s">
        <v>112</v>
      </c>
      <c r="D1065" s="5">
        <v>44891</v>
      </c>
    </row>
    <row r="1066" spans="2:4">
      <c r="B1066" s="6" t="s">
        <v>331</v>
      </c>
      <c r="C1066" s="6" t="s">
        <v>370</v>
      </c>
      <c r="D1066" s="5">
        <v>44891</v>
      </c>
    </row>
    <row r="1067" spans="2:4">
      <c r="B1067" s="6" t="s">
        <v>159</v>
      </c>
      <c r="C1067" s="6" t="s">
        <v>362</v>
      </c>
      <c r="D1067" s="5">
        <v>44891</v>
      </c>
    </row>
    <row r="1068" spans="2:4">
      <c r="B1068" s="6" t="s">
        <v>381</v>
      </c>
      <c r="C1068" s="6" t="s">
        <v>165</v>
      </c>
      <c r="D1068" s="5">
        <v>44891</v>
      </c>
    </row>
    <row r="1069" spans="2:4">
      <c r="B1069" s="6" t="s">
        <v>451</v>
      </c>
      <c r="C1069" s="6" t="s">
        <v>451</v>
      </c>
      <c r="D1069" s="5">
        <v>44891</v>
      </c>
    </row>
    <row r="1070" spans="2:4">
      <c r="B1070" s="6" t="s">
        <v>77</v>
      </c>
      <c r="C1070" s="6" t="s">
        <v>348</v>
      </c>
      <c r="D1070" s="5">
        <v>44891</v>
      </c>
    </row>
    <row r="1071" spans="2:4">
      <c r="B1071" s="6" t="s">
        <v>37</v>
      </c>
      <c r="C1071" s="6" t="s">
        <v>347</v>
      </c>
      <c r="D1071" s="5">
        <v>44891</v>
      </c>
    </row>
    <row r="1072" spans="2:4">
      <c r="B1072" s="6" t="s">
        <v>451</v>
      </c>
      <c r="C1072" s="6" t="s">
        <v>451</v>
      </c>
      <c r="D1072" s="5">
        <v>44891</v>
      </c>
    </row>
    <row r="1073" spans="2:4">
      <c r="B1073" s="6" t="s">
        <v>426</v>
      </c>
      <c r="C1073" s="6" t="s">
        <v>353</v>
      </c>
      <c r="D1073" s="5">
        <v>44891</v>
      </c>
    </row>
    <row r="1074" spans="2:4">
      <c r="B1074" s="6" t="s">
        <v>163</v>
      </c>
      <c r="C1074" s="6" t="s">
        <v>446</v>
      </c>
      <c r="D1074" s="5">
        <v>44891</v>
      </c>
    </row>
    <row r="1075" spans="2:4">
      <c r="B1075" s="6" t="s">
        <v>160</v>
      </c>
      <c r="C1075" s="6" t="s">
        <v>285</v>
      </c>
      <c r="D1075" s="5">
        <v>44891</v>
      </c>
    </row>
    <row r="1076" spans="2:4">
      <c r="B1076" s="6" t="s">
        <v>382</v>
      </c>
      <c r="C1076" s="6" t="s">
        <v>295</v>
      </c>
      <c r="D1076" s="5">
        <v>44892</v>
      </c>
    </row>
    <row r="1077" spans="2:4">
      <c r="B1077" s="6" t="s">
        <v>451</v>
      </c>
      <c r="C1077" s="6" t="s">
        <v>451</v>
      </c>
      <c r="D1077" s="5">
        <v>44892</v>
      </c>
    </row>
    <row r="1078" spans="2:4">
      <c r="B1078" s="6" t="s">
        <v>451</v>
      </c>
      <c r="C1078" s="6" t="s">
        <v>451</v>
      </c>
      <c r="D1078" s="5">
        <v>44892</v>
      </c>
    </row>
    <row r="1079" spans="2:4">
      <c r="B1079" s="6" t="s">
        <v>451</v>
      </c>
      <c r="C1079" s="6" t="s">
        <v>451</v>
      </c>
      <c r="D1079" s="5">
        <v>44892</v>
      </c>
    </row>
    <row r="1080" spans="2:4">
      <c r="B1080" s="6" t="s">
        <v>451</v>
      </c>
      <c r="C1080" s="6" t="s">
        <v>451</v>
      </c>
      <c r="D1080" s="5">
        <v>44892</v>
      </c>
    </row>
    <row r="1081" spans="2:4">
      <c r="B1081" s="6" t="s">
        <v>451</v>
      </c>
      <c r="C1081" s="6" t="s">
        <v>451</v>
      </c>
      <c r="D1081" s="5">
        <v>44892</v>
      </c>
    </row>
    <row r="1082" spans="2:4">
      <c r="B1082" s="6" t="s">
        <v>267</v>
      </c>
      <c r="C1082" s="6" t="s">
        <v>290</v>
      </c>
      <c r="D1082" s="5">
        <v>44892</v>
      </c>
    </row>
    <row r="1083" spans="2:4">
      <c r="B1083" s="6" t="s">
        <v>451</v>
      </c>
      <c r="C1083" s="6" t="s">
        <v>451</v>
      </c>
      <c r="D1083" s="5">
        <v>44892</v>
      </c>
    </row>
    <row r="1084" spans="2:4">
      <c r="B1084" s="6" t="s">
        <v>139</v>
      </c>
      <c r="C1084" s="6" t="s">
        <v>409</v>
      </c>
      <c r="D1084" s="5">
        <v>44892</v>
      </c>
    </row>
    <row r="1085" spans="2:4">
      <c r="B1085" s="6" t="s">
        <v>451</v>
      </c>
      <c r="C1085" s="6" t="s">
        <v>451</v>
      </c>
      <c r="D1085" s="5">
        <v>44892</v>
      </c>
    </row>
    <row r="1086" spans="2:4">
      <c r="B1086" s="6" t="s">
        <v>54</v>
      </c>
      <c r="C1086" s="6" t="s">
        <v>124</v>
      </c>
      <c r="D1086" s="5">
        <v>44892</v>
      </c>
    </row>
    <row r="1087" spans="2:4">
      <c r="B1087" s="6" t="s">
        <v>298</v>
      </c>
      <c r="C1087" s="6" t="s">
        <v>142</v>
      </c>
      <c r="D1087" s="5">
        <v>44892</v>
      </c>
    </row>
    <row r="1088" spans="2:4">
      <c r="B1088" s="6" t="s">
        <v>131</v>
      </c>
      <c r="C1088" s="6" t="s">
        <v>642</v>
      </c>
      <c r="D1088" s="5">
        <v>44892</v>
      </c>
    </row>
    <row r="1089" spans="2:4">
      <c r="B1089" s="6" t="s">
        <v>269</v>
      </c>
      <c r="C1089" s="6" t="s">
        <v>590</v>
      </c>
      <c r="D1089" s="5">
        <v>44892</v>
      </c>
    </row>
    <row r="1090" spans="2:4">
      <c r="B1090" s="6" t="s">
        <v>321</v>
      </c>
      <c r="C1090" s="6" t="s">
        <v>141</v>
      </c>
      <c r="D1090" s="5">
        <v>44892</v>
      </c>
    </row>
    <row r="1091" spans="2:4">
      <c r="B1091" s="6" t="s">
        <v>89</v>
      </c>
      <c r="C1091" s="6" t="s">
        <v>436</v>
      </c>
      <c r="D1091" s="5">
        <v>44892</v>
      </c>
    </row>
    <row r="1092" spans="2:4">
      <c r="B1092" s="6" t="s">
        <v>242</v>
      </c>
      <c r="C1092" s="6" t="s">
        <v>391</v>
      </c>
      <c r="D1092" s="5">
        <v>44892</v>
      </c>
    </row>
    <row r="1093" spans="2:4">
      <c r="B1093" s="6" t="s">
        <v>349</v>
      </c>
      <c r="C1093" s="6" t="s">
        <v>108</v>
      </c>
      <c r="D1093" s="5">
        <v>44892</v>
      </c>
    </row>
    <row r="1094" spans="2:4">
      <c r="B1094" s="6" t="s">
        <v>451</v>
      </c>
      <c r="C1094" s="6" t="s">
        <v>451</v>
      </c>
      <c r="D1094" s="5">
        <v>44892</v>
      </c>
    </row>
    <row r="1095" spans="2:4">
      <c r="B1095" s="6" t="s">
        <v>325</v>
      </c>
      <c r="C1095" s="6" t="s">
        <v>468</v>
      </c>
      <c r="D1095" s="5">
        <v>44892</v>
      </c>
    </row>
    <row r="1096" spans="2:4">
      <c r="B1096" s="6" t="s">
        <v>296</v>
      </c>
      <c r="C1096" s="6" t="s">
        <v>643</v>
      </c>
      <c r="D1096" s="5">
        <v>44892</v>
      </c>
    </row>
    <row r="1097" spans="2:4">
      <c r="B1097" s="6" t="s">
        <v>256</v>
      </c>
      <c r="C1097" s="6" t="s">
        <v>304</v>
      </c>
      <c r="D1097" s="5">
        <v>44892</v>
      </c>
    </row>
    <row r="1098" spans="2:4">
      <c r="B1098" s="6" t="s">
        <v>129</v>
      </c>
      <c r="C1098" s="6" t="s">
        <v>202</v>
      </c>
      <c r="D1098" s="5">
        <v>44892</v>
      </c>
    </row>
    <row r="1099" spans="2:4">
      <c r="B1099" s="6" t="s">
        <v>177</v>
      </c>
      <c r="C1099" s="6" t="s">
        <v>98</v>
      </c>
      <c r="D1099" s="5">
        <v>44892</v>
      </c>
    </row>
    <row r="1100" spans="2:4">
      <c r="B1100" s="6" t="s">
        <v>196</v>
      </c>
      <c r="C1100" s="6" t="s">
        <v>621</v>
      </c>
      <c r="D1100" s="5">
        <v>44892</v>
      </c>
    </row>
    <row r="1101" spans="2:4">
      <c r="B1101" s="6" t="s">
        <v>259</v>
      </c>
      <c r="C1101" s="6" t="s">
        <v>186</v>
      </c>
      <c r="D1101" s="5">
        <v>44892</v>
      </c>
    </row>
    <row r="1102" spans="2:4">
      <c r="B1102" s="6" t="s">
        <v>145</v>
      </c>
      <c r="C1102" s="6" t="s">
        <v>146</v>
      </c>
      <c r="D1102" s="5">
        <v>44892</v>
      </c>
    </row>
    <row r="1103" spans="2:4">
      <c r="B1103" s="6" t="s">
        <v>127</v>
      </c>
      <c r="C1103" s="6" t="s">
        <v>314</v>
      </c>
      <c r="D1103" s="5">
        <v>44892</v>
      </c>
    </row>
    <row r="1104" spans="2:4">
      <c r="B1104" s="6" t="s">
        <v>343</v>
      </c>
      <c r="C1104" s="6" t="s">
        <v>232</v>
      </c>
      <c r="D1104" s="5">
        <v>44892</v>
      </c>
    </row>
    <row r="1105" spans="2:4">
      <c r="B1105" s="6" t="s">
        <v>122</v>
      </c>
      <c r="C1105" s="6" t="s">
        <v>176</v>
      </c>
      <c r="D1105" s="5">
        <v>44892</v>
      </c>
    </row>
    <row r="1106" spans="2:4">
      <c r="B1106" s="6" t="s">
        <v>247</v>
      </c>
      <c r="C1106" s="6" t="s">
        <v>236</v>
      </c>
      <c r="D1106" s="5">
        <v>44892</v>
      </c>
    </row>
    <row r="1107" spans="2:4">
      <c r="B1107" s="6" t="s">
        <v>244</v>
      </c>
      <c r="C1107" s="6" t="s">
        <v>410</v>
      </c>
      <c r="D1107" s="5">
        <v>44892</v>
      </c>
    </row>
    <row r="1108" spans="2:4">
      <c r="B1108" s="6" t="s">
        <v>107</v>
      </c>
      <c r="C1108" s="6" t="s">
        <v>174</v>
      </c>
      <c r="D1108" s="5">
        <v>44892</v>
      </c>
    </row>
    <row r="1109" spans="2:4">
      <c r="B1109" s="6" t="s">
        <v>412</v>
      </c>
      <c r="C1109" s="6" t="s">
        <v>306</v>
      </c>
      <c r="D1109" s="5">
        <v>44892</v>
      </c>
    </row>
    <row r="1110" spans="2:4">
      <c r="B1110" s="6" t="s">
        <v>203</v>
      </c>
      <c r="C1110" s="6" t="s">
        <v>211</v>
      </c>
      <c r="D1110" s="5">
        <v>44892</v>
      </c>
    </row>
    <row r="1111" spans="2:4">
      <c r="B1111" s="6" t="s">
        <v>451</v>
      </c>
      <c r="C1111" s="6" t="s">
        <v>451</v>
      </c>
      <c r="D1111" s="5">
        <v>44892</v>
      </c>
    </row>
    <row r="1112" spans="2:4">
      <c r="B1112" s="6" t="s">
        <v>83</v>
      </c>
      <c r="C1112" s="6" t="s">
        <v>133</v>
      </c>
      <c r="D1112" s="5">
        <v>44892</v>
      </c>
    </row>
    <row r="1113" spans="2:4">
      <c r="B1113" s="6" t="s">
        <v>102</v>
      </c>
      <c r="C1113" s="6" t="s">
        <v>315</v>
      </c>
      <c r="D1113" s="5">
        <v>44892</v>
      </c>
    </row>
    <row r="1114" spans="2:4">
      <c r="B1114" s="6" t="s">
        <v>322</v>
      </c>
      <c r="C1114" s="6" t="s">
        <v>399</v>
      </c>
      <c r="D1114" s="5">
        <v>44892</v>
      </c>
    </row>
    <row r="1115" spans="2:4">
      <c r="B1115" s="6" t="s">
        <v>403</v>
      </c>
      <c r="C1115" s="6" t="s">
        <v>345</v>
      </c>
      <c r="D1115" s="5">
        <v>44892</v>
      </c>
    </row>
    <row r="1116" spans="2:4">
      <c r="B1116" s="6" t="s">
        <v>367</v>
      </c>
      <c r="C1116" s="6" t="s">
        <v>644</v>
      </c>
      <c r="D1116" s="5">
        <v>44892</v>
      </c>
    </row>
    <row r="1117" spans="2:4">
      <c r="B1117" s="6" t="s">
        <v>316</v>
      </c>
      <c r="C1117" s="6" t="s">
        <v>481</v>
      </c>
      <c r="D1117" s="5">
        <v>44892</v>
      </c>
    </row>
    <row r="1118" spans="2:4">
      <c r="B1118" s="6" t="s">
        <v>341</v>
      </c>
      <c r="C1118" s="6" t="s">
        <v>94</v>
      </c>
      <c r="D1118" s="5">
        <v>44892</v>
      </c>
    </row>
    <row r="1119" spans="2:4">
      <c r="B1119" s="6" t="s">
        <v>198</v>
      </c>
      <c r="C1119" s="6" t="s">
        <v>190</v>
      </c>
      <c r="D1119" s="5">
        <v>44892</v>
      </c>
    </row>
    <row r="1120" spans="2:4">
      <c r="B1120" s="6" t="s">
        <v>81</v>
      </c>
      <c r="C1120" s="6" t="s">
        <v>103</v>
      </c>
      <c r="D1120" s="5">
        <v>44892</v>
      </c>
    </row>
    <row r="1121" spans="2:4">
      <c r="B1121" s="6" t="s">
        <v>72</v>
      </c>
      <c r="C1121" s="6" t="s">
        <v>100</v>
      </c>
      <c r="D1121" s="5">
        <v>44892</v>
      </c>
    </row>
    <row r="1122" spans="2:4">
      <c r="B1122" s="6" t="s">
        <v>451</v>
      </c>
      <c r="C1122" s="6" t="s">
        <v>451</v>
      </c>
      <c r="D1122" s="5">
        <v>44892</v>
      </c>
    </row>
    <row r="1123" spans="2:4">
      <c r="B1123" s="6" t="s">
        <v>451</v>
      </c>
      <c r="C1123" s="6" t="s">
        <v>451</v>
      </c>
      <c r="D1123" s="5">
        <v>44892</v>
      </c>
    </row>
    <row r="1124" spans="2:4">
      <c r="B1124" s="6" t="s">
        <v>358</v>
      </c>
      <c r="C1124" s="6" t="s">
        <v>278</v>
      </c>
      <c r="D1124" s="5">
        <v>44892</v>
      </c>
    </row>
    <row r="1125" spans="2:4">
      <c r="B1125" s="6" t="s">
        <v>216</v>
      </c>
      <c r="C1125" s="6" t="s">
        <v>178</v>
      </c>
      <c r="D1125" s="5">
        <v>44892</v>
      </c>
    </row>
    <row r="1126" spans="2:4">
      <c r="B1126" s="6" t="s">
        <v>419</v>
      </c>
      <c r="C1126" s="6" t="s">
        <v>118</v>
      </c>
      <c r="D1126" s="5">
        <v>44892</v>
      </c>
    </row>
    <row r="1127" spans="2:4">
      <c r="B1127" s="6" t="s">
        <v>355</v>
      </c>
      <c r="C1127" s="6" t="s">
        <v>153</v>
      </c>
      <c r="D1127" s="5">
        <v>44892</v>
      </c>
    </row>
    <row r="1128" spans="2:4">
      <c r="B1128" s="6" t="s">
        <v>123</v>
      </c>
      <c r="C1128" s="6" t="s">
        <v>171</v>
      </c>
      <c r="D1128" s="5">
        <v>44892</v>
      </c>
    </row>
    <row r="1129" spans="2:4">
      <c r="B1129" s="6" t="s">
        <v>184</v>
      </c>
      <c r="C1129" s="6" t="s">
        <v>489</v>
      </c>
      <c r="D1129" s="5">
        <v>44892</v>
      </c>
    </row>
    <row r="1130" spans="2:4">
      <c r="B1130" s="6" t="s">
        <v>359</v>
      </c>
      <c r="C1130" s="6" t="s">
        <v>353</v>
      </c>
      <c r="D1130" s="5">
        <v>44892</v>
      </c>
    </row>
    <row r="1131" spans="2:4">
      <c r="B1131" s="6" t="s">
        <v>451</v>
      </c>
      <c r="C1131" s="6" t="s">
        <v>451</v>
      </c>
      <c r="D1131" s="5">
        <v>44892</v>
      </c>
    </row>
    <row r="1132" spans="2:4">
      <c r="B1132" s="6" t="s">
        <v>73</v>
      </c>
      <c r="C1132" s="6" t="s">
        <v>156</v>
      </c>
      <c r="D1132" s="5">
        <v>44892</v>
      </c>
    </row>
    <row r="1133" spans="2:4">
      <c r="B1133" s="6" t="s">
        <v>411</v>
      </c>
      <c r="C1133" s="6" t="s">
        <v>48</v>
      </c>
      <c r="D1133" s="5">
        <v>44892</v>
      </c>
    </row>
    <row r="1134" spans="2:4">
      <c r="B1134" s="6" t="s">
        <v>451</v>
      </c>
      <c r="C1134" s="6" t="s">
        <v>451</v>
      </c>
      <c r="D1134" s="5">
        <v>44892</v>
      </c>
    </row>
    <row r="1135" spans="2:4">
      <c r="B1135" s="6" t="s">
        <v>274</v>
      </c>
      <c r="C1135" s="6" t="s">
        <v>393</v>
      </c>
      <c r="D1135" s="5">
        <v>44892</v>
      </c>
    </row>
    <row r="1136" spans="2:4">
      <c r="B1136" s="6" t="s">
        <v>75</v>
      </c>
      <c r="C1136" s="6" t="s">
        <v>248</v>
      </c>
      <c r="D1136" s="5">
        <v>44892</v>
      </c>
    </row>
    <row r="1137" spans="2:4">
      <c r="B1137" s="6" t="s">
        <v>114</v>
      </c>
      <c r="C1137" s="6" t="s">
        <v>115</v>
      </c>
      <c r="D1137" s="5">
        <v>44892</v>
      </c>
    </row>
    <row r="1138" spans="2:4">
      <c r="B1138" s="6" t="s">
        <v>213</v>
      </c>
      <c r="C1138" s="6" t="s">
        <v>112</v>
      </c>
      <c r="D1138" s="5">
        <v>44892</v>
      </c>
    </row>
    <row r="1139" spans="2:4">
      <c r="B1139" s="6" t="s">
        <v>189</v>
      </c>
      <c r="C1139" s="6" t="s">
        <v>426</v>
      </c>
      <c r="D1139" s="5">
        <v>44892</v>
      </c>
    </row>
    <row r="1140" spans="2:4">
      <c r="B1140" s="6" t="s">
        <v>451</v>
      </c>
      <c r="C1140" s="6" t="s">
        <v>451</v>
      </c>
      <c r="D1140" s="5">
        <v>44892</v>
      </c>
    </row>
    <row r="1141" spans="2:4">
      <c r="B1141" s="6" t="s">
        <v>451</v>
      </c>
      <c r="C1141" s="6" t="s">
        <v>451</v>
      </c>
      <c r="D1141" s="5">
        <v>44892</v>
      </c>
    </row>
    <row r="1142" spans="2:4">
      <c r="B1142" s="6" t="s">
        <v>451</v>
      </c>
      <c r="C1142" s="6" t="s">
        <v>451</v>
      </c>
      <c r="D1142" s="5">
        <v>44892</v>
      </c>
    </row>
    <row r="1143" spans="2:4">
      <c r="B1143" s="6" t="s">
        <v>368</v>
      </c>
      <c r="C1143" s="6" t="s">
        <v>351</v>
      </c>
      <c r="D1143" s="5">
        <v>44892</v>
      </c>
    </row>
    <row r="1144" spans="2:4">
      <c r="B1144" s="6" t="s">
        <v>451</v>
      </c>
      <c r="C1144" s="6" t="s">
        <v>451</v>
      </c>
      <c r="D1144" s="5">
        <v>44892</v>
      </c>
    </row>
    <row r="1145" spans="2:4">
      <c r="B1145" s="6" t="s">
        <v>141</v>
      </c>
      <c r="C1145" s="6" t="s">
        <v>278</v>
      </c>
      <c r="D1145" s="5">
        <v>44893</v>
      </c>
    </row>
    <row r="1146" spans="2:4">
      <c r="B1146" s="6" t="s">
        <v>382</v>
      </c>
      <c r="C1146" s="6" t="s">
        <v>351</v>
      </c>
      <c r="D1146" s="5">
        <v>44893</v>
      </c>
    </row>
    <row r="1147" spans="2:4">
      <c r="B1147" s="6" t="s">
        <v>368</v>
      </c>
      <c r="C1147" s="6" t="s">
        <v>295</v>
      </c>
      <c r="D1147" s="5">
        <v>44893</v>
      </c>
    </row>
    <row r="1148" spans="2:4">
      <c r="B1148" s="6" t="s">
        <v>106</v>
      </c>
      <c r="C1148" s="6" t="s">
        <v>645</v>
      </c>
      <c r="D1148" s="5">
        <v>44893</v>
      </c>
    </row>
    <row r="1149" spans="2:4">
      <c r="B1149" s="6" t="s">
        <v>588</v>
      </c>
      <c r="C1149" s="6" t="s">
        <v>646</v>
      </c>
      <c r="D1149" s="5">
        <v>44893</v>
      </c>
    </row>
    <row r="1150" spans="2:4">
      <c r="B1150" s="6" t="s">
        <v>336</v>
      </c>
      <c r="C1150" s="6" t="s">
        <v>435</v>
      </c>
      <c r="D1150" s="5">
        <v>44893</v>
      </c>
    </row>
    <row r="1151" spans="2:4">
      <c r="B1151" s="6" t="s">
        <v>361</v>
      </c>
      <c r="C1151" s="6" t="s">
        <v>138</v>
      </c>
      <c r="D1151" s="5">
        <v>44893</v>
      </c>
    </row>
    <row r="1152" spans="2:4">
      <c r="B1152" s="6" t="s">
        <v>221</v>
      </c>
      <c r="C1152" s="6" t="s">
        <v>333</v>
      </c>
      <c r="D1152" s="5">
        <v>44893</v>
      </c>
    </row>
    <row r="1153" spans="2:4">
      <c r="B1153" s="6" t="s">
        <v>250</v>
      </c>
      <c r="C1153" s="6" t="s">
        <v>342</v>
      </c>
      <c r="D1153" s="5">
        <v>44893</v>
      </c>
    </row>
    <row r="1154" spans="2:4">
      <c r="B1154" s="6" t="s">
        <v>52</v>
      </c>
      <c r="C1154" s="6" t="s">
        <v>63</v>
      </c>
      <c r="D1154" s="5">
        <v>44893</v>
      </c>
    </row>
    <row r="1155" spans="2:4">
      <c r="B1155" s="6" t="s">
        <v>181</v>
      </c>
      <c r="C1155" s="6" t="s">
        <v>439</v>
      </c>
      <c r="D1155" s="5">
        <v>44893</v>
      </c>
    </row>
    <row r="1156" spans="2:4">
      <c r="B1156" s="6" t="s">
        <v>85</v>
      </c>
      <c r="C1156" s="6" t="s">
        <v>357</v>
      </c>
      <c r="D1156" s="5">
        <v>44893</v>
      </c>
    </row>
    <row r="1157" spans="2:4">
      <c r="B1157" s="6" t="s">
        <v>26</v>
      </c>
      <c r="C1157" s="6" t="s">
        <v>249</v>
      </c>
      <c r="D1157" s="5">
        <v>44893</v>
      </c>
    </row>
    <row r="1158" spans="2:4">
      <c r="B1158" s="6" t="s">
        <v>84</v>
      </c>
      <c r="C1158" s="6" t="s">
        <v>194</v>
      </c>
      <c r="D1158" s="5">
        <v>44893</v>
      </c>
    </row>
    <row r="1159" spans="2:4">
      <c r="B1159" s="6" t="s">
        <v>208</v>
      </c>
      <c r="C1159" s="6" t="s">
        <v>555</v>
      </c>
      <c r="D1159" s="5">
        <v>44893</v>
      </c>
    </row>
    <row r="1160" spans="2:4">
      <c r="B1160" s="6" t="s">
        <v>308</v>
      </c>
      <c r="C1160" s="6" t="s">
        <v>469</v>
      </c>
      <c r="D1160" s="5">
        <v>44893</v>
      </c>
    </row>
    <row r="1161" spans="2:4">
      <c r="B1161" s="6" t="s">
        <v>358</v>
      </c>
      <c r="C1161" s="6" t="s">
        <v>321</v>
      </c>
      <c r="D1161" s="5">
        <v>44893</v>
      </c>
    </row>
    <row r="1162" spans="2:4">
      <c r="B1162" s="6" t="s">
        <v>323</v>
      </c>
      <c r="C1162" s="6" t="s">
        <v>543</v>
      </c>
      <c r="D1162" s="5">
        <v>44893</v>
      </c>
    </row>
    <row r="1163" spans="2:4">
      <c r="B1163" s="6" t="s">
        <v>166</v>
      </c>
      <c r="C1163" s="6" t="s">
        <v>395</v>
      </c>
      <c r="D1163" s="5">
        <v>44893</v>
      </c>
    </row>
    <row r="1164" spans="2:4">
      <c r="B1164" s="6" t="s">
        <v>68</v>
      </c>
      <c r="C1164" s="6" t="s">
        <v>49</v>
      </c>
      <c r="D1164" s="5">
        <v>44893</v>
      </c>
    </row>
    <row r="1165" spans="2:4">
      <c r="B1165" s="6" t="s">
        <v>71</v>
      </c>
      <c r="C1165" s="6" t="s">
        <v>424</v>
      </c>
      <c r="D1165" s="5">
        <v>44893</v>
      </c>
    </row>
    <row r="1166" spans="2:4">
      <c r="B1166" s="6" t="s">
        <v>427</v>
      </c>
      <c r="C1166" s="6" t="s">
        <v>207</v>
      </c>
      <c r="D1166" s="5">
        <v>44893</v>
      </c>
    </row>
    <row r="1167" spans="2:4">
      <c r="B1167" s="6" t="s">
        <v>169</v>
      </c>
      <c r="C1167" s="6" t="s">
        <v>415</v>
      </c>
      <c r="D1167" s="5">
        <v>44893</v>
      </c>
    </row>
    <row r="1168" spans="2:4">
      <c r="B1168" s="6" t="s">
        <v>60</v>
      </c>
      <c r="C1168" s="6" t="s">
        <v>47</v>
      </c>
      <c r="D1168" s="5">
        <v>44894</v>
      </c>
    </row>
    <row r="1169" spans="2:4">
      <c r="B1169" s="6" t="s">
        <v>43</v>
      </c>
      <c r="C1169" s="6" t="s">
        <v>56</v>
      </c>
      <c r="D1169" s="5">
        <v>44894</v>
      </c>
    </row>
    <row r="1170" spans="2:4">
      <c r="B1170" s="6" t="s">
        <v>238</v>
      </c>
      <c r="C1170" s="6" t="s">
        <v>437</v>
      </c>
      <c r="D1170" s="5">
        <v>44894</v>
      </c>
    </row>
    <row r="1171" spans="2:4">
      <c r="B1171" s="6" t="s">
        <v>99</v>
      </c>
      <c r="C1171" s="6" t="s">
        <v>647</v>
      </c>
      <c r="D1171" s="5">
        <v>44894</v>
      </c>
    </row>
    <row r="1172" spans="2:4">
      <c r="B1172" s="6" t="s">
        <v>302</v>
      </c>
      <c r="C1172" s="6" t="s">
        <v>405</v>
      </c>
      <c r="D1172" s="5">
        <v>44894</v>
      </c>
    </row>
    <row r="1173" spans="2:4">
      <c r="B1173" s="6" t="s">
        <v>286</v>
      </c>
      <c r="C1173" s="6" t="s">
        <v>111</v>
      </c>
      <c r="D1173" s="5">
        <v>44894</v>
      </c>
    </row>
    <row r="1174" spans="2:4">
      <c r="B1174" s="6" t="s">
        <v>80</v>
      </c>
      <c r="C1174" s="6" t="s">
        <v>248</v>
      </c>
      <c r="D1174" s="5">
        <v>44894</v>
      </c>
    </row>
    <row r="1175" spans="2:4">
      <c r="B1175" s="6" t="s">
        <v>354</v>
      </c>
      <c r="C1175" s="6" t="s">
        <v>283</v>
      </c>
      <c r="D1175" s="5">
        <v>44894</v>
      </c>
    </row>
    <row r="1176" spans="2:4">
      <c r="B1176" s="6" t="s">
        <v>319</v>
      </c>
      <c r="C1176" s="6" t="s">
        <v>439</v>
      </c>
      <c r="D1176" s="5">
        <v>44894</v>
      </c>
    </row>
    <row r="1177" spans="2:4">
      <c r="B1177" s="6" t="s">
        <v>362</v>
      </c>
      <c r="C1177" s="6" t="s">
        <v>498</v>
      </c>
      <c r="D1177" s="5">
        <v>44894</v>
      </c>
    </row>
    <row r="1178" spans="2:4">
      <c r="B1178" s="6" t="s">
        <v>305</v>
      </c>
      <c r="C1178" s="6" t="s">
        <v>455</v>
      </c>
      <c r="D1178" s="5">
        <v>44894</v>
      </c>
    </row>
    <row r="1179" spans="2:4">
      <c r="B1179" s="6" t="s">
        <v>191</v>
      </c>
      <c r="C1179" s="6" t="s">
        <v>541</v>
      </c>
      <c r="D1179" s="5">
        <v>44894</v>
      </c>
    </row>
    <row r="1180" spans="2:4">
      <c r="B1180" s="6" t="s">
        <v>277</v>
      </c>
      <c r="C1180" s="6" t="s">
        <v>297</v>
      </c>
      <c r="D1180" s="5">
        <v>44894</v>
      </c>
    </row>
    <row r="1181" spans="2:4">
      <c r="B1181" s="6" t="s">
        <v>275</v>
      </c>
      <c r="C1181" s="6" t="s">
        <v>276</v>
      </c>
      <c r="D1181" s="5">
        <v>44894</v>
      </c>
    </row>
    <row r="1182" spans="2:4">
      <c r="B1182" s="6" t="s">
        <v>360</v>
      </c>
      <c r="C1182" s="6" t="s">
        <v>215</v>
      </c>
      <c r="D1182" s="5">
        <v>44894</v>
      </c>
    </row>
    <row r="1183" spans="2:4">
      <c r="B1183" s="6" t="s">
        <v>432</v>
      </c>
      <c r="C1183" s="6" t="s">
        <v>136</v>
      </c>
      <c r="D1183" s="5">
        <v>44894</v>
      </c>
    </row>
    <row r="1184" spans="2:4">
      <c r="B1184" s="6" t="s">
        <v>231</v>
      </c>
      <c r="C1184" s="6" t="s">
        <v>300</v>
      </c>
      <c r="D1184" s="5">
        <v>44894</v>
      </c>
    </row>
    <row r="1185" spans="2:4">
      <c r="B1185" s="6" t="s">
        <v>284</v>
      </c>
      <c r="C1185" s="6" t="s">
        <v>423</v>
      </c>
      <c r="D1185" s="5">
        <v>44894</v>
      </c>
    </row>
    <row r="1186" spans="2:4">
      <c r="B1186" s="6" t="s">
        <v>246</v>
      </c>
      <c r="C1186" s="6" t="s">
        <v>107</v>
      </c>
      <c r="D1186" s="5">
        <v>44894</v>
      </c>
    </row>
    <row r="1187" spans="2:4">
      <c r="B1187" s="6" t="s">
        <v>199</v>
      </c>
      <c r="C1187" s="6" t="s">
        <v>182</v>
      </c>
      <c r="D1187" s="5">
        <v>44894</v>
      </c>
    </row>
    <row r="1188" spans="2:4">
      <c r="B1188" s="6" t="s">
        <v>209</v>
      </c>
      <c r="C1188" s="6" t="s">
        <v>364</v>
      </c>
      <c r="D1188" s="5">
        <v>44894</v>
      </c>
    </row>
    <row r="1189" spans="2:4">
      <c r="B1189" s="6" t="s">
        <v>288</v>
      </c>
      <c r="C1189" s="6" t="s">
        <v>610</v>
      </c>
      <c r="D1189" s="5">
        <v>44894</v>
      </c>
    </row>
    <row r="1190" spans="2:4">
      <c r="B1190" s="6" t="s">
        <v>192</v>
      </c>
      <c r="C1190" s="6" t="s">
        <v>261</v>
      </c>
      <c r="D1190" s="5">
        <v>44894</v>
      </c>
    </row>
    <row r="1191" spans="2:4">
      <c r="B1191" s="6" t="s">
        <v>149</v>
      </c>
      <c r="C1191" s="6" t="s">
        <v>413</v>
      </c>
      <c r="D1191" s="5">
        <v>44894</v>
      </c>
    </row>
    <row r="1192" spans="2:4">
      <c r="B1192" s="6" t="s">
        <v>51</v>
      </c>
      <c r="C1192" s="6" t="s">
        <v>66</v>
      </c>
      <c r="D1192" s="5">
        <v>44894</v>
      </c>
    </row>
    <row r="1193" spans="2:4">
      <c r="B1193" s="6" t="s">
        <v>212</v>
      </c>
      <c r="C1193" s="6" t="s">
        <v>310</v>
      </c>
      <c r="D1193" s="5">
        <v>44894</v>
      </c>
    </row>
    <row r="1194" spans="2:4">
      <c r="B1194" s="6" t="s">
        <v>370</v>
      </c>
      <c r="C1194" s="6" t="s">
        <v>648</v>
      </c>
      <c r="D1194" s="5">
        <v>44894</v>
      </c>
    </row>
    <row r="1195" spans="2:4">
      <c r="B1195" s="6" t="s">
        <v>388</v>
      </c>
      <c r="C1195" s="6" t="s">
        <v>206</v>
      </c>
      <c r="D1195" s="5">
        <v>44894</v>
      </c>
    </row>
    <row r="1196" spans="2:4">
      <c r="B1196" s="6" t="s">
        <v>365</v>
      </c>
      <c r="C1196" s="6" t="s">
        <v>521</v>
      </c>
      <c r="D1196" s="5">
        <v>44894</v>
      </c>
    </row>
    <row r="1197" spans="2:4">
      <c r="B1197" s="6" t="s">
        <v>184</v>
      </c>
      <c r="C1197" s="6" t="s">
        <v>649</v>
      </c>
      <c r="D1197" s="5">
        <v>44894</v>
      </c>
    </row>
    <row r="1198" spans="2:4">
      <c r="B1198" s="6" t="s">
        <v>403</v>
      </c>
      <c r="C1198" s="6" t="s">
        <v>442</v>
      </c>
      <c r="D1198" s="5">
        <v>44894</v>
      </c>
    </row>
    <row r="1199" spans="2:4">
      <c r="B1199" s="6" t="s">
        <v>331</v>
      </c>
      <c r="C1199" s="6" t="s">
        <v>153</v>
      </c>
      <c r="D1199" s="5">
        <v>44894</v>
      </c>
    </row>
    <row r="1200" spans="2:4">
      <c r="B1200" s="6" t="s">
        <v>348</v>
      </c>
      <c r="C1200" s="6" t="s">
        <v>529</v>
      </c>
      <c r="D1200" s="5">
        <v>44894</v>
      </c>
    </row>
    <row r="1201" spans="2:4">
      <c r="B1201" s="6" t="s">
        <v>316</v>
      </c>
      <c r="C1201" s="6" t="s">
        <v>190</v>
      </c>
      <c r="D1201" s="5">
        <v>44894</v>
      </c>
    </row>
    <row r="1202" spans="2:4">
      <c r="B1202" s="6" t="s">
        <v>352</v>
      </c>
      <c r="C1202" s="6" t="s">
        <v>87</v>
      </c>
      <c r="D1202" s="5">
        <v>44894</v>
      </c>
    </row>
    <row r="1203" spans="2:4">
      <c r="B1203" s="6" t="s">
        <v>37</v>
      </c>
      <c r="C1203" s="6" t="s">
        <v>28</v>
      </c>
      <c r="D1203" s="5">
        <v>44894</v>
      </c>
    </row>
    <row r="1204" spans="2:4">
      <c r="B1204" s="6" t="s">
        <v>162</v>
      </c>
      <c r="C1204" s="6" t="s">
        <v>599</v>
      </c>
      <c r="D1204" s="5">
        <v>44894</v>
      </c>
    </row>
    <row r="1205" spans="2:4">
      <c r="B1205" s="6" t="s">
        <v>381</v>
      </c>
      <c r="C1205" s="6" t="s">
        <v>156</v>
      </c>
      <c r="D1205" s="5">
        <v>44894</v>
      </c>
    </row>
    <row r="1206" spans="2:4">
      <c r="B1206" s="6" t="s">
        <v>157</v>
      </c>
      <c r="C1206" s="6" t="s">
        <v>486</v>
      </c>
      <c r="D1206" s="5">
        <v>44894</v>
      </c>
    </row>
    <row r="1207" spans="2:4">
      <c r="B1207" s="6" t="s">
        <v>61</v>
      </c>
      <c r="C1207" s="6" t="s">
        <v>50</v>
      </c>
      <c r="D1207" s="5">
        <v>44894</v>
      </c>
    </row>
    <row r="1208" spans="2:4">
      <c r="B1208" s="6" t="s">
        <v>65</v>
      </c>
      <c r="C1208" s="6" t="s">
        <v>53</v>
      </c>
      <c r="D1208" s="5">
        <v>44894</v>
      </c>
    </row>
    <row r="1209" spans="2:4">
      <c r="B1209" s="6" t="s">
        <v>59</v>
      </c>
      <c r="C1209" s="6" t="s">
        <v>188</v>
      </c>
      <c r="D1209" s="5">
        <v>44894</v>
      </c>
    </row>
    <row r="1210" spans="2:4">
      <c r="B1210" s="6" t="s">
        <v>392</v>
      </c>
      <c r="C1210" s="6" t="s">
        <v>167</v>
      </c>
      <c r="D1210" s="5">
        <v>44894</v>
      </c>
    </row>
    <row r="1211" spans="2:4">
      <c r="B1211" s="6" t="s">
        <v>586</v>
      </c>
      <c r="C1211" s="6" t="s">
        <v>452</v>
      </c>
      <c r="D1211" s="5">
        <v>44894</v>
      </c>
    </row>
    <row r="1212" spans="2:4">
      <c r="B1212" s="6" t="s">
        <v>128</v>
      </c>
      <c r="C1212" s="6" t="s">
        <v>220</v>
      </c>
      <c r="D1212" s="5">
        <v>44895</v>
      </c>
    </row>
    <row r="1213" spans="2:4">
      <c r="B1213" s="6" t="s">
        <v>160</v>
      </c>
      <c r="C1213" s="6" t="s">
        <v>152</v>
      </c>
      <c r="D1213" s="5">
        <v>44895</v>
      </c>
    </row>
    <row r="1214" spans="2:4">
      <c r="B1214" s="6" t="s">
        <v>126</v>
      </c>
      <c r="C1214" s="6" t="s">
        <v>580</v>
      </c>
      <c r="D1214" s="5">
        <v>44895</v>
      </c>
    </row>
    <row r="1215" spans="2:4">
      <c r="B1215" s="6" t="s">
        <v>148</v>
      </c>
      <c r="C1215" s="6" t="s">
        <v>524</v>
      </c>
      <c r="D1215" s="5">
        <v>44895</v>
      </c>
    </row>
    <row r="1216" spans="2:4">
      <c r="B1216" s="6" t="s">
        <v>269</v>
      </c>
      <c r="C1216" s="6" t="s">
        <v>175</v>
      </c>
      <c r="D1216" s="5">
        <v>44895</v>
      </c>
    </row>
    <row r="1217" spans="2:4">
      <c r="B1217" s="6" t="s">
        <v>210</v>
      </c>
      <c r="C1217" s="6" t="s">
        <v>145</v>
      </c>
      <c r="D1217" s="5">
        <v>44895</v>
      </c>
    </row>
    <row r="1218" spans="2:4">
      <c r="B1218" s="6" t="s">
        <v>42</v>
      </c>
      <c r="C1218" s="6" t="s">
        <v>33</v>
      </c>
      <c r="D1218" s="5">
        <v>44895</v>
      </c>
    </row>
    <row r="1219" spans="2:4">
      <c r="B1219" s="6" t="s">
        <v>214</v>
      </c>
      <c r="C1219" s="6" t="s">
        <v>414</v>
      </c>
      <c r="D1219" s="5">
        <v>44895</v>
      </c>
    </row>
    <row r="1220" spans="2:4">
      <c r="B1220" s="6" t="s">
        <v>127</v>
      </c>
      <c r="C1220" s="6" t="s">
        <v>591</v>
      </c>
      <c r="D1220" s="5">
        <v>44895</v>
      </c>
    </row>
    <row r="1221" spans="2:4">
      <c r="B1221" s="6" t="s">
        <v>274</v>
      </c>
      <c r="C1221" s="6" t="s">
        <v>247</v>
      </c>
      <c r="D1221" s="5">
        <v>44895</v>
      </c>
    </row>
    <row r="1222" spans="2:4">
      <c r="B1222" s="6" t="s">
        <v>273</v>
      </c>
      <c r="C1222" s="6" t="s">
        <v>492</v>
      </c>
      <c r="D1222" s="5">
        <v>44895</v>
      </c>
    </row>
    <row r="1223" spans="2:4">
      <c r="B1223" s="6" t="s">
        <v>590</v>
      </c>
      <c r="C1223" s="6" t="s">
        <v>650</v>
      </c>
      <c r="D1223" s="5">
        <v>44895</v>
      </c>
    </row>
    <row r="1224" spans="2:4">
      <c r="B1224" s="6" t="s">
        <v>97</v>
      </c>
      <c r="C1224" s="6" t="s">
        <v>265</v>
      </c>
      <c r="D1224" s="5">
        <v>44895</v>
      </c>
    </row>
    <row r="1225" spans="2:4">
      <c r="B1225" s="6" t="s">
        <v>335</v>
      </c>
      <c r="C1225" s="6" t="s">
        <v>114</v>
      </c>
      <c r="D1225" s="5">
        <v>44895</v>
      </c>
    </row>
    <row r="1226" spans="2:4">
      <c r="B1226" s="6" t="s">
        <v>304</v>
      </c>
      <c r="C1226" s="6" t="s">
        <v>104</v>
      </c>
      <c r="D1226" s="5">
        <v>44895</v>
      </c>
    </row>
    <row r="1227" spans="2:4">
      <c r="B1227" s="6" t="s">
        <v>113</v>
      </c>
      <c r="C1227" s="6" t="s">
        <v>338</v>
      </c>
      <c r="D1227" s="5">
        <v>44895</v>
      </c>
    </row>
    <row r="1228" spans="2:4">
      <c r="B1228" s="6" t="s">
        <v>193</v>
      </c>
      <c r="C1228" s="6" t="s">
        <v>105</v>
      </c>
      <c r="D1228" s="5">
        <v>44895</v>
      </c>
    </row>
    <row r="1229" spans="2:4">
      <c r="B1229" s="6" t="s">
        <v>146</v>
      </c>
      <c r="C1229" s="6" t="s">
        <v>137</v>
      </c>
      <c r="D1229" s="5">
        <v>44895</v>
      </c>
    </row>
    <row r="1230" spans="2:4">
      <c r="B1230" s="6" t="s">
        <v>110</v>
      </c>
      <c r="C1230" s="6" t="s">
        <v>129</v>
      </c>
      <c r="D1230" s="5">
        <v>44895</v>
      </c>
    </row>
    <row r="1231" spans="2:4">
      <c r="B1231" s="6" t="s">
        <v>270</v>
      </c>
      <c r="C1231" s="6" t="s">
        <v>282</v>
      </c>
      <c r="D1231" s="5">
        <v>44895</v>
      </c>
    </row>
    <row r="1232" spans="2:4">
      <c r="B1232" s="6" t="s">
        <v>253</v>
      </c>
      <c r="C1232" s="6" t="s">
        <v>336</v>
      </c>
      <c r="D1232" s="5">
        <v>44895</v>
      </c>
    </row>
    <row r="1233" spans="2:4">
      <c r="B1233" s="6" t="s">
        <v>325</v>
      </c>
      <c r="C1233" s="6" t="s">
        <v>363</v>
      </c>
      <c r="D1233" s="5">
        <v>44895</v>
      </c>
    </row>
    <row r="1234" spans="2:4">
      <c r="B1234" s="6" t="s">
        <v>421</v>
      </c>
      <c r="C1234" s="6" t="s">
        <v>306</v>
      </c>
      <c r="D1234" s="5">
        <v>44895</v>
      </c>
    </row>
    <row r="1235" spans="2:4">
      <c r="B1235" s="6" t="s">
        <v>301</v>
      </c>
      <c r="C1235" s="6" t="s">
        <v>116</v>
      </c>
      <c r="D1235" s="5">
        <v>44895</v>
      </c>
    </row>
    <row r="1236" spans="2:4">
      <c r="B1236" s="6" t="s">
        <v>287</v>
      </c>
      <c r="C1236" s="6" t="s">
        <v>425</v>
      </c>
      <c r="D1236" s="5">
        <v>44895</v>
      </c>
    </row>
    <row r="1237" spans="2:4">
      <c r="B1237" s="6" t="s">
        <v>187</v>
      </c>
      <c r="C1237" s="6" t="s">
        <v>177</v>
      </c>
      <c r="D1237" s="5">
        <v>44895</v>
      </c>
    </row>
    <row r="1238" spans="2:4">
      <c r="B1238" s="6" t="s">
        <v>268</v>
      </c>
      <c r="C1238" s="6" t="s">
        <v>267</v>
      </c>
      <c r="D1238" s="5">
        <v>44895</v>
      </c>
    </row>
    <row r="1239" spans="2:4">
      <c r="B1239" s="6" t="s">
        <v>252</v>
      </c>
      <c r="C1239" s="6" t="s">
        <v>242</v>
      </c>
      <c r="D1239" s="5">
        <v>44895</v>
      </c>
    </row>
    <row r="1240" spans="2:4">
      <c r="B1240" s="6" t="s">
        <v>140</v>
      </c>
      <c r="C1240" s="6" t="s">
        <v>200</v>
      </c>
      <c r="D1240" s="5">
        <v>44895</v>
      </c>
    </row>
    <row r="1241" spans="2:4">
      <c r="B1241" s="6" t="s">
        <v>281</v>
      </c>
      <c r="C1241" s="6" t="s">
        <v>178</v>
      </c>
      <c r="D1241" s="5">
        <v>44895</v>
      </c>
    </row>
    <row r="1242" spans="2:4">
      <c r="B1242" s="6" t="s">
        <v>122</v>
      </c>
      <c r="C1242" s="6" t="s">
        <v>410</v>
      </c>
      <c r="D1242" s="5">
        <v>44895</v>
      </c>
    </row>
    <row r="1243" spans="2:4">
      <c r="B1243" s="6" t="s">
        <v>100</v>
      </c>
      <c r="C1243" s="6" t="s">
        <v>96</v>
      </c>
      <c r="D1243" s="5">
        <v>44895</v>
      </c>
    </row>
    <row r="1244" spans="2:4">
      <c r="B1244" s="6" t="s">
        <v>131</v>
      </c>
      <c r="C1244" s="6" t="s">
        <v>108</v>
      </c>
      <c r="D1244" s="5">
        <v>44895</v>
      </c>
    </row>
    <row r="1245" spans="2:4">
      <c r="B1245" s="6" t="s">
        <v>351</v>
      </c>
      <c r="C1245" s="6" t="s">
        <v>651</v>
      </c>
      <c r="D1245" s="5">
        <v>44895</v>
      </c>
    </row>
    <row r="1246" spans="2:4">
      <c r="B1246" s="6" t="s">
        <v>436</v>
      </c>
      <c r="C1246" s="6" t="s">
        <v>652</v>
      </c>
      <c r="D1246" s="5">
        <v>44895</v>
      </c>
    </row>
    <row r="1247" spans="2:4">
      <c r="B1247" s="6" t="s">
        <v>121</v>
      </c>
      <c r="C1247" s="6" t="s">
        <v>185</v>
      </c>
      <c r="D1247" s="5">
        <v>44895</v>
      </c>
    </row>
    <row r="1248" spans="2:4">
      <c r="B1248" s="6" t="s">
        <v>89</v>
      </c>
      <c r="C1248" s="6" t="s">
        <v>179</v>
      </c>
      <c r="D1248" s="5">
        <v>44895</v>
      </c>
    </row>
    <row r="1249" spans="2:4">
      <c r="B1249" s="6" t="s">
        <v>44</v>
      </c>
      <c r="C1249" s="6" t="s">
        <v>57</v>
      </c>
      <c r="D1249" s="5">
        <v>44895</v>
      </c>
    </row>
    <row r="1250" spans="2:4">
      <c r="B1250" s="6" t="s">
        <v>86</v>
      </c>
      <c r="C1250" s="6" t="s">
        <v>342</v>
      </c>
      <c r="D1250" s="5">
        <v>44895</v>
      </c>
    </row>
    <row r="1251" spans="2:4">
      <c r="B1251" s="6" t="s">
        <v>48</v>
      </c>
      <c r="C1251" s="6" t="s">
        <v>64</v>
      </c>
      <c r="D1251" s="5">
        <v>44895</v>
      </c>
    </row>
    <row r="1252" spans="2:4">
      <c r="B1252" s="6" t="s">
        <v>45</v>
      </c>
      <c r="C1252" s="6" t="s">
        <v>58</v>
      </c>
      <c r="D1252" s="5">
        <v>44895</v>
      </c>
    </row>
    <row r="1253" spans="2:4">
      <c r="B1253" s="6" t="s">
        <v>587</v>
      </c>
      <c r="C1253" s="6" t="s">
        <v>264</v>
      </c>
      <c r="D1253" s="5">
        <v>44895</v>
      </c>
    </row>
    <row r="1254" spans="2:4">
      <c r="B1254" s="6" t="s">
        <v>295</v>
      </c>
      <c r="C1254" s="6" t="s">
        <v>516</v>
      </c>
      <c r="D1254" s="5">
        <v>44895</v>
      </c>
    </row>
    <row r="1255" spans="2:4">
      <c r="B1255" s="6" t="s">
        <v>294</v>
      </c>
      <c r="C1255" s="6" t="s">
        <v>327</v>
      </c>
      <c r="D1255" s="5">
        <v>44895</v>
      </c>
    </row>
    <row r="1256" spans="2:4">
      <c r="B1256" s="6" t="s">
        <v>344</v>
      </c>
      <c r="C1256" s="6" t="s">
        <v>640</v>
      </c>
      <c r="D1256" s="5">
        <v>44895</v>
      </c>
    </row>
    <row r="1257" spans="2:4">
      <c r="B1257" s="6" t="s">
        <v>349</v>
      </c>
      <c r="C1257" s="6" t="s">
        <v>174</v>
      </c>
      <c r="D1257" s="5">
        <v>44895</v>
      </c>
    </row>
    <row r="1258" spans="2:4">
      <c r="B1258" s="6" t="s">
        <v>195</v>
      </c>
      <c r="C1258" s="6" t="s">
        <v>120</v>
      </c>
      <c r="D1258" s="5">
        <v>44895</v>
      </c>
    </row>
    <row r="1259" spans="2:4">
      <c r="B1259" s="6" t="s">
        <v>289</v>
      </c>
      <c r="C1259" s="6" t="s">
        <v>292</v>
      </c>
      <c r="D1259" s="5">
        <v>44895</v>
      </c>
    </row>
    <row r="1260" spans="2:4">
      <c r="B1260" s="6" t="s">
        <v>34</v>
      </c>
      <c r="C1260" s="6" t="s">
        <v>40</v>
      </c>
      <c r="D1260" s="5">
        <v>44895</v>
      </c>
    </row>
    <row r="1261" spans="2:4">
      <c r="B1261" s="6" t="s">
        <v>27</v>
      </c>
      <c r="C1261" s="6" t="s">
        <v>41</v>
      </c>
      <c r="D1261" s="5">
        <v>44895</v>
      </c>
    </row>
    <row r="1262" spans="2:4">
      <c r="B1262" s="6" t="s">
        <v>345</v>
      </c>
      <c r="C1262" s="6" t="s">
        <v>563</v>
      </c>
      <c r="D1262" s="5">
        <v>44895</v>
      </c>
    </row>
    <row r="1263" spans="2:4">
      <c r="B1263" s="6" t="s">
        <v>603</v>
      </c>
      <c r="C1263" s="6" t="s">
        <v>515</v>
      </c>
      <c r="D1263" s="5">
        <v>44895</v>
      </c>
    </row>
    <row r="1264" spans="2:4">
      <c r="B1264" s="6" t="s">
        <v>329</v>
      </c>
      <c r="C1264" s="6" t="s">
        <v>400</v>
      </c>
      <c r="D1264" s="5">
        <v>44895</v>
      </c>
    </row>
    <row r="1265" spans="2:4">
      <c r="B1265" s="6" t="s">
        <v>147</v>
      </c>
      <c r="C1265" s="6" t="s">
        <v>313</v>
      </c>
      <c r="D1265" s="5">
        <v>44895</v>
      </c>
    </row>
    <row r="1266" spans="2:4">
      <c r="B1266" s="6" t="s">
        <v>280</v>
      </c>
      <c r="C1266" s="6" t="s">
        <v>320</v>
      </c>
      <c r="D1266" s="5">
        <v>44895</v>
      </c>
    </row>
    <row r="1267" spans="2:4">
      <c r="B1267" s="6" t="s">
        <v>213</v>
      </c>
      <c r="C1267" s="6" t="s">
        <v>241</v>
      </c>
      <c r="D1267" s="5">
        <v>44895</v>
      </c>
    </row>
    <row r="1268" spans="2:4">
      <c r="B1268" s="6" t="s">
        <v>119</v>
      </c>
      <c r="C1268" s="6" t="s">
        <v>318</v>
      </c>
      <c r="D1268" s="5">
        <v>44895</v>
      </c>
    </row>
    <row r="1269" spans="2:4">
      <c r="B1269" s="6" t="s">
        <v>144</v>
      </c>
      <c r="C1269" s="6" t="s">
        <v>173</v>
      </c>
      <c r="D1269" s="5">
        <v>44895</v>
      </c>
    </row>
    <row r="1270" spans="2:4">
      <c r="B1270" s="6" t="s">
        <v>143</v>
      </c>
      <c r="C1270" s="6" t="s">
        <v>399</v>
      </c>
      <c r="D1270" s="5">
        <v>44895</v>
      </c>
    </row>
    <row r="1271" spans="2:4">
      <c r="B1271" s="6" t="s">
        <v>117</v>
      </c>
      <c r="C1271" s="6" t="s">
        <v>115</v>
      </c>
      <c r="D1271" s="5">
        <v>44895</v>
      </c>
    </row>
    <row r="1272" spans="2:4">
      <c r="B1272" s="6" t="s">
        <v>31</v>
      </c>
      <c r="C1272" s="6" t="s">
        <v>196</v>
      </c>
      <c r="D1272" s="5">
        <v>44895</v>
      </c>
    </row>
    <row r="1273" spans="2:4">
      <c r="B1273" s="6" t="s">
        <v>91</v>
      </c>
      <c r="C1273" s="6" t="s">
        <v>341</v>
      </c>
      <c r="D1273" s="5">
        <v>44895</v>
      </c>
    </row>
    <row r="1274" spans="2:4">
      <c r="B1274" s="6" t="s">
        <v>79</v>
      </c>
      <c r="C1274" s="6" t="s">
        <v>170</v>
      </c>
      <c r="D1274" s="5">
        <v>44895</v>
      </c>
    </row>
    <row r="1275" spans="2:4">
      <c r="B1275" s="6" t="s">
        <v>330</v>
      </c>
      <c r="C1275" s="6" t="s">
        <v>615</v>
      </c>
      <c r="D1275" s="5">
        <v>44895</v>
      </c>
    </row>
    <row r="1276" spans="2:4">
      <c r="B1276" s="6" t="s">
        <v>419</v>
      </c>
      <c r="C1276" s="6" t="s">
        <v>334</v>
      </c>
      <c r="D1276" s="5">
        <v>44895</v>
      </c>
    </row>
    <row r="1277" spans="2:4">
      <c r="B1277" s="6" t="s">
        <v>39</v>
      </c>
      <c r="C1277" s="6" t="s">
        <v>183</v>
      </c>
      <c r="D1277" s="5">
        <v>44895</v>
      </c>
    </row>
    <row r="1278" spans="2:4">
      <c r="B1278" s="6" t="s">
        <v>378</v>
      </c>
      <c r="C1278" s="6" t="s">
        <v>391</v>
      </c>
      <c r="D1278" s="5">
        <v>44895</v>
      </c>
    </row>
    <row r="1279" spans="2:4">
      <c r="B1279" s="6" t="s">
        <v>393</v>
      </c>
      <c r="C1279" s="6" t="s">
        <v>550</v>
      </c>
      <c r="D1279" s="5">
        <v>44895</v>
      </c>
    </row>
    <row r="1280" spans="2:4">
      <c r="B1280" s="6" t="s">
        <v>133</v>
      </c>
      <c r="C1280" s="6" t="s">
        <v>309</v>
      </c>
      <c r="D1280" s="5">
        <v>44895</v>
      </c>
    </row>
    <row r="1281" spans="2:4">
      <c r="B1281" s="6" t="s">
        <v>386</v>
      </c>
      <c r="C1281" s="6" t="s">
        <v>396</v>
      </c>
      <c r="D1281" s="5">
        <v>44895</v>
      </c>
    </row>
    <row r="1282" spans="2:4">
      <c r="B1282" s="6" t="s">
        <v>198</v>
      </c>
      <c r="C1282" s="6" t="s">
        <v>332</v>
      </c>
      <c r="D1282" s="5">
        <v>44895</v>
      </c>
    </row>
    <row r="1283" spans="2:4">
      <c r="B1283" s="6" t="s">
        <v>375</v>
      </c>
      <c r="C1283" s="6" t="s">
        <v>376</v>
      </c>
      <c r="D1283" s="5">
        <v>44895</v>
      </c>
    </row>
    <row r="1284" spans="2:4">
      <c r="B1284" s="6" t="s">
        <v>350</v>
      </c>
      <c r="C1284" s="6" t="s">
        <v>355</v>
      </c>
      <c r="D1284" s="5">
        <v>44895</v>
      </c>
    </row>
    <row r="1285" spans="2:4">
      <c r="B1285" s="6" t="s">
        <v>155</v>
      </c>
      <c r="C1285" s="6" t="s">
        <v>102</v>
      </c>
      <c r="D1285" s="5">
        <v>44895</v>
      </c>
    </row>
    <row r="1286" spans="2:4">
      <c r="B1286" s="6" t="s">
        <v>337</v>
      </c>
      <c r="C1286" s="6" t="s">
        <v>90</v>
      </c>
      <c r="D1286" s="5">
        <v>44895</v>
      </c>
    </row>
    <row r="1287" spans="2:4">
      <c r="B1287" s="6" t="s">
        <v>62</v>
      </c>
      <c r="C1287" s="6" t="s">
        <v>251</v>
      </c>
      <c r="D1287" s="5">
        <v>44895</v>
      </c>
    </row>
    <row r="1288" spans="2:4">
      <c r="B1288" s="6" t="s">
        <v>67</v>
      </c>
      <c r="C1288" s="6" t="s">
        <v>54</v>
      </c>
      <c r="D1288" s="5">
        <v>44895</v>
      </c>
    </row>
    <row r="1289" spans="2:4">
      <c r="B1289" s="6" t="s">
        <v>46</v>
      </c>
      <c r="C1289" s="6" t="s">
        <v>55</v>
      </c>
      <c r="D1289" s="5">
        <v>44895</v>
      </c>
    </row>
    <row r="1290" spans="2:4">
      <c r="B1290" s="6" t="s">
        <v>404</v>
      </c>
      <c r="C1290" s="6" t="s">
        <v>240</v>
      </c>
      <c r="D1290" s="5">
        <v>44895</v>
      </c>
    </row>
    <row r="1291" spans="2:4">
      <c r="B1291" s="6" t="s">
        <v>402</v>
      </c>
      <c r="C1291" s="6" t="s">
        <v>653</v>
      </c>
      <c r="D1291" s="5">
        <v>44895</v>
      </c>
    </row>
    <row r="1292" spans="2:4">
      <c r="B1292" s="6" t="s">
        <v>159</v>
      </c>
      <c r="C1292" s="6" t="s">
        <v>154</v>
      </c>
      <c r="D1292" s="5">
        <v>44895</v>
      </c>
    </row>
    <row r="1293" spans="2:4">
      <c r="B1293" s="6" t="s">
        <v>424</v>
      </c>
      <c r="C1293" s="6" t="s">
        <v>621</v>
      </c>
      <c r="D1293" s="5">
        <v>44895</v>
      </c>
    </row>
    <row r="1294" spans="2:4">
      <c r="B1294" s="6" t="s">
        <v>165</v>
      </c>
      <c r="C1294" s="6" t="s">
        <v>207</v>
      </c>
      <c r="D1294" s="5">
        <v>44895</v>
      </c>
    </row>
    <row r="1295" spans="2:4">
      <c r="B1295" s="6" t="s">
        <v>161</v>
      </c>
      <c r="C1295" s="6" t="s">
        <v>533</v>
      </c>
      <c r="D1295" s="5">
        <v>44895</v>
      </c>
    </row>
    <row r="1296" spans="2:4">
      <c r="B1296" s="6" t="s">
        <v>398</v>
      </c>
      <c r="C1296" s="6" t="s">
        <v>189</v>
      </c>
      <c r="D1296" s="5">
        <v>44895</v>
      </c>
    </row>
    <row r="1297" spans="2:4">
      <c r="B1297" s="6" t="s">
        <v>164</v>
      </c>
      <c r="C1297" s="6" t="s">
        <v>74</v>
      </c>
      <c r="D1297" s="5">
        <v>44895</v>
      </c>
    </row>
    <row r="1298" spans="2:4">
      <c r="B1298" s="6" t="s">
        <v>428</v>
      </c>
      <c r="C1298" s="6" t="s">
        <v>588</v>
      </c>
      <c r="D1298" s="5">
        <v>44895</v>
      </c>
    </row>
    <row r="1299" spans="2:4">
      <c r="B1299" s="6" t="s">
        <v>232</v>
      </c>
      <c r="C1299" s="6" t="s">
        <v>347</v>
      </c>
      <c r="D1299" s="5">
        <v>44896</v>
      </c>
    </row>
    <row r="1300" spans="2:4">
      <c r="B1300" s="6" t="s">
        <v>245</v>
      </c>
      <c r="C1300" s="6" t="s">
        <v>322</v>
      </c>
      <c r="D1300" s="5">
        <v>44896</v>
      </c>
    </row>
    <row r="1301" spans="2:4">
      <c r="B1301" s="6" t="s">
        <v>30</v>
      </c>
      <c r="C1301" s="6" t="s">
        <v>38</v>
      </c>
      <c r="D1301" s="5">
        <v>44896</v>
      </c>
    </row>
    <row r="1302" spans="2:4">
      <c r="B1302" s="6" t="s">
        <v>202</v>
      </c>
      <c r="C1302" s="6" t="s">
        <v>277</v>
      </c>
      <c r="D1302" s="5">
        <v>44896</v>
      </c>
    </row>
    <row r="1303" spans="2:4">
      <c r="B1303" s="6" t="s">
        <v>118</v>
      </c>
      <c r="C1303" s="6" t="s">
        <v>125</v>
      </c>
      <c r="D1303" s="5">
        <v>44896</v>
      </c>
    </row>
    <row r="1304" spans="2:4">
      <c r="B1304" s="6" t="s">
        <v>103</v>
      </c>
      <c r="C1304" s="6" t="s">
        <v>192</v>
      </c>
      <c r="D1304" s="5">
        <v>44896</v>
      </c>
    </row>
    <row r="1305" spans="2:4">
      <c r="B1305" s="6" t="s">
        <v>205</v>
      </c>
      <c r="C1305" s="6" t="s">
        <v>573</v>
      </c>
      <c r="D1305" s="5">
        <v>44896</v>
      </c>
    </row>
    <row r="1306" spans="2:4">
      <c r="B1306" s="6" t="s">
        <v>259</v>
      </c>
      <c r="C1306" s="6" t="s">
        <v>557</v>
      </c>
      <c r="D1306" s="5">
        <v>44896</v>
      </c>
    </row>
    <row r="1307" spans="2:4">
      <c r="B1307" s="6" t="s">
        <v>244</v>
      </c>
      <c r="C1307" s="6" t="s">
        <v>233</v>
      </c>
      <c r="D1307" s="5">
        <v>44896</v>
      </c>
    </row>
    <row r="1308" spans="2:4">
      <c r="B1308" s="6" t="s">
        <v>230</v>
      </c>
      <c r="C1308" s="6" t="s">
        <v>112</v>
      </c>
      <c r="D1308" s="5">
        <v>44896</v>
      </c>
    </row>
    <row r="1309" spans="2:4">
      <c r="B1309" s="6" t="s">
        <v>256</v>
      </c>
      <c r="C1309" s="6" t="s">
        <v>418</v>
      </c>
      <c r="D1309" s="5">
        <v>44896</v>
      </c>
    </row>
    <row r="1310" spans="2:4">
      <c r="B1310" s="6" t="s">
        <v>266</v>
      </c>
      <c r="C1310" s="6" t="s">
        <v>412</v>
      </c>
      <c r="D1310" s="5">
        <v>44896</v>
      </c>
    </row>
    <row r="1311" spans="2:4">
      <c r="B1311" s="6" t="s">
        <v>397</v>
      </c>
      <c r="C1311" s="6" t="s">
        <v>101</v>
      </c>
      <c r="D1311" s="5">
        <v>44896</v>
      </c>
    </row>
    <row r="1312" spans="2:4">
      <c r="B1312" s="6" t="s">
        <v>296</v>
      </c>
      <c r="C1312" s="6" t="s">
        <v>422</v>
      </c>
      <c r="D1312" s="5">
        <v>44896</v>
      </c>
    </row>
    <row r="1313" spans="2:4">
      <c r="B1313" s="6" t="s">
        <v>312</v>
      </c>
      <c r="C1313" s="6" t="s">
        <v>326</v>
      </c>
      <c r="D1313" s="5">
        <v>44896</v>
      </c>
    </row>
    <row r="1314" spans="2:4">
      <c r="B1314" s="6" t="s">
        <v>186</v>
      </c>
      <c r="C1314" s="6" t="s">
        <v>139</v>
      </c>
      <c r="D1314" s="5">
        <v>44896</v>
      </c>
    </row>
    <row r="1315" spans="2:4">
      <c r="B1315" s="6" t="s">
        <v>584</v>
      </c>
      <c r="C1315" s="6" t="s">
        <v>151</v>
      </c>
      <c r="D1315" s="5">
        <v>44896</v>
      </c>
    </row>
    <row r="1316" spans="2:4">
      <c r="B1316" s="6" t="s">
        <v>367</v>
      </c>
      <c r="C1316" s="6" t="s">
        <v>303</v>
      </c>
      <c r="D1316" s="5">
        <v>44896</v>
      </c>
    </row>
    <row r="1317" spans="2:4">
      <c r="B1317" s="6" t="s">
        <v>324</v>
      </c>
      <c r="C1317" s="6" t="s">
        <v>358</v>
      </c>
      <c r="D1317" s="5">
        <v>44896</v>
      </c>
    </row>
    <row r="1318" spans="2:4">
      <c r="B1318" s="6" t="s">
        <v>77</v>
      </c>
      <c r="C1318" s="6" t="s">
        <v>70</v>
      </c>
      <c r="D1318" s="5">
        <v>44896</v>
      </c>
    </row>
    <row r="1319" spans="2:4">
      <c r="B1319" s="6" t="s">
        <v>94</v>
      </c>
      <c r="C1319" s="6" t="s">
        <v>150</v>
      </c>
      <c r="D1319" s="5">
        <v>44896</v>
      </c>
    </row>
    <row r="1320" spans="2:4">
      <c r="B1320" s="6" t="s">
        <v>72</v>
      </c>
      <c r="C1320" s="6" t="s">
        <v>73</v>
      </c>
      <c r="D1320" s="5">
        <v>44896</v>
      </c>
    </row>
    <row r="1321" spans="2:4">
      <c r="B1321" s="6" t="s">
        <v>26</v>
      </c>
      <c r="C1321" s="6" t="s">
        <v>36</v>
      </c>
      <c r="D1321" s="5">
        <v>44896</v>
      </c>
    </row>
    <row r="1322" spans="2:4">
      <c r="B1322" s="6" t="s">
        <v>290</v>
      </c>
      <c r="C1322" s="6" t="s">
        <v>343</v>
      </c>
      <c r="D1322" s="5">
        <v>44896</v>
      </c>
    </row>
    <row r="1323" spans="2:4">
      <c r="B1323" s="6" t="s">
        <v>141</v>
      </c>
      <c r="C1323" s="6" t="s">
        <v>427</v>
      </c>
      <c r="D1323" s="5">
        <v>44896</v>
      </c>
    </row>
    <row r="1324" spans="2:4">
      <c r="B1324" s="6" t="s">
        <v>168</v>
      </c>
      <c r="C1324" s="6" t="s">
        <v>607</v>
      </c>
      <c r="D1324" s="5">
        <v>44896</v>
      </c>
    </row>
    <row r="1325" spans="2:4">
      <c r="B1325" s="6" t="s">
        <v>166</v>
      </c>
      <c r="C1325" s="6" t="s">
        <v>236</v>
      </c>
      <c r="D1325" s="5">
        <v>44896</v>
      </c>
    </row>
    <row r="1326" spans="2:4">
      <c r="B1326" s="6" t="s">
        <v>76</v>
      </c>
      <c r="C1326" s="6" t="s">
        <v>71</v>
      </c>
      <c r="D1326" s="5">
        <v>44896</v>
      </c>
    </row>
    <row r="1327" spans="2:4">
      <c r="B1327" s="6" t="s">
        <v>93</v>
      </c>
      <c r="C1327" s="6" t="s">
        <v>75</v>
      </c>
      <c r="D1327" s="5">
        <v>44896</v>
      </c>
    </row>
    <row r="1328" spans="2:4">
      <c r="B1328" s="6" t="s">
        <v>69</v>
      </c>
      <c r="C1328" s="6" t="s">
        <v>78</v>
      </c>
      <c r="D1328" s="5">
        <v>44896</v>
      </c>
    </row>
    <row r="1329" spans="2:4">
      <c r="B1329" s="6" t="s">
        <v>106</v>
      </c>
      <c r="C1329" s="6" t="s">
        <v>107</v>
      </c>
      <c r="D1329" s="5">
        <v>44897</v>
      </c>
    </row>
    <row r="1330" spans="2:4">
      <c r="B1330" s="6" t="s">
        <v>373</v>
      </c>
      <c r="C1330" s="6" t="s">
        <v>181</v>
      </c>
      <c r="D1330" s="5">
        <v>44897</v>
      </c>
    </row>
    <row r="1331" spans="2:4">
      <c r="B1331" s="6" t="s">
        <v>175</v>
      </c>
      <c r="C1331" s="6" t="s">
        <v>278</v>
      </c>
      <c r="D1331" s="5">
        <v>44897</v>
      </c>
    </row>
    <row r="1332" spans="2:4">
      <c r="B1332" s="6" t="s">
        <v>275</v>
      </c>
      <c r="C1332" s="6" t="s">
        <v>298</v>
      </c>
      <c r="D1332" s="5">
        <v>44897</v>
      </c>
    </row>
    <row r="1333" spans="2:4">
      <c r="B1333" s="6" t="s">
        <v>171</v>
      </c>
      <c r="C1333" s="6" t="s">
        <v>356</v>
      </c>
      <c r="D1333" s="5">
        <v>44897</v>
      </c>
    </row>
    <row r="1334" spans="2:4">
      <c r="B1334" s="6" t="s">
        <v>409</v>
      </c>
      <c r="C1334" s="6" t="s">
        <v>255</v>
      </c>
      <c r="D1334" s="5">
        <v>44897</v>
      </c>
    </row>
    <row r="1335" spans="2:4">
      <c r="B1335" s="6" t="s">
        <v>180</v>
      </c>
      <c r="C1335" s="6" t="s">
        <v>385</v>
      </c>
      <c r="D1335" s="5">
        <v>44897</v>
      </c>
    </row>
    <row r="1336" spans="2:4">
      <c r="B1336" s="6" t="s">
        <v>231</v>
      </c>
      <c r="C1336" s="6" t="s">
        <v>270</v>
      </c>
      <c r="D1336" s="5">
        <v>44897</v>
      </c>
    </row>
    <row r="1337" spans="2:4">
      <c r="B1337" s="6" t="s">
        <v>51</v>
      </c>
      <c r="C1337" s="6" t="s">
        <v>53</v>
      </c>
      <c r="D1337" s="5">
        <v>44897</v>
      </c>
    </row>
    <row r="1338" spans="2:4">
      <c r="B1338" s="6" t="s">
        <v>149</v>
      </c>
      <c r="C1338" s="6" t="s">
        <v>49</v>
      </c>
      <c r="D1338" s="5">
        <v>44897</v>
      </c>
    </row>
    <row r="1339" spans="2:4">
      <c r="B1339" s="6" t="s">
        <v>405</v>
      </c>
      <c r="C1339" s="6" t="s">
        <v>123</v>
      </c>
      <c r="D1339" s="5">
        <v>44897</v>
      </c>
    </row>
    <row r="1340" spans="2:4">
      <c r="B1340" s="6" t="s">
        <v>108</v>
      </c>
      <c r="C1340" s="6" t="s">
        <v>300</v>
      </c>
      <c r="D1340" s="5">
        <v>44897</v>
      </c>
    </row>
    <row r="1341" spans="2:4">
      <c r="B1341" s="6" t="s">
        <v>130</v>
      </c>
      <c r="C1341" s="6" t="s">
        <v>211</v>
      </c>
      <c r="D1341" s="5">
        <v>44897</v>
      </c>
    </row>
    <row r="1342" spans="2:4">
      <c r="B1342" s="6" t="s">
        <v>285</v>
      </c>
      <c r="C1342" s="6" t="s">
        <v>204</v>
      </c>
      <c r="D1342" s="5">
        <v>44897</v>
      </c>
    </row>
    <row r="1343" spans="2:4">
      <c r="B1343" s="6" t="s">
        <v>182</v>
      </c>
      <c r="C1343" s="6" t="s">
        <v>286</v>
      </c>
      <c r="D1343" s="5">
        <v>44897</v>
      </c>
    </row>
    <row r="1344" spans="2:4">
      <c r="B1344" s="6" t="s">
        <v>201</v>
      </c>
      <c r="C1344" s="6" t="s">
        <v>335</v>
      </c>
      <c r="D1344" s="5">
        <v>44897</v>
      </c>
    </row>
    <row r="1345" spans="2:4">
      <c r="B1345" s="6" t="s">
        <v>89</v>
      </c>
      <c r="C1345" s="6" t="s">
        <v>170</v>
      </c>
      <c r="D1345" s="5">
        <v>44897</v>
      </c>
    </row>
    <row r="1346" spans="2:4">
      <c r="B1346" s="6" t="s">
        <v>50</v>
      </c>
      <c r="C1346" s="6" t="s">
        <v>272</v>
      </c>
      <c r="D1346" s="5">
        <v>44897</v>
      </c>
    </row>
    <row r="1347" spans="2:4">
      <c r="B1347" s="6" t="s">
        <v>132</v>
      </c>
      <c r="C1347" s="6" t="s">
        <v>28</v>
      </c>
      <c r="D1347" s="5">
        <v>44897</v>
      </c>
    </row>
    <row r="1348" spans="2:4">
      <c r="B1348" s="6" t="s">
        <v>83</v>
      </c>
      <c r="C1348" s="6" t="s">
        <v>176</v>
      </c>
      <c r="D1348" s="5">
        <v>44897</v>
      </c>
    </row>
    <row r="1349" spans="2:4">
      <c r="B1349" s="6" t="s">
        <v>81</v>
      </c>
      <c r="C1349" s="6" t="s">
        <v>323</v>
      </c>
      <c r="D1349" s="5">
        <v>44897</v>
      </c>
    </row>
    <row r="1350" spans="2:4">
      <c r="B1350" s="6" t="s">
        <v>56</v>
      </c>
      <c r="C1350" s="6" t="s">
        <v>60</v>
      </c>
      <c r="D1350" s="5">
        <v>44897</v>
      </c>
    </row>
    <row r="1351" spans="2:4">
      <c r="B1351" s="6" t="s">
        <v>158</v>
      </c>
      <c r="C1351" s="6" t="s">
        <v>400</v>
      </c>
      <c r="D1351" s="5">
        <v>44897</v>
      </c>
    </row>
    <row r="1352" spans="2:4">
      <c r="B1352" s="6" t="s">
        <v>392</v>
      </c>
      <c r="C1352" s="6" t="s">
        <v>626</v>
      </c>
      <c r="D1352" s="5">
        <v>44897</v>
      </c>
    </row>
    <row r="1353" spans="2:4">
      <c r="B1353" s="6" t="s">
        <v>362</v>
      </c>
      <c r="C1353" s="6" t="s">
        <v>654</v>
      </c>
      <c r="D1353" s="5">
        <v>44898</v>
      </c>
    </row>
    <row r="1354" spans="2:4">
      <c r="B1354" s="6" t="s">
        <v>95</v>
      </c>
      <c r="C1354" s="6" t="s">
        <v>184</v>
      </c>
      <c r="D1354" s="5">
        <v>44898</v>
      </c>
    </row>
    <row r="1355" spans="2:4">
      <c r="B1355" s="6" t="s">
        <v>131</v>
      </c>
      <c r="C1355" s="6" t="s">
        <v>246</v>
      </c>
      <c r="D1355" s="5">
        <v>44898</v>
      </c>
    </row>
    <row r="1356" spans="2:4">
      <c r="B1356" s="6" t="s">
        <v>35</v>
      </c>
      <c r="C1356" s="6" t="s">
        <v>29</v>
      </c>
      <c r="D1356" s="5">
        <v>44898</v>
      </c>
    </row>
    <row r="1357" spans="2:4">
      <c r="B1357" s="6" t="s">
        <v>46</v>
      </c>
      <c r="C1357" s="6" t="s">
        <v>47</v>
      </c>
      <c r="D1357" s="5">
        <v>44898</v>
      </c>
    </row>
    <row r="1358" spans="2:4">
      <c r="B1358" s="6" t="s">
        <v>57</v>
      </c>
      <c r="C1358" s="6" t="s">
        <v>338</v>
      </c>
      <c r="D1358" s="5">
        <v>44898</v>
      </c>
    </row>
    <row r="1359" spans="2:4">
      <c r="B1359" s="6" t="s">
        <v>41</v>
      </c>
      <c r="C1359" s="6" t="s">
        <v>90</v>
      </c>
      <c r="D1359" s="5">
        <v>44898</v>
      </c>
    </row>
    <row r="1360" spans="2:4">
      <c r="B1360" s="6" t="s">
        <v>209</v>
      </c>
      <c r="C1360" s="6" t="s">
        <v>325</v>
      </c>
      <c r="D1360" s="5">
        <v>44898</v>
      </c>
    </row>
    <row r="1361" spans="2:4">
      <c r="B1361" s="6" t="s">
        <v>282</v>
      </c>
      <c r="C1361" s="6" t="s">
        <v>432</v>
      </c>
      <c r="D1361" s="5">
        <v>44898</v>
      </c>
    </row>
    <row r="1362" spans="2:4">
      <c r="B1362" s="6" t="s">
        <v>148</v>
      </c>
      <c r="C1362" s="6" t="s">
        <v>98</v>
      </c>
      <c r="D1362" s="5">
        <v>44898</v>
      </c>
    </row>
    <row r="1363" spans="2:4">
      <c r="B1363" s="6" t="s">
        <v>145</v>
      </c>
      <c r="C1363" s="6" t="s">
        <v>121</v>
      </c>
      <c r="D1363" s="5">
        <v>44898</v>
      </c>
    </row>
    <row r="1364" spans="2:4">
      <c r="B1364" s="6" t="s">
        <v>221</v>
      </c>
      <c r="C1364" s="6" t="s">
        <v>349</v>
      </c>
      <c r="D1364" s="5">
        <v>44898</v>
      </c>
    </row>
    <row r="1365" spans="2:4">
      <c r="B1365" s="6" t="s">
        <v>334</v>
      </c>
      <c r="C1365" s="6" t="s">
        <v>410</v>
      </c>
      <c r="D1365" s="5">
        <v>44898</v>
      </c>
    </row>
    <row r="1366" spans="2:4">
      <c r="B1366" s="6" t="s">
        <v>261</v>
      </c>
      <c r="C1366" s="6" t="s">
        <v>220</v>
      </c>
      <c r="D1366" s="5">
        <v>44898</v>
      </c>
    </row>
    <row r="1367" spans="2:4">
      <c r="B1367" s="6" t="s">
        <v>296</v>
      </c>
      <c r="C1367" s="6" t="s">
        <v>101</v>
      </c>
      <c r="D1367" s="5">
        <v>44898</v>
      </c>
    </row>
    <row r="1368" spans="2:4">
      <c r="B1368" s="6" t="s">
        <v>188</v>
      </c>
      <c r="C1368" s="6" t="s">
        <v>45</v>
      </c>
      <c r="D1368" s="5">
        <v>44898</v>
      </c>
    </row>
    <row r="1369" spans="2:4">
      <c r="B1369" s="6" t="s">
        <v>214</v>
      </c>
      <c r="C1369" s="6" t="s">
        <v>183</v>
      </c>
      <c r="D1369" s="5">
        <v>44898</v>
      </c>
    </row>
    <row r="1370" spans="2:4">
      <c r="B1370" s="6" t="s">
        <v>288</v>
      </c>
      <c r="C1370" s="6" t="s">
        <v>238</v>
      </c>
      <c r="D1370" s="5">
        <v>44898</v>
      </c>
    </row>
    <row r="1371" spans="2:4">
      <c r="B1371" s="6" t="s">
        <v>85</v>
      </c>
      <c r="C1371" s="6" t="s">
        <v>303</v>
      </c>
      <c r="D1371" s="5">
        <v>44898</v>
      </c>
    </row>
    <row r="1372" spans="2:4">
      <c r="B1372" s="6" t="s">
        <v>305</v>
      </c>
      <c r="C1372" s="6" t="s">
        <v>173</v>
      </c>
      <c r="D1372" s="5">
        <v>44898</v>
      </c>
    </row>
    <row r="1373" spans="2:4">
      <c r="B1373" s="6" t="s">
        <v>146</v>
      </c>
      <c r="C1373" s="6" t="s">
        <v>97</v>
      </c>
      <c r="D1373" s="5">
        <v>44898</v>
      </c>
    </row>
    <row r="1374" spans="2:4">
      <c r="B1374" s="6" t="s">
        <v>118</v>
      </c>
      <c r="C1374" s="6" t="s">
        <v>199</v>
      </c>
      <c r="D1374" s="5">
        <v>44898</v>
      </c>
    </row>
    <row r="1375" spans="2:4">
      <c r="B1375" s="6" t="s">
        <v>110</v>
      </c>
      <c r="C1375" s="6" t="s">
        <v>354</v>
      </c>
      <c r="D1375" s="5">
        <v>44898</v>
      </c>
    </row>
    <row r="1376" spans="2:4">
      <c r="B1376" s="6" t="s">
        <v>425</v>
      </c>
      <c r="C1376" s="6" t="s">
        <v>104</v>
      </c>
      <c r="D1376" s="5">
        <v>44898</v>
      </c>
    </row>
    <row r="1377" spans="2:4">
      <c r="B1377" s="6" t="s">
        <v>177</v>
      </c>
      <c r="C1377" s="6" t="s">
        <v>113</v>
      </c>
      <c r="D1377" s="5">
        <v>44898</v>
      </c>
    </row>
    <row r="1378" spans="2:4">
      <c r="B1378" s="6" t="s">
        <v>318</v>
      </c>
      <c r="C1378" s="6" t="s">
        <v>213</v>
      </c>
      <c r="D1378" s="5">
        <v>44898</v>
      </c>
    </row>
    <row r="1379" spans="2:4">
      <c r="B1379" s="6" t="s">
        <v>114</v>
      </c>
      <c r="C1379" s="6" t="s">
        <v>301</v>
      </c>
      <c r="D1379" s="5">
        <v>44898</v>
      </c>
    </row>
    <row r="1380" spans="2:4">
      <c r="B1380" s="6" t="s">
        <v>336</v>
      </c>
      <c r="C1380" s="6" t="s">
        <v>269</v>
      </c>
      <c r="D1380" s="5">
        <v>44898</v>
      </c>
    </row>
    <row r="1381" spans="2:4">
      <c r="B1381" s="6" t="s">
        <v>191</v>
      </c>
      <c r="C1381" s="6" t="s">
        <v>294</v>
      </c>
      <c r="D1381" s="5">
        <v>44898</v>
      </c>
    </row>
    <row r="1382" spans="2:4">
      <c r="B1382" s="6" t="s">
        <v>297</v>
      </c>
      <c r="C1382" s="6" t="s">
        <v>250</v>
      </c>
      <c r="D1382" s="5">
        <v>44898</v>
      </c>
    </row>
    <row r="1383" spans="2:4">
      <c r="B1383" s="6" t="s">
        <v>413</v>
      </c>
      <c r="C1383" s="6" t="s">
        <v>200</v>
      </c>
      <c r="D1383" s="5">
        <v>44898</v>
      </c>
    </row>
    <row r="1384" spans="2:4">
      <c r="B1384" s="6" t="s">
        <v>281</v>
      </c>
      <c r="C1384" s="6" t="s">
        <v>140</v>
      </c>
      <c r="D1384" s="5">
        <v>44898</v>
      </c>
    </row>
    <row r="1385" spans="2:4">
      <c r="B1385" s="6" t="s">
        <v>284</v>
      </c>
      <c r="C1385" s="6" t="s">
        <v>109</v>
      </c>
      <c r="D1385" s="5">
        <v>44898</v>
      </c>
    </row>
    <row r="1386" spans="2:4">
      <c r="B1386" s="6" t="s">
        <v>351</v>
      </c>
      <c r="C1386" s="6" t="s">
        <v>586</v>
      </c>
      <c r="D1386" s="5">
        <v>44898</v>
      </c>
    </row>
    <row r="1387" spans="2:4">
      <c r="B1387" s="6" t="s">
        <v>42</v>
      </c>
      <c r="C1387" s="6" t="s">
        <v>304</v>
      </c>
      <c r="D1387" s="5">
        <v>44898</v>
      </c>
    </row>
    <row r="1388" spans="2:4">
      <c r="B1388" s="6" t="s">
        <v>203</v>
      </c>
      <c r="C1388" s="6" t="s">
        <v>252</v>
      </c>
      <c r="D1388" s="5">
        <v>44898</v>
      </c>
    </row>
    <row r="1389" spans="2:4">
      <c r="B1389" s="6" t="s">
        <v>345</v>
      </c>
      <c r="C1389" s="6" t="s">
        <v>646</v>
      </c>
      <c r="D1389" s="5">
        <v>44898</v>
      </c>
    </row>
    <row r="1390" spans="2:4">
      <c r="B1390" s="6" t="s">
        <v>415</v>
      </c>
      <c r="C1390" s="6" t="s">
        <v>516</v>
      </c>
      <c r="D1390" s="5">
        <v>44898</v>
      </c>
    </row>
    <row r="1391" spans="2:4">
      <c r="B1391" s="6" t="s">
        <v>388</v>
      </c>
      <c r="C1391" s="6" t="s">
        <v>346</v>
      </c>
      <c r="D1391" s="5">
        <v>44898</v>
      </c>
    </row>
    <row r="1392" spans="2:4">
      <c r="B1392" s="6" t="s">
        <v>332</v>
      </c>
      <c r="C1392" s="6" t="s">
        <v>448</v>
      </c>
      <c r="D1392" s="5">
        <v>44898</v>
      </c>
    </row>
    <row r="1393" spans="2:4">
      <c r="B1393" s="6" t="s">
        <v>370</v>
      </c>
      <c r="C1393" s="6" t="s">
        <v>194</v>
      </c>
      <c r="D1393" s="5">
        <v>44898</v>
      </c>
    </row>
    <row r="1394" spans="2:4">
      <c r="B1394" s="6" t="s">
        <v>264</v>
      </c>
      <c r="C1394" s="6" t="s">
        <v>395</v>
      </c>
      <c r="D1394" s="5">
        <v>44898</v>
      </c>
    </row>
    <row r="1395" spans="2:4">
      <c r="B1395" s="6" t="s">
        <v>242</v>
      </c>
      <c r="C1395" s="6" t="s">
        <v>655</v>
      </c>
      <c r="D1395" s="5">
        <v>44898</v>
      </c>
    </row>
    <row r="1396" spans="2:4">
      <c r="B1396" s="6" t="s">
        <v>419</v>
      </c>
      <c r="C1396" s="6" t="s">
        <v>210</v>
      </c>
      <c r="D1396" s="5">
        <v>44898</v>
      </c>
    </row>
    <row r="1397" spans="2:4">
      <c r="B1397" s="6" t="s">
        <v>610</v>
      </c>
      <c r="C1397" s="6" t="s">
        <v>656</v>
      </c>
      <c r="D1397" s="5">
        <v>44898</v>
      </c>
    </row>
    <row r="1398" spans="2:4">
      <c r="B1398" s="6" t="s">
        <v>397</v>
      </c>
      <c r="C1398" s="6" t="s">
        <v>422</v>
      </c>
      <c r="D1398" s="5">
        <v>44898</v>
      </c>
    </row>
    <row r="1399" spans="2:4">
      <c r="B1399" s="6" t="s">
        <v>333</v>
      </c>
      <c r="C1399" s="6" t="s">
        <v>439</v>
      </c>
      <c r="D1399" s="5">
        <v>44898</v>
      </c>
    </row>
    <row r="1400" spans="2:4">
      <c r="B1400" s="6" t="s">
        <v>330</v>
      </c>
      <c r="C1400" s="6" t="s">
        <v>344</v>
      </c>
      <c r="D1400" s="5">
        <v>44898</v>
      </c>
    </row>
    <row r="1401" spans="2:4">
      <c r="B1401" s="6" t="s">
        <v>157</v>
      </c>
      <c r="C1401" s="6" t="s">
        <v>208</v>
      </c>
      <c r="D1401" s="5">
        <v>44898</v>
      </c>
    </row>
    <row r="1402" spans="2:4">
      <c r="B1402" s="6" t="s">
        <v>44</v>
      </c>
      <c r="C1402" s="6" t="s">
        <v>54</v>
      </c>
      <c r="D1402" s="5">
        <v>44898</v>
      </c>
    </row>
    <row r="1403" spans="2:4">
      <c r="B1403" s="6" t="s">
        <v>84</v>
      </c>
      <c r="C1403" s="6" t="s">
        <v>433</v>
      </c>
      <c r="D1403" s="5">
        <v>44898</v>
      </c>
    </row>
    <row r="1404" spans="2:4">
      <c r="B1404" s="6" t="s">
        <v>64</v>
      </c>
      <c r="C1404" s="6" t="s">
        <v>62</v>
      </c>
      <c r="D1404" s="5">
        <v>44898</v>
      </c>
    </row>
    <row r="1405" spans="2:4">
      <c r="B1405" s="6" t="s">
        <v>120</v>
      </c>
      <c r="C1405" s="6" t="s">
        <v>283</v>
      </c>
      <c r="D1405" s="5">
        <v>44898</v>
      </c>
    </row>
    <row r="1406" spans="2:4">
      <c r="B1406" s="6" t="s">
        <v>277</v>
      </c>
      <c r="C1406" s="6" t="s">
        <v>454</v>
      </c>
      <c r="D1406" s="5">
        <v>44898</v>
      </c>
    </row>
    <row r="1407" spans="2:4">
      <c r="B1407" s="6" t="s">
        <v>147</v>
      </c>
      <c r="C1407" s="6" t="s">
        <v>309</v>
      </c>
      <c r="D1407" s="5">
        <v>44898</v>
      </c>
    </row>
    <row r="1408" spans="2:4">
      <c r="B1408" s="6" t="s">
        <v>138</v>
      </c>
      <c r="C1408" s="6" t="s">
        <v>253</v>
      </c>
      <c r="D1408" s="5">
        <v>44898</v>
      </c>
    </row>
    <row r="1409" spans="2:4">
      <c r="B1409" s="6" t="s">
        <v>126</v>
      </c>
      <c r="C1409" s="6" t="s">
        <v>590</v>
      </c>
      <c r="D1409" s="5">
        <v>44898</v>
      </c>
    </row>
    <row r="1410" spans="2:4">
      <c r="B1410" s="6" t="s">
        <v>129</v>
      </c>
      <c r="C1410" s="6" t="s">
        <v>267</v>
      </c>
      <c r="D1410" s="5">
        <v>44898</v>
      </c>
    </row>
    <row r="1411" spans="2:4">
      <c r="B1411" s="6" t="s">
        <v>152</v>
      </c>
      <c r="C1411" s="6" t="s">
        <v>381</v>
      </c>
      <c r="D1411" s="5">
        <v>44898</v>
      </c>
    </row>
    <row r="1412" spans="2:4">
      <c r="B1412" s="6" t="s">
        <v>383</v>
      </c>
      <c r="C1412" s="6" t="s">
        <v>420</v>
      </c>
      <c r="D1412" s="5">
        <v>44898</v>
      </c>
    </row>
    <row r="1413" spans="2:4">
      <c r="B1413" s="6" t="s">
        <v>133</v>
      </c>
      <c r="C1413" s="6" t="s">
        <v>241</v>
      </c>
      <c r="D1413" s="5">
        <v>44898</v>
      </c>
    </row>
    <row r="1414" spans="2:4">
      <c r="B1414" s="6" t="s">
        <v>402</v>
      </c>
      <c r="C1414" s="6" t="s">
        <v>198</v>
      </c>
      <c r="D1414" s="5">
        <v>44898</v>
      </c>
    </row>
    <row r="1415" spans="2:4">
      <c r="B1415" s="6" t="s">
        <v>376</v>
      </c>
      <c r="C1415" s="6" t="s">
        <v>471</v>
      </c>
      <c r="D1415" s="5">
        <v>44898</v>
      </c>
    </row>
    <row r="1416" spans="2:4">
      <c r="B1416" s="6" t="s">
        <v>233</v>
      </c>
      <c r="C1416" s="6" t="s">
        <v>117</v>
      </c>
      <c r="D1416" s="5">
        <v>44898</v>
      </c>
    </row>
    <row r="1417" spans="2:4">
      <c r="B1417" s="6" t="s">
        <v>436</v>
      </c>
      <c r="C1417" s="6" t="s">
        <v>353</v>
      </c>
      <c r="D1417" s="5">
        <v>44898</v>
      </c>
    </row>
    <row r="1418" spans="2:4">
      <c r="B1418" s="6" t="s">
        <v>350</v>
      </c>
      <c r="C1418" s="6" t="s">
        <v>155</v>
      </c>
      <c r="D1418" s="5">
        <v>44898</v>
      </c>
    </row>
    <row r="1419" spans="2:4">
      <c r="B1419" s="6" t="s">
        <v>111</v>
      </c>
      <c r="C1419" s="6" t="s">
        <v>276</v>
      </c>
      <c r="D1419" s="5">
        <v>44898</v>
      </c>
    </row>
    <row r="1420" spans="2:4">
      <c r="B1420" s="6" t="s">
        <v>386</v>
      </c>
      <c r="C1420" s="6" t="s">
        <v>426</v>
      </c>
      <c r="D1420" s="5">
        <v>44898</v>
      </c>
    </row>
    <row r="1421" spans="2:4">
      <c r="B1421" s="6" t="s">
        <v>37</v>
      </c>
      <c r="C1421" s="6" t="s">
        <v>65</v>
      </c>
      <c r="D1421" s="5">
        <v>44898</v>
      </c>
    </row>
    <row r="1422" spans="2:4">
      <c r="B1422" s="6" t="s">
        <v>160</v>
      </c>
      <c r="C1422" s="6" t="s">
        <v>389</v>
      </c>
      <c r="D1422" s="5">
        <v>44898</v>
      </c>
    </row>
    <row r="1423" spans="2:4">
      <c r="B1423" s="6" t="s">
        <v>193</v>
      </c>
      <c r="C1423" s="6" t="s">
        <v>127</v>
      </c>
      <c r="D1423" s="5">
        <v>44898</v>
      </c>
    </row>
    <row r="1424" spans="2:4">
      <c r="B1424" s="6" t="s">
        <v>179</v>
      </c>
      <c r="C1424" s="6" t="s">
        <v>96</v>
      </c>
      <c r="D1424" s="5">
        <v>44898</v>
      </c>
    </row>
    <row r="1425" spans="2:4">
      <c r="B1425" s="6" t="s">
        <v>580</v>
      </c>
      <c r="C1425" s="6" t="s">
        <v>116</v>
      </c>
      <c r="D1425" s="5">
        <v>44898</v>
      </c>
    </row>
    <row r="1426" spans="2:4">
      <c r="B1426" s="6" t="s">
        <v>134</v>
      </c>
      <c r="C1426" s="6" t="s">
        <v>365</v>
      </c>
      <c r="D1426" s="5">
        <v>44898</v>
      </c>
    </row>
    <row r="1427" spans="2:4">
      <c r="B1427" s="6" t="s">
        <v>382</v>
      </c>
      <c r="C1427" s="6" t="s">
        <v>295</v>
      </c>
      <c r="D1427" s="5">
        <v>44898</v>
      </c>
    </row>
    <row r="1428" spans="2:4">
      <c r="B1428" s="6" t="s">
        <v>393</v>
      </c>
      <c r="C1428" s="6" t="s">
        <v>359</v>
      </c>
      <c r="D1428" s="5">
        <v>44898</v>
      </c>
    </row>
    <row r="1429" spans="2:4">
      <c r="B1429" s="6" t="s">
        <v>423</v>
      </c>
      <c r="C1429" s="6" t="s">
        <v>427</v>
      </c>
      <c r="D1429" s="5">
        <v>44898</v>
      </c>
    </row>
    <row r="1430" spans="2:4">
      <c r="B1430" s="6" t="s">
        <v>124</v>
      </c>
      <c r="C1430" s="6" t="s">
        <v>40</v>
      </c>
      <c r="D1430" s="5">
        <v>44898</v>
      </c>
    </row>
    <row r="1431" spans="2:4">
      <c r="B1431" s="6" t="s">
        <v>185</v>
      </c>
      <c r="C1431" s="6" t="s">
        <v>103</v>
      </c>
      <c r="D1431" s="5">
        <v>44898</v>
      </c>
    </row>
    <row r="1432" spans="2:4">
      <c r="B1432" s="6" t="s">
        <v>287</v>
      </c>
      <c r="C1432" s="6" t="s">
        <v>273</v>
      </c>
      <c r="D1432" s="5">
        <v>44898</v>
      </c>
    </row>
    <row r="1433" spans="2:4">
      <c r="B1433" s="6" t="s">
        <v>363</v>
      </c>
      <c r="C1433" s="6" t="s">
        <v>280</v>
      </c>
      <c r="D1433" s="5">
        <v>44898</v>
      </c>
    </row>
    <row r="1434" spans="2:4">
      <c r="B1434" s="6" t="s">
        <v>135</v>
      </c>
      <c r="C1434" s="6" t="s">
        <v>357</v>
      </c>
      <c r="D1434" s="5">
        <v>44898</v>
      </c>
    </row>
    <row r="1435" spans="2:4">
      <c r="B1435" s="6" t="s">
        <v>256</v>
      </c>
      <c r="C1435" s="6" t="s">
        <v>412</v>
      </c>
      <c r="D1435" s="5">
        <v>44898</v>
      </c>
    </row>
    <row r="1436" spans="2:4">
      <c r="B1436" s="6" t="s">
        <v>99</v>
      </c>
      <c r="C1436" s="6" t="s">
        <v>100</v>
      </c>
      <c r="D1436" s="5">
        <v>44898</v>
      </c>
    </row>
    <row r="1437" spans="2:4">
      <c r="B1437" s="6" t="s">
        <v>39</v>
      </c>
      <c r="C1437" s="6" t="s">
        <v>32</v>
      </c>
      <c r="D1437" s="5">
        <v>44898</v>
      </c>
    </row>
    <row r="1438" spans="2:4">
      <c r="B1438" s="6" t="s">
        <v>329</v>
      </c>
      <c r="C1438" s="6" t="s">
        <v>657</v>
      </c>
      <c r="D1438" s="5">
        <v>44898</v>
      </c>
    </row>
    <row r="1439" spans="2:4">
      <c r="B1439" s="6" t="s">
        <v>112</v>
      </c>
      <c r="C1439" s="6" t="s">
        <v>244</v>
      </c>
      <c r="D1439" s="5">
        <v>44898</v>
      </c>
    </row>
    <row r="1440" spans="2:4">
      <c r="B1440" s="6" t="s">
        <v>136</v>
      </c>
      <c r="C1440" s="6" t="s">
        <v>310</v>
      </c>
      <c r="D1440" s="5">
        <v>44898</v>
      </c>
    </row>
    <row r="1441" spans="2:4">
      <c r="B1441" s="6" t="s">
        <v>91</v>
      </c>
      <c r="C1441" s="6" t="s">
        <v>162</v>
      </c>
      <c r="D1441" s="5">
        <v>44898</v>
      </c>
    </row>
    <row r="1442" spans="2:4">
      <c r="B1442" s="6" t="s">
        <v>144</v>
      </c>
      <c r="C1442" s="6" t="s">
        <v>88</v>
      </c>
      <c r="D1442" s="5">
        <v>44898</v>
      </c>
    </row>
    <row r="1443" spans="2:4">
      <c r="B1443" s="6" t="s">
        <v>348</v>
      </c>
      <c r="C1443" s="6" t="s">
        <v>508</v>
      </c>
      <c r="D1443" s="5">
        <v>44898</v>
      </c>
    </row>
    <row r="1444" spans="2:4">
      <c r="B1444" s="6" t="s">
        <v>320</v>
      </c>
      <c r="C1444" s="6" t="s">
        <v>119</v>
      </c>
      <c r="D1444" s="5">
        <v>44898</v>
      </c>
    </row>
    <row r="1445" spans="2:4">
      <c r="B1445" s="6" t="s">
        <v>331</v>
      </c>
      <c r="C1445" s="6" t="s">
        <v>603</v>
      </c>
      <c r="D1445" s="5">
        <v>44898</v>
      </c>
    </row>
    <row r="1446" spans="2:4">
      <c r="B1446" s="6" t="s">
        <v>153</v>
      </c>
      <c r="C1446" s="6" t="s">
        <v>378</v>
      </c>
      <c r="D1446" s="5">
        <v>44898</v>
      </c>
    </row>
    <row r="1447" spans="2:4">
      <c r="B1447" s="6" t="s">
        <v>165</v>
      </c>
      <c r="C1447" s="6" t="s">
        <v>403</v>
      </c>
      <c r="D1447" s="5">
        <v>44898</v>
      </c>
    </row>
    <row r="1448" spans="2:4">
      <c r="B1448" s="6" t="s">
        <v>161</v>
      </c>
      <c r="C1448" s="6" t="s">
        <v>196</v>
      </c>
      <c r="D1448" s="5">
        <v>44898</v>
      </c>
    </row>
    <row r="1449" spans="2:4">
      <c r="B1449" s="6" t="s">
        <v>358</v>
      </c>
      <c r="C1449" s="6" t="s">
        <v>172</v>
      </c>
      <c r="D1449" s="5">
        <v>44898</v>
      </c>
    </row>
    <row r="1450" spans="2:4">
      <c r="B1450" s="6" t="s">
        <v>82</v>
      </c>
      <c r="C1450" s="6" t="s">
        <v>385</v>
      </c>
      <c r="D1450" s="5">
        <v>44898</v>
      </c>
    </row>
    <row r="1451" spans="2:4">
      <c r="B1451" s="6" t="s">
        <v>207</v>
      </c>
      <c r="C1451" s="6" t="s">
        <v>159</v>
      </c>
      <c r="D1451" s="5">
        <v>44898</v>
      </c>
    </row>
    <row r="1452" spans="2:4">
      <c r="B1452" s="6" t="s">
        <v>206</v>
      </c>
      <c r="C1452" s="6" t="s">
        <v>607</v>
      </c>
      <c r="D1452" s="5">
        <v>44898</v>
      </c>
    </row>
    <row r="1453" spans="2:4">
      <c r="B1453" s="6" t="s">
        <v>341</v>
      </c>
      <c r="C1453" s="6" t="s">
        <v>364</v>
      </c>
      <c r="D1453" s="5">
        <v>44898</v>
      </c>
    </row>
    <row r="1454" spans="2:4">
      <c r="B1454" s="6" t="s">
        <v>167</v>
      </c>
      <c r="C1454" s="6" t="s">
        <v>394</v>
      </c>
      <c r="D1454" s="5">
        <v>44898</v>
      </c>
    </row>
    <row r="1455" spans="2:4">
      <c r="B1455" s="6" t="s">
        <v>375</v>
      </c>
      <c r="C1455" s="6" t="s">
        <v>189</v>
      </c>
      <c r="D1455" s="5">
        <v>44898</v>
      </c>
    </row>
    <row r="1456" spans="2:4">
      <c r="B1456" s="6" t="s">
        <v>33</v>
      </c>
      <c r="C1456" s="6" t="s">
        <v>352</v>
      </c>
      <c r="D1456" s="5">
        <v>44898</v>
      </c>
    </row>
    <row r="1457" spans="2:4">
      <c r="B1457" s="6" t="s">
        <v>212</v>
      </c>
      <c r="C1457" s="6" t="s">
        <v>398</v>
      </c>
      <c r="D1457" s="5">
        <v>44898</v>
      </c>
    </row>
    <row r="1458" spans="2:4">
      <c r="B1458" s="6" t="s">
        <v>166</v>
      </c>
      <c r="C1458" s="6" t="s">
        <v>163</v>
      </c>
      <c r="D1458" s="5">
        <v>44898</v>
      </c>
    </row>
    <row r="1459" spans="2:4">
      <c r="B1459" s="6" t="s">
        <v>396</v>
      </c>
      <c r="C1459" s="6" t="s">
        <v>169</v>
      </c>
      <c r="D1459" s="5">
        <v>44898</v>
      </c>
    </row>
    <row r="1460" spans="2:4">
      <c r="B1460" s="6" t="s">
        <v>266</v>
      </c>
      <c r="C1460" s="6" t="s">
        <v>418</v>
      </c>
      <c r="D1460" s="5">
        <v>44899</v>
      </c>
    </row>
    <row r="1461" spans="2:4">
      <c r="B1461" s="6" t="s">
        <v>361</v>
      </c>
      <c r="C1461" s="6" t="s">
        <v>174</v>
      </c>
      <c r="D1461" s="5">
        <v>44899</v>
      </c>
    </row>
    <row r="1462" spans="2:4">
      <c r="B1462" s="6" t="s">
        <v>187</v>
      </c>
      <c r="C1462" s="6" t="s">
        <v>106</v>
      </c>
      <c r="D1462" s="5">
        <v>44899</v>
      </c>
    </row>
    <row r="1463" spans="2:4">
      <c r="B1463" s="6" t="s">
        <v>80</v>
      </c>
      <c r="C1463" s="6" t="s">
        <v>59</v>
      </c>
      <c r="D1463" s="5">
        <v>44899</v>
      </c>
    </row>
    <row r="1464" spans="2:4">
      <c r="B1464" s="6" t="s">
        <v>125</v>
      </c>
      <c r="C1464" s="6" t="s">
        <v>137</v>
      </c>
      <c r="D1464" s="5">
        <v>44899</v>
      </c>
    </row>
    <row r="1465" spans="2:4">
      <c r="B1465" s="6" t="s">
        <v>43</v>
      </c>
      <c r="C1465" s="6" t="s">
        <v>48</v>
      </c>
      <c r="D1465" s="5">
        <v>44899</v>
      </c>
    </row>
    <row r="1466" spans="2:4">
      <c r="B1466" s="6" t="s">
        <v>285</v>
      </c>
      <c r="C1466" s="6" t="s">
        <v>211</v>
      </c>
      <c r="D1466" s="5">
        <v>44899</v>
      </c>
    </row>
    <row r="1467" spans="2:4">
      <c r="B1467" s="6" t="s">
        <v>105</v>
      </c>
      <c r="C1467" s="6" t="s">
        <v>658</v>
      </c>
      <c r="D1467" s="5">
        <v>44899</v>
      </c>
    </row>
    <row r="1468" spans="2:4">
      <c r="B1468" s="6" t="s">
        <v>139</v>
      </c>
      <c r="C1468" s="6" t="s">
        <v>312</v>
      </c>
      <c r="D1468" s="5">
        <v>44899</v>
      </c>
    </row>
    <row r="1469" spans="2:4">
      <c r="B1469" s="6" t="s">
        <v>326</v>
      </c>
      <c r="C1469" s="6" t="s">
        <v>186</v>
      </c>
      <c r="D1469" s="5">
        <v>44899</v>
      </c>
    </row>
    <row r="1470" spans="2:4">
      <c r="B1470" s="6" t="s">
        <v>175</v>
      </c>
      <c r="C1470" s="6" t="s">
        <v>205</v>
      </c>
      <c r="D1470" s="5">
        <v>44899</v>
      </c>
    </row>
    <row r="1471" spans="2:4">
      <c r="B1471" s="6" t="s">
        <v>272</v>
      </c>
      <c r="C1471" s="6" t="s">
        <v>259</v>
      </c>
      <c r="D1471" s="5">
        <v>44899</v>
      </c>
    </row>
    <row r="1472" spans="2:4">
      <c r="B1472" s="6" t="s">
        <v>411</v>
      </c>
      <c r="C1472" s="6" t="s">
        <v>102</v>
      </c>
      <c r="D1472" s="5">
        <v>44899</v>
      </c>
    </row>
    <row r="1473" spans="2:4">
      <c r="B1473" s="6" t="s">
        <v>202</v>
      </c>
      <c r="C1473" s="6" t="s">
        <v>337</v>
      </c>
      <c r="D1473" s="5">
        <v>44899</v>
      </c>
    </row>
    <row r="1474" spans="2:4">
      <c r="B1474" s="6" t="s">
        <v>108</v>
      </c>
      <c r="C1474" s="6" t="s">
        <v>659</v>
      </c>
      <c r="D1474" s="5">
        <v>44899</v>
      </c>
    </row>
    <row r="1475" spans="2:4">
      <c r="B1475" s="6" t="s">
        <v>122</v>
      </c>
      <c r="C1475" s="6" t="s">
        <v>107</v>
      </c>
      <c r="D1475" s="5">
        <v>44899</v>
      </c>
    </row>
    <row r="1476" spans="2:4">
      <c r="B1476" s="6" t="s">
        <v>195</v>
      </c>
      <c r="C1476" s="6" t="s">
        <v>306</v>
      </c>
      <c r="D1476" s="5">
        <v>44899</v>
      </c>
    </row>
    <row r="1477" spans="2:4">
      <c r="B1477" s="6" t="s">
        <v>230</v>
      </c>
      <c r="C1477" s="6" t="s">
        <v>115</v>
      </c>
      <c r="D1477" s="5">
        <v>44899</v>
      </c>
    </row>
    <row r="1478" spans="2:4">
      <c r="B1478" s="6" t="s">
        <v>79</v>
      </c>
      <c r="C1478" s="6" t="s">
        <v>142</v>
      </c>
      <c r="D1478" s="5">
        <v>44899</v>
      </c>
    </row>
    <row r="1479" spans="2:4">
      <c r="B1479" s="6" t="s">
        <v>247</v>
      </c>
      <c r="C1479" s="6" t="s">
        <v>421</v>
      </c>
      <c r="D1479" s="5">
        <v>44899</v>
      </c>
    </row>
    <row r="1480" spans="2:4">
      <c r="B1480" s="6" t="s">
        <v>52</v>
      </c>
      <c r="C1480" s="6" t="s">
        <v>251</v>
      </c>
      <c r="D1480" s="5">
        <v>44899</v>
      </c>
    </row>
    <row r="1481" spans="2:4">
      <c r="B1481" s="6" t="s">
        <v>347</v>
      </c>
      <c r="C1481" s="6" t="s">
        <v>615</v>
      </c>
      <c r="D1481" s="5">
        <v>44899</v>
      </c>
    </row>
    <row r="1482" spans="2:4">
      <c r="B1482" s="6" t="s">
        <v>584</v>
      </c>
      <c r="C1482" s="6" t="s">
        <v>500</v>
      </c>
      <c r="D1482" s="5">
        <v>44899</v>
      </c>
    </row>
    <row r="1483" spans="2:4">
      <c r="B1483" s="6" t="s">
        <v>150</v>
      </c>
      <c r="C1483" s="6" t="s">
        <v>143</v>
      </c>
      <c r="D1483" s="5">
        <v>44899</v>
      </c>
    </row>
    <row r="1484" spans="2:4">
      <c r="B1484" s="6" t="s">
        <v>71</v>
      </c>
      <c r="C1484" s="6" t="s">
        <v>72</v>
      </c>
      <c r="D1484" s="5">
        <v>44899</v>
      </c>
    </row>
    <row r="1485" spans="2:4">
      <c r="B1485" s="6" t="s">
        <v>31</v>
      </c>
      <c r="C1485" s="6" t="s">
        <v>302</v>
      </c>
      <c r="D1485" s="5">
        <v>44899</v>
      </c>
    </row>
    <row r="1486" spans="2:4">
      <c r="B1486" s="6" t="s">
        <v>138</v>
      </c>
      <c r="C1486" s="6" t="s">
        <v>660</v>
      </c>
      <c r="D1486" s="5">
        <v>44899</v>
      </c>
    </row>
    <row r="1487" spans="2:4">
      <c r="B1487" s="6" t="s">
        <v>151</v>
      </c>
      <c r="C1487" s="6" t="s">
        <v>588</v>
      </c>
      <c r="D1487" s="5">
        <v>44899</v>
      </c>
    </row>
    <row r="1488" spans="2:4">
      <c r="B1488" s="6" t="s">
        <v>216</v>
      </c>
      <c r="C1488" s="6" t="s">
        <v>204</v>
      </c>
      <c r="D1488" s="5">
        <v>44899</v>
      </c>
    </row>
    <row r="1489" spans="2:4">
      <c r="B1489" s="6" t="s">
        <v>248</v>
      </c>
      <c r="C1489" s="6" t="s">
        <v>522</v>
      </c>
      <c r="D1489" s="5">
        <v>44899</v>
      </c>
    </row>
    <row r="1490" spans="2:4">
      <c r="B1490" s="6" t="s">
        <v>78</v>
      </c>
      <c r="C1490" s="6" t="s">
        <v>77</v>
      </c>
      <c r="D1490" s="5">
        <v>44899</v>
      </c>
    </row>
    <row r="1491" spans="2:4">
      <c r="B1491" s="6" t="s">
        <v>87</v>
      </c>
      <c r="C1491" s="6" t="s">
        <v>321</v>
      </c>
      <c r="D1491" s="5">
        <v>44899</v>
      </c>
    </row>
    <row r="1492" spans="2:4">
      <c r="B1492" s="6" t="s">
        <v>38</v>
      </c>
      <c r="C1492" s="6" t="s">
        <v>67</v>
      </c>
      <c r="D1492" s="5">
        <v>44899</v>
      </c>
    </row>
    <row r="1493" spans="2:4">
      <c r="B1493" s="6" t="s">
        <v>343</v>
      </c>
      <c r="C1493" s="6" t="s">
        <v>316</v>
      </c>
      <c r="D1493" s="5">
        <v>44899</v>
      </c>
    </row>
    <row r="1494" spans="2:4">
      <c r="B1494" s="6" t="s">
        <v>75</v>
      </c>
      <c r="C1494" s="6" t="s">
        <v>69</v>
      </c>
      <c r="D1494" s="5">
        <v>44899</v>
      </c>
    </row>
    <row r="1495" spans="2:4">
      <c r="B1495" s="6" t="s">
        <v>70</v>
      </c>
      <c r="C1495" s="6" t="s">
        <v>164</v>
      </c>
      <c r="D1495" s="5">
        <v>44899</v>
      </c>
    </row>
    <row r="1496" spans="2:4">
      <c r="B1496" s="6" t="s">
        <v>599</v>
      </c>
      <c r="C1496" s="6" t="s">
        <v>493</v>
      </c>
      <c r="D1496" s="5">
        <v>44899</v>
      </c>
    </row>
    <row r="1497" spans="2:4">
      <c r="B1497" s="6" t="s">
        <v>58</v>
      </c>
      <c r="C1497" s="6" t="s">
        <v>63</v>
      </c>
      <c r="D1497" s="5">
        <v>44899</v>
      </c>
    </row>
    <row r="1498" spans="2:4">
      <c r="B1498" s="6" t="s">
        <v>404</v>
      </c>
      <c r="C1498" s="6" t="s">
        <v>168</v>
      </c>
      <c r="D1498" s="5">
        <v>44899</v>
      </c>
    </row>
    <row r="1499" spans="2:4">
      <c r="B1499" s="6" t="s">
        <v>86</v>
      </c>
      <c r="C1499" s="6" t="s">
        <v>156</v>
      </c>
      <c r="D1499" s="5">
        <v>44899</v>
      </c>
    </row>
    <row r="1500" spans="2:4">
      <c r="B1500" s="6" t="s">
        <v>292</v>
      </c>
      <c r="C1500" s="6" t="s">
        <v>274</v>
      </c>
      <c r="D1500" s="5">
        <v>44899</v>
      </c>
    </row>
    <row r="1501" spans="2:4">
      <c r="B1501" s="6" t="s">
        <v>55</v>
      </c>
      <c r="C1501" s="6" t="s">
        <v>68</v>
      </c>
      <c r="D1501" s="5">
        <v>44899</v>
      </c>
    </row>
    <row r="1502" spans="2:4">
      <c r="B1502" s="6" t="s">
        <v>74</v>
      </c>
      <c r="C1502" s="6" t="s">
        <v>76</v>
      </c>
      <c r="D1502" s="5">
        <v>44899</v>
      </c>
    </row>
    <row r="1503" spans="2:4">
      <c r="B1503" s="6" t="s">
        <v>73</v>
      </c>
      <c r="C1503" s="6" t="s">
        <v>93</v>
      </c>
      <c r="D1503" s="5">
        <v>44899</v>
      </c>
    </row>
    <row r="1504" spans="2:4">
      <c r="B1504" s="6" t="s">
        <v>324</v>
      </c>
      <c r="C1504" s="6" t="s">
        <v>172</v>
      </c>
      <c r="D1504" s="5">
        <v>44900</v>
      </c>
    </row>
    <row r="1505" spans="2:4">
      <c r="B1505" s="6" t="s">
        <v>414</v>
      </c>
      <c r="C1505" s="6" t="s">
        <v>661</v>
      </c>
      <c r="D1505" s="5">
        <v>44900</v>
      </c>
    </row>
    <row r="1506" spans="2:4">
      <c r="B1506" s="6" t="s">
        <v>270</v>
      </c>
      <c r="C1506" s="6" t="s">
        <v>356</v>
      </c>
      <c r="D1506" s="5">
        <v>44900</v>
      </c>
    </row>
    <row r="1507" spans="2:4">
      <c r="B1507" s="6" t="s">
        <v>94</v>
      </c>
      <c r="C1507" s="6" t="s">
        <v>503</v>
      </c>
      <c r="D1507" s="5">
        <v>44900</v>
      </c>
    </row>
    <row r="1508" spans="2:4">
      <c r="B1508" s="6" t="s">
        <v>300</v>
      </c>
      <c r="C1508" s="6" t="s">
        <v>215</v>
      </c>
      <c r="D1508" s="5">
        <v>44900</v>
      </c>
    </row>
    <row r="1509" spans="2:4">
      <c r="B1509" s="6" t="s">
        <v>405</v>
      </c>
      <c r="C1509" s="6" t="s">
        <v>269</v>
      </c>
      <c r="D1509" s="5">
        <v>44900</v>
      </c>
    </row>
    <row r="1510" spans="2:4">
      <c r="B1510" s="6" t="s">
        <v>342</v>
      </c>
      <c r="C1510" s="6" t="s">
        <v>483</v>
      </c>
      <c r="D1510" s="5">
        <v>44900</v>
      </c>
    </row>
    <row r="1511" spans="2:4">
      <c r="B1511" s="6" t="s">
        <v>128</v>
      </c>
      <c r="C1511" s="6" t="s">
        <v>662</v>
      </c>
      <c r="D1511" s="5">
        <v>44900</v>
      </c>
    </row>
    <row r="1512" spans="2:4">
      <c r="B1512" s="6" t="s">
        <v>132</v>
      </c>
      <c r="C1512" s="6" t="s">
        <v>180</v>
      </c>
      <c r="D1512" s="5">
        <v>44900</v>
      </c>
    </row>
    <row r="1513" spans="2:4">
      <c r="B1513" s="6" t="s">
        <v>392</v>
      </c>
      <c r="C1513" s="6" t="s">
        <v>194</v>
      </c>
      <c r="D1513" s="5">
        <v>44900</v>
      </c>
    </row>
    <row r="1514" spans="2:4">
      <c r="B1514" s="6" t="s">
        <v>161</v>
      </c>
      <c r="C1514" s="6" t="s">
        <v>359</v>
      </c>
      <c r="D1514" s="5">
        <v>44900</v>
      </c>
    </row>
    <row r="1515" spans="2:4">
      <c r="B1515" s="6" t="s">
        <v>171</v>
      </c>
      <c r="C1515" s="6" t="s">
        <v>557</v>
      </c>
      <c r="D1515" s="5">
        <v>44901</v>
      </c>
    </row>
    <row r="1516" spans="2:4">
      <c r="B1516" s="6" t="s">
        <v>248</v>
      </c>
      <c r="C1516" s="6" t="s">
        <v>663</v>
      </c>
      <c r="D1516" s="5">
        <v>44901</v>
      </c>
    </row>
    <row r="1517" spans="2:4">
      <c r="B1517" s="6" t="s">
        <v>203</v>
      </c>
      <c r="C1517" s="6" t="s">
        <v>664</v>
      </c>
      <c r="D1517" s="5">
        <v>44901</v>
      </c>
    </row>
    <row r="1518" spans="2:4">
      <c r="B1518" s="6" t="s">
        <v>198</v>
      </c>
      <c r="C1518" s="6" t="s">
        <v>208</v>
      </c>
      <c r="D1518" s="5">
        <v>44901</v>
      </c>
    </row>
    <row r="1519" spans="2:4">
      <c r="B1519" s="6" t="s">
        <v>47</v>
      </c>
      <c r="C1519" s="6" t="s">
        <v>101</v>
      </c>
      <c r="D1519" s="5">
        <v>44901</v>
      </c>
    </row>
    <row r="1520" spans="2:4">
      <c r="B1520" s="6" t="s">
        <v>286</v>
      </c>
      <c r="C1520" s="6" t="s">
        <v>262</v>
      </c>
      <c r="D1520" s="5">
        <v>44901</v>
      </c>
    </row>
    <row r="1521" spans="2:4">
      <c r="B1521" s="6" t="s">
        <v>42</v>
      </c>
      <c r="C1521" s="6" t="s">
        <v>100</v>
      </c>
      <c r="D1521" s="5">
        <v>44901</v>
      </c>
    </row>
    <row r="1522" spans="2:4">
      <c r="B1522" s="6" t="s">
        <v>84</v>
      </c>
      <c r="C1522" s="6" t="s">
        <v>267</v>
      </c>
      <c r="D1522" s="5">
        <v>44901</v>
      </c>
    </row>
    <row r="1523" spans="2:4">
      <c r="B1523" s="6" t="s">
        <v>30</v>
      </c>
      <c r="C1523" s="6" t="s">
        <v>60</v>
      </c>
      <c r="D1523" s="5">
        <v>44901</v>
      </c>
    </row>
    <row r="1524" spans="2:4">
      <c r="B1524" s="6" t="s">
        <v>587</v>
      </c>
      <c r="C1524" s="6" t="s">
        <v>122</v>
      </c>
      <c r="D1524" s="5">
        <v>44901</v>
      </c>
    </row>
    <row r="1525" spans="2:4">
      <c r="B1525" s="6" t="s">
        <v>104</v>
      </c>
      <c r="C1525" s="6" t="s">
        <v>358</v>
      </c>
      <c r="D1525" s="5">
        <v>44901</v>
      </c>
    </row>
    <row r="1526" spans="2:4">
      <c r="B1526" s="6" t="s">
        <v>97</v>
      </c>
      <c r="C1526" s="6" t="s">
        <v>137</v>
      </c>
      <c r="D1526" s="5">
        <v>44901</v>
      </c>
    </row>
    <row r="1527" spans="2:4">
      <c r="B1527" s="6" t="s">
        <v>191</v>
      </c>
      <c r="C1527" s="6" t="s">
        <v>276</v>
      </c>
      <c r="D1527" s="5">
        <v>44901</v>
      </c>
    </row>
    <row r="1528" spans="2:4">
      <c r="B1528" s="6" t="s">
        <v>192</v>
      </c>
      <c r="C1528" s="6" t="s">
        <v>432</v>
      </c>
      <c r="D1528" s="5">
        <v>44901</v>
      </c>
    </row>
    <row r="1529" spans="2:4">
      <c r="B1529" s="6" t="s">
        <v>138</v>
      </c>
      <c r="C1529" s="6" t="s">
        <v>301</v>
      </c>
      <c r="D1529" s="5">
        <v>44901</v>
      </c>
    </row>
    <row r="1530" spans="2:4">
      <c r="B1530" s="6" t="s">
        <v>327</v>
      </c>
      <c r="C1530" s="6" t="s">
        <v>275</v>
      </c>
      <c r="D1530" s="5">
        <v>44901</v>
      </c>
    </row>
    <row r="1531" spans="2:4">
      <c r="B1531" s="6" t="s">
        <v>103</v>
      </c>
      <c r="C1531" s="6" t="s">
        <v>294</v>
      </c>
      <c r="D1531" s="5">
        <v>44901</v>
      </c>
    </row>
    <row r="1532" spans="2:4">
      <c r="B1532" s="6" t="s">
        <v>233</v>
      </c>
      <c r="C1532" s="6" t="s">
        <v>360</v>
      </c>
      <c r="D1532" s="5">
        <v>44901</v>
      </c>
    </row>
    <row r="1533" spans="2:4">
      <c r="B1533" s="6" t="s">
        <v>221</v>
      </c>
      <c r="C1533" s="6" t="s">
        <v>106</v>
      </c>
      <c r="D1533" s="5">
        <v>44901</v>
      </c>
    </row>
    <row r="1534" spans="2:4">
      <c r="B1534" s="6" t="s">
        <v>285</v>
      </c>
      <c r="C1534" s="6" t="s">
        <v>133</v>
      </c>
      <c r="D1534" s="5">
        <v>44901</v>
      </c>
    </row>
    <row r="1535" spans="2:4">
      <c r="B1535" s="6" t="s">
        <v>145</v>
      </c>
      <c r="C1535" s="6" t="s">
        <v>334</v>
      </c>
      <c r="D1535" s="5">
        <v>44901</v>
      </c>
    </row>
    <row r="1536" spans="2:4">
      <c r="B1536" s="6" t="s">
        <v>210</v>
      </c>
      <c r="C1536" s="6" t="s">
        <v>113</v>
      </c>
      <c r="D1536" s="5">
        <v>44901</v>
      </c>
    </row>
    <row r="1537" spans="2:4">
      <c r="B1537" s="6" t="s">
        <v>281</v>
      </c>
      <c r="C1537" s="6" t="s">
        <v>335</v>
      </c>
      <c r="D1537" s="5">
        <v>44901</v>
      </c>
    </row>
    <row r="1538" spans="2:4">
      <c r="B1538" s="6" t="s">
        <v>349</v>
      </c>
      <c r="C1538" s="6" t="s">
        <v>98</v>
      </c>
      <c r="D1538" s="5">
        <v>44901</v>
      </c>
    </row>
    <row r="1539" spans="2:4">
      <c r="B1539" s="6" t="s">
        <v>351</v>
      </c>
      <c r="C1539" s="6" t="s">
        <v>205</v>
      </c>
      <c r="D1539" s="5">
        <v>44901</v>
      </c>
    </row>
    <row r="1540" spans="2:4">
      <c r="B1540" s="6" t="s">
        <v>201</v>
      </c>
      <c r="C1540" s="6" t="s">
        <v>502</v>
      </c>
      <c r="D1540" s="5">
        <v>44901</v>
      </c>
    </row>
    <row r="1541" spans="2:4">
      <c r="B1541" s="6" t="s">
        <v>111</v>
      </c>
      <c r="C1541" s="6" t="s">
        <v>110</v>
      </c>
      <c r="D1541" s="5">
        <v>44901</v>
      </c>
    </row>
    <row r="1542" spans="2:4">
      <c r="B1542" s="6" t="s">
        <v>149</v>
      </c>
      <c r="C1542" s="6" t="s">
        <v>116</v>
      </c>
      <c r="D1542" s="5">
        <v>44901</v>
      </c>
    </row>
    <row r="1543" spans="2:4">
      <c r="B1543" s="6" t="s">
        <v>50</v>
      </c>
      <c r="C1543" s="6" t="s">
        <v>89</v>
      </c>
      <c r="D1543" s="5">
        <v>44901</v>
      </c>
    </row>
    <row r="1544" spans="2:4">
      <c r="B1544" s="6" t="s">
        <v>54</v>
      </c>
      <c r="C1544" s="6" t="s">
        <v>253</v>
      </c>
      <c r="D1544" s="5">
        <v>44901</v>
      </c>
    </row>
    <row r="1545" spans="2:4">
      <c r="B1545" s="6" t="s">
        <v>186</v>
      </c>
      <c r="C1545" s="6" t="s">
        <v>662</v>
      </c>
      <c r="D1545" s="5">
        <v>44901</v>
      </c>
    </row>
    <row r="1546" spans="2:4">
      <c r="B1546" s="6" t="s">
        <v>212</v>
      </c>
      <c r="C1546" s="6" t="s">
        <v>354</v>
      </c>
      <c r="D1546" s="5">
        <v>44901</v>
      </c>
    </row>
    <row r="1547" spans="2:4">
      <c r="B1547" s="6" t="s">
        <v>28</v>
      </c>
      <c r="C1547" s="6" t="s">
        <v>388</v>
      </c>
      <c r="D1547" s="5">
        <v>44901</v>
      </c>
    </row>
    <row r="1548" spans="2:4">
      <c r="B1548" s="6" t="s">
        <v>34</v>
      </c>
      <c r="C1548" s="6" t="s">
        <v>364</v>
      </c>
      <c r="D1548" s="5">
        <v>44901</v>
      </c>
    </row>
    <row r="1549" spans="2:4">
      <c r="B1549" s="6" t="s">
        <v>188</v>
      </c>
      <c r="C1549" s="6" t="s">
        <v>409</v>
      </c>
      <c r="D1549" s="5">
        <v>44901</v>
      </c>
    </row>
    <row r="1550" spans="2:4">
      <c r="B1550" s="6" t="s">
        <v>147</v>
      </c>
      <c r="C1550" s="6" t="s">
        <v>455</v>
      </c>
      <c r="D1550" s="5">
        <v>44901</v>
      </c>
    </row>
    <row r="1551" spans="2:4">
      <c r="B1551" s="6" t="s">
        <v>309</v>
      </c>
      <c r="C1551" s="6" t="s">
        <v>504</v>
      </c>
      <c r="D1551" s="5">
        <v>44901</v>
      </c>
    </row>
    <row r="1552" spans="2:4">
      <c r="B1552" s="6" t="s">
        <v>139</v>
      </c>
      <c r="C1552" s="6" t="s">
        <v>468</v>
      </c>
      <c r="D1552" s="5">
        <v>44901</v>
      </c>
    </row>
    <row r="1553" spans="2:4">
      <c r="B1553" s="6" t="s">
        <v>584</v>
      </c>
      <c r="C1553" s="6" t="s">
        <v>477</v>
      </c>
      <c r="D1553" s="5">
        <v>44901</v>
      </c>
    </row>
    <row r="1554" spans="2:4">
      <c r="B1554" s="6" t="s">
        <v>323</v>
      </c>
      <c r="C1554" s="6" t="s">
        <v>135</v>
      </c>
      <c r="D1554" s="5">
        <v>44901</v>
      </c>
    </row>
    <row r="1555" spans="2:4">
      <c r="B1555" s="6" t="s">
        <v>370</v>
      </c>
      <c r="C1555" s="6" t="s">
        <v>119</v>
      </c>
      <c r="D1555" s="5">
        <v>44901</v>
      </c>
    </row>
    <row r="1556" spans="2:4">
      <c r="B1556" s="6" t="s">
        <v>144</v>
      </c>
      <c r="C1556" s="6" t="s">
        <v>240</v>
      </c>
      <c r="D1556" s="5">
        <v>44901</v>
      </c>
    </row>
    <row r="1557" spans="2:4">
      <c r="B1557" s="6" t="s">
        <v>350</v>
      </c>
      <c r="C1557" s="6" t="s">
        <v>324</v>
      </c>
      <c r="D1557" s="5">
        <v>44901</v>
      </c>
    </row>
    <row r="1558" spans="2:4">
      <c r="B1558" s="6" t="s">
        <v>355</v>
      </c>
      <c r="C1558" s="6" t="s">
        <v>367</v>
      </c>
      <c r="D1558" s="5">
        <v>44901</v>
      </c>
    </row>
    <row r="1559" spans="2:4">
      <c r="B1559" s="6" t="s">
        <v>29</v>
      </c>
      <c r="C1559" s="6" t="s">
        <v>331</v>
      </c>
      <c r="D1559" s="5">
        <v>44901</v>
      </c>
    </row>
    <row r="1560" spans="2:4">
      <c r="B1560" s="6" t="s">
        <v>33</v>
      </c>
      <c r="C1560" s="6" t="s">
        <v>345</v>
      </c>
      <c r="D1560" s="5">
        <v>44901</v>
      </c>
    </row>
    <row r="1561" spans="2:4">
      <c r="B1561" s="6" t="s">
        <v>318</v>
      </c>
      <c r="C1561" s="6" t="s">
        <v>140</v>
      </c>
      <c r="D1561" s="5">
        <v>44901</v>
      </c>
    </row>
    <row r="1562" spans="2:4">
      <c r="B1562" s="6" t="s">
        <v>37</v>
      </c>
      <c r="C1562" s="6" t="s">
        <v>277</v>
      </c>
      <c r="D1562" s="5">
        <v>44901</v>
      </c>
    </row>
    <row r="1563" spans="2:4">
      <c r="B1563" s="6" t="s">
        <v>152</v>
      </c>
      <c r="C1563" s="6" t="s">
        <v>588</v>
      </c>
      <c r="D1563" s="5">
        <v>44901</v>
      </c>
    </row>
    <row r="1564" spans="2:4">
      <c r="B1564" s="6" t="s">
        <v>162</v>
      </c>
      <c r="C1564" s="6" t="s">
        <v>380</v>
      </c>
      <c r="D1564" s="5">
        <v>44901</v>
      </c>
    </row>
    <row r="1565" spans="2:4">
      <c r="B1565" s="6" t="s">
        <v>322</v>
      </c>
      <c r="C1565" s="6" t="s">
        <v>415</v>
      </c>
      <c r="D1565" s="5">
        <v>44901</v>
      </c>
    </row>
    <row r="1566" spans="2:4">
      <c r="B1566" s="6" t="s">
        <v>190</v>
      </c>
      <c r="C1566" s="6" t="s">
        <v>385</v>
      </c>
      <c r="D1566" s="5">
        <v>44901</v>
      </c>
    </row>
    <row r="1567" spans="2:4">
      <c r="B1567" s="6" t="s">
        <v>153</v>
      </c>
      <c r="C1567" s="6" t="s">
        <v>665</v>
      </c>
      <c r="D1567" s="5">
        <v>44901</v>
      </c>
    </row>
    <row r="1568" spans="2:4">
      <c r="B1568" s="6" t="s">
        <v>158</v>
      </c>
      <c r="C1568" s="6" t="s">
        <v>196</v>
      </c>
      <c r="D1568" s="5">
        <v>44901</v>
      </c>
    </row>
    <row r="1569" spans="2:4">
      <c r="B1569" s="6" t="s">
        <v>189</v>
      </c>
      <c r="C1569" s="6" t="s">
        <v>666</v>
      </c>
      <c r="D1569" s="5">
        <v>44901</v>
      </c>
    </row>
    <row r="1570" spans="2:4">
      <c r="B1570" s="6" t="s">
        <v>65</v>
      </c>
      <c r="C1570" s="6" t="s">
        <v>56</v>
      </c>
      <c r="D1570" s="5">
        <v>44901</v>
      </c>
    </row>
    <row r="1571" spans="2:4">
      <c r="B1571" s="6" t="s">
        <v>44</v>
      </c>
      <c r="C1571" s="6" t="s">
        <v>61</v>
      </c>
      <c r="D1571" s="5">
        <v>44901</v>
      </c>
    </row>
    <row r="1572" spans="2:4">
      <c r="B1572" s="6" t="s">
        <v>433</v>
      </c>
      <c r="C1572" s="6" t="s">
        <v>586</v>
      </c>
      <c r="D1572" s="5">
        <v>44901</v>
      </c>
    </row>
    <row r="1573" spans="2:4">
      <c r="B1573" s="6" t="s">
        <v>427</v>
      </c>
      <c r="C1573" s="6" t="s">
        <v>403</v>
      </c>
      <c r="D1573" s="5">
        <v>44901</v>
      </c>
    </row>
    <row r="1574" spans="2:4">
      <c r="B1574" s="6" t="s">
        <v>165</v>
      </c>
      <c r="C1574" s="6" t="s">
        <v>169</v>
      </c>
      <c r="D1574" s="5">
        <v>44901</v>
      </c>
    </row>
    <row r="1575" spans="2:4">
      <c r="B1575" s="6" t="s">
        <v>131</v>
      </c>
      <c r="C1575" s="6" t="s">
        <v>216</v>
      </c>
      <c r="D1575" s="5">
        <v>44902</v>
      </c>
    </row>
    <row r="1576" spans="2:4">
      <c r="B1576" s="6" t="s">
        <v>297</v>
      </c>
      <c r="C1576" s="6" t="s">
        <v>487</v>
      </c>
      <c r="D1576" s="5">
        <v>44902</v>
      </c>
    </row>
    <row r="1577" spans="2:4">
      <c r="B1577" s="6" t="s">
        <v>238</v>
      </c>
      <c r="C1577" s="6" t="s">
        <v>430</v>
      </c>
      <c r="D1577" s="5">
        <v>44902</v>
      </c>
    </row>
    <row r="1578" spans="2:4">
      <c r="B1578" s="6" t="s">
        <v>302</v>
      </c>
      <c r="C1578" s="6" t="s">
        <v>155</v>
      </c>
      <c r="D1578" s="5">
        <v>44902</v>
      </c>
    </row>
    <row r="1579" spans="2:4">
      <c r="B1579" s="6" t="s">
        <v>41</v>
      </c>
      <c r="C1579" s="6" t="s">
        <v>130</v>
      </c>
      <c r="D1579" s="5">
        <v>44902</v>
      </c>
    </row>
    <row r="1580" spans="2:4">
      <c r="B1580" s="6" t="s">
        <v>66</v>
      </c>
      <c r="C1580" s="6" t="s">
        <v>55</v>
      </c>
      <c r="D1580" s="5">
        <v>44902</v>
      </c>
    </row>
    <row r="1581" spans="2:4">
      <c r="B1581" s="6" t="s">
        <v>86</v>
      </c>
      <c r="C1581" s="6" t="s">
        <v>255</v>
      </c>
      <c r="D1581" s="5">
        <v>44902</v>
      </c>
    </row>
    <row r="1582" spans="2:4">
      <c r="B1582" s="6" t="s">
        <v>35</v>
      </c>
      <c r="C1582" s="6" t="s">
        <v>419</v>
      </c>
      <c r="D1582" s="5">
        <v>44902</v>
      </c>
    </row>
    <row r="1583" spans="2:4">
      <c r="B1583" s="6" t="s">
        <v>330</v>
      </c>
      <c r="C1583" s="6" t="s">
        <v>465</v>
      </c>
      <c r="D1583" s="5">
        <v>44902</v>
      </c>
    </row>
    <row r="1584" spans="2:4">
      <c r="B1584" s="6" t="s">
        <v>362</v>
      </c>
      <c r="C1584" s="6" t="s">
        <v>412</v>
      </c>
      <c r="D1584" s="5">
        <v>44902</v>
      </c>
    </row>
    <row r="1585" spans="2:4">
      <c r="B1585" s="6" t="s">
        <v>590</v>
      </c>
      <c r="C1585" s="6" t="s">
        <v>117</v>
      </c>
      <c r="D1585" s="5">
        <v>44902</v>
      </c>
    </row>
    <row r="1586" spans="2:4">
      <c r="B1586" s="6" t="s">
        <v>112</v>
      </c>
      <c r="C1586" s="6" t="s">
        <v>336</v>
      </c>
      <c r="D1586" s="5">
        <v>44902</v>
      </c>
    </row>
    <row r="1587" spans="2:4">
      <c r="B1587" s="6" t="s">
        <v>173</v>
      </c>
      <c r="C1587" s="6" t="s">
        <v>314</v>
      </c>
      <c r="D1587" s="5">
        <v>44902</v>
      </c>
    </row>
    <row r="1588" spans="2:4">
      <c r="B1588" s="6" t="s">
        <v>179</v>
      </c>
      <c r="C1588" s="6" t="s">
        <v>580</v>
      </c>
      <c r="D1588" s="5">
        <v>44902</v>
      </c>
    </row>
    <row r="1589" spans="2:4">
      <c r="B1589" s="6" t="s">
        <v>148</v>
      </c>
      <c r="C1589" s="6" t="s">
        <v>177</v>
      </c>
      <c r="D1589" s="5">
        <v>44902</v>
      </c>
    </row>
    <row r="1590" spans="2:4">
      <c r="B1590" s="6" t="s">
        <v>118</v>
      </c>
      <c r="C1590" s="6" t="s">
        <v>264</v>
      </c>
      <c r="D1590" s="5">
        <v>44902</v>
      </c>
    </row>
    <row r="1591" spans="2:4">
      <c r="B1591" s="6" t="s">
        <v>199</v>
      </c>
      <c r="C1591" s="6" t="s">
        <v>287</v>
      </c>
      <c r="D1591" s="5">
        <v>44902</v>
      </c>
    </row>
    <row r="1592" spans="2:4">
      <c r="B1592" s="6" t="s">
        <v>289</v>
      </c>
      <c r="C1592" s="6" t="s">
        <v>450</v>
      </c>
      <c r="D1592" s="5">
        <v>44902</v>
      </c>
    </row>
    <row r="1593" spans="2:4">
      <c r="B1593" s="6" t="s">
        <v>136</v>
      </c>
      <c r="C1593" s="6" t="s">
        <v>413</v>
      </c>
      <c r="D1593" s="5">
        <v>44902</v>
      </c>
    </row>
    <row r="1594" spans="2:4">
      <c r="B1594" s="6" t="s">
        <v>121</v>
      </c>
      <c r="C1594" s="6" t="s">
        <v>120</v>
      </c>
      <c r="D1594" s="5">
        <v>44902</v>
      </c>
    </row>
    <row r="1595" spans="2:4">
      <c r="B1595" s="6" t="s">
        <v>252</v>
      </c>
      <c r="C1595" s="6" t="s">
        <v>397</v>
      </c>
      <c r="D1595" s="5">
        <v>44902</v>
      </c>
    </row>
    <row r="1596" spans="2:4">
      <c r="B1596" s="6" t="s">
        <v>124</v>
      </c>
      <c r="C1596" s="6" t="s">
        <v>107</v>
      </c>
      <c r="D1596" s="5">
        <v>44902</v>
      </c>
    </row>
    <row r="1597" spans="2:4">
      <c r="B1597" s="6" t="s">
        <v>421</v>
      </c>
      <c r="C1597" s="6" t="s">
        <v>292</v>
      </c>
      <c r="D1597" s="5">
        <v>44902</v>
      </c>
    </row>
    <row r="1598" spans="2:4">
      <c r="B1598" s="6" t="s">
        <v>261</v>
      </c>
      <c r="C1598" s="6" t="s">
        <v>262</v>
      </c>
      <c r="D1598" s="5">
        <v>44902</v>
      </c>
    </row>
    <row r="1599" spans="2:4">
      <c r="B1599" s="6" t="s">
        <v>58</v>
      </c>
      <c r="C1599" s="6" t="s">
        <v>178</v>
      </c>
      <c r="D1599" s="5">
        <v>44902</v>
      </c>
    </row>
    <row r="1600" spans="2:4">
      <c r="B1600" s="6" t="s">
        <v>32</v>
      </c>
      <c r="C1600" s="6" t="s">
        <v>220</v>
      </c>
      <c r="D1600" s="5">
        <v>44902</v>
      </c>
    </row>
    <row r="1601" spans="2:4">
      <c r="B1601" s="6" t="s">
        <v>46</v>
      </c>
      <c r="C1601" s="6" t="s">
        <v>278</v>
      </c>
      <c r="D1601" s="5">
        <v>44902</v>
      </c>
    </row>
    <row r="1602" spans="2:4">
      <c r="B1602" s="6" t="s">
        <v>48</v>
      </c>
      <c r="C1602" s="6" t="s">
        <v>125</v>
      </c>
      <c r="D1602" s="5">
        <v>44902</v>
      </c>
    </row>
    <row r="1603" spans="2:4">
      <c r="B1603" s="6" t="s">
        <v>126</v>
      </c>
      <c r="C1603" s="6" t="s">
        <v>176</v>
      </c>
      <c r="D1603" s="5">
        <v>44902</v>
      </c>
    </row>
    <row r="1604" spans="2:4">
      <c r="B1604" s="6" t="s">
        <v>52</v>
      </c>
      <c r="C1604" s="6" t="s">
        <v>214</v>
      </c>
      <c r="D1604" s="5">
        <v>44902</v>
      </c>
    </row>
    <row r="1605" spans="2:4">
      <c r="B1605" s="6" t="s">
        <v>27</v>
      </c>
      <c r="C1605" s="6" t="s">
        <v>319</v>
      </c>
      <c r="D1605" s="5">
        <v>44902</v>
      </c>
    </row>
    <row r="1606" spans="2:4">
      <c r="B1606" s="6" t="s">
        <v>615</v>
      </c>
      <c r="C1606" s="6" t="s">
        <v>667</v>
      </c>
      <c r="D1606" s="5">
        <v>44902</v>
      </c>
    </row>
    <row r="1607" spans="2:4">
      <c r="B1607" s="6" t="s">
        <v>326</v>
      </c>
      <c r="C1607" s="6" t="s">
        <v>247</v>
      </c>
      <c r="D1607" s="5">
        <v>44902</v>
      </c>
    </row>
    <row r="1608" spans="2:4">
      <c r="B1608" s="6" t="s">
        <v>329</v>
      </c>
      <c r="C1608" s="6" t="s">
        <v>109</v>
      </c>
      <c r="D1608" s="5">
        <v>44902</v>
      </c>
    </row>
    <row r="1609" spans="2:4">
      <c r="B1609" s="6" t="s">
        <v>321</v>
      </c>
      <c r="C1609" s="6" t="s">
        <v>296</v>
      </c>
      <c r="D1609" s="5">
        <v>44902</v>
      </c>
    </row>
    <row r="1610" spans="2:4">
      <c r="B1610" s="6" t="s">
        <v>95</v>
      </c>
      <c r="C1610" s="6" t="s">
        <v>422</v>
      </c>
      <c r="D1610" s="5">
        <v>44902</v>
      </c>
    </row>
    <row r="1611" spans="2:4">
      <c r="B1611" s="6" t="s">
        <v>213</v>
      </c>
      <c r="C1611" s="6" t="s">
        <v>298</v>
      </c>
      <c r="D1611" s="5">
        <v>44902</v>
      </c>
    </row>
    <row r="1612" spans="2:4">
      <c r="B1612" s="6" t="s">
        <v>241</v>
      </c>
      <c r="C1612" s="6" t="s">
        <v>325</v>
      </c>
      <c r="D1612" s="5">
        <v>44902</v>
      </c>
    </row>
    <row r="1613" spans="2:4">
      <c r="B1613" s="6" t="s">
        <v>640</v>
      </c>
      <c r="C1613" s="6" t="s">
        <v>340</v>
      </c>
      <c r="D1613" s="5">
        <v>44902</v>
      </c>
    </row>
    <row r="1614" spans="2:4">
      <c r="B1614" s="6" t="s">
        <v>183</v>
      </c>
      <c r="C1614" s="6" t="s">
        <v>559</v>
      </c>
      <c r="D1614" s="5">
        <v>44902</v>
      </c>
    </row>
    <row r="1615" spans="2:4">
      <c r="B1615" s="6" t="s">
        <v>363</v>
      </c>
      <c r="C1615" s="6" t="s">
        <v>357</v>
      </c>
      <c r="D1615" s="5">
        <v>44902</v>
      </c>
    </row>
    <row r="1616" spans="2:4">
      <c r="B1616" s="6" t="s">
        <v>62</v>
      </c>
      <c r="C1616" s="6" t="s">
        <v>67</v>
      </c>
      <c r="D1616" s="5">
        <v>44902</v>
      </c>
    </row>
    <row r="1617" spans="2:4">
      <c r="B1617" s="6" t="s">
        <v>40</v>
      </c>
      <c r="C1617" s="6" t="s">
        <v>230</v>
      </c>
      <c r="D1617" s="5">
        <v>44902</v>
      </c>
    </row>
    <row r="1618" spans="2:4">
      <c r="B1618" s="6" t="s">
        <v>36</v>
      </c>
      <c r="C1618" s="6" t="s">
        <v>668</v>
      </c>
      <c r="D1618" s="5">
        <v>44902</v>
      </c>
    </row>
    <row r="1619" spans="2:4">
      <c r="B1619" s="6" t="s">
        <v>78</v>
      </c>
      <c r="C1619" s="6" t="s">
        <v>256</v>
      </c>
      <c r="D1619" s="5">
        <v>44902</v>
      </c>
    </row>
    <row r="1620" spans="2:4">
      <c r="B1620" s="6" t="s">
        <v>157</v>
      </c>
      <c r="C1620" s="6" t="s">
        <v>383</v>
      </c>
      <c r="D1620" s="5">
        <v>44902</v>
      </c>
    </row>
    <row r="1621" spans="2:4">
      <c r="B1621" s="6" t="s">
        <v>381</v>
      </c>
      <c r="C1621" s="6" t="s">
        <v>396</v>
      </c>
      <c r="D1621" s="5">
        <v>44902</v>
      </c>
    </row>
    <row r="1622" spans="2:4">
      <c r="B1622" s="6" t="s">
        <v>341</v>
      </c>
      <c r="C1622" s="6" t="s">
        <v>73</v>
      </c>
      <c r="D1622" s="5">
        <v>44902</v>
      </c>
    </row>
    <row r="1623" spans="2:4">
      <c r="B1623" s="6" t="s">
        <v>79</v>
      </c>
      <c r="C1623" s="6" t="s">
        <v>245</v>
      </c>
      <c r="D1623" s="5">
        <v>44902</v>
      </c>
    </row>
    <row r="1624" spans="2:4">
      <c r="B1624" s="6" t="s">
        <v>185</v>
      </c>
      <c r="C1624" s="6" t="s">
        <v>49</v>
      </c>
      <c r="D1624" s="5">
        <v>44902</v>
      </c>
    </row>
    <row r="1625" spans="2:4">
      <c r="B1625" s="6" t="s">
        <v>51</v>
      </c>
      <c r="C1625" s="6" t="s">
        <v>123</v>
      </c>
      <c r="D1625" s="5">
        <v>44902</v>
      </c>
    </row>
    <row r="1626" spans="2:4">
      <c r="B1626" s="6" t="s">
        <v>394</v>
      </c>
      <c r="C1626" s="6" t="s">
        <v>599</v>
      </c>
      <c r="D1626" s="5">
        <v>44902</v>
      </c>
    </row>
    <row r="1627" spans="2:4">
      <c r="B1627" s="6" t="s">
        <v>160</v>
      </c>
      <c r="C1627" s="6" t="s">
        <v>375</v>
      </c>
      <c r="D1627" s="5">
        <v>44902</v>
      </c>
    </row>
    <row r="1628" spans="2:4">
      <c r="B1628" s="6" t="s">
        <v>389</v>
      </c>
      <c r="C1628" s="6" t="s">
        <v>151</v>
      </c>
      <c r="D1628" s="5">
        <v>44902</v>
      </c>
    </row>
    <row r="1629" spans="2:4">
      <c r="B1629" s="6" t="s">
        <v>159</v>
      </c>
      <c r="C1629" s="6" t="s">
        <v>206</v>
      </c>
      <c r="D1629" s="5">
        <v>44902</v>
      </c>
    </row>
    <row r="1630" spans="2:4">
      <c r="B1630" s="6" t="s">
        <v>398</v>
      </c>
      <c r="C1630" s="6" t="s">
        <v>320</v>
      </c>
      <c r="D1630" s="5">
        <v>44902</v>
      </c>
    </row>
    <row r="1631" spans="2:4">
      <c r="B1631" s="6" t="s">
        <v>163</v>
      </c>
      <c r="C1631" s="6" t="s">
        <v>428</v>
      </c>
      <c r="D1631" s="5">
        <v>44902</v>
      </c>
    </row>
    <row r="1632" spans="2:4">
      <c r="B1632" s="6" t="s">
        <v>164</v>
      </c>
      <c r="C1632" s="6" t="s">
        <v>393</v>
      </c>
      <c r="D1632" s="5">
        <v>44902</v>
      </c>
    </row>
    <row r="1633" spans="2:4">
      <c r="B1633" s="6" t="s">
        <v>404</v>
      </c>
      <c r="C1633" s="6" t="s">
        <v>175</v>
      </c>
      <c r="D1633" s="5">
        <v>44902</v>
      </c>
    </row>
    <row r="1634" spans="2:4">
      <c r="B1634" s="6" t="s">
        <v>74</v>
      </c>
      <c r="C1634" s="6" t="s">
        <v>621</v>
      </c>
      <c r="D1634" s="5">
        <v>44902</v>
      </c>
    </row>
    <row r="1635" spans="2:4">
      <c r="B1635" s="6" t="s">
        <v>174</v>
      </c>
      <c r="C1635" s="6" t="s">
        <v>669</v>
      </c>
      <c r="D1635" s="5">
        <v>44903</v>
      </c>
    </row>
    <row r="1636" spans="2:4">
      <c r="B1636" s="6" t="s">
        <v>418</v>
      </c>
      <c r="C1636" s="6" t="s">
        <v>538</v>
      </c>
      <c r="D1636" s="5">
        <v>44903</v>
      </c>
    </row>
    <row r="1637" spans="2:4">
      <c r="B1637" s="6" t="s">
        <v>300</v>
      </c>
      <c r="C1637" s="6" t="s">
        <v>269</v>
      </c>
      <c r="D1637" s="5">
        <v>44903</v>
      </c>
    </row>
    <row r="1638" spans="2:4">
      <c r="B1638" s="6" t="s">
        <v>284</v>
      </c>
      <c r="C1638" s="6" t="s">
        <v>193</v>
      </c>
      <c r="D1638" s="5">
        <v>44903</v>
      </c>
    </row>
    <row r="1639" spans="2:4">
      <c r="B1639" s="6" t="s">
        <v>57</v>
      </c>
      <c r="C1639" s="6" t="s">
        <v>64</v>
      </c>
      <c r="D1639" s="5">
        <v>44903</v>
      </c>
    </row>
    <row r="1640" spans="2:4">
      <c r="B1640" s="6" t="s">
        <v>338</v>
      </c>
      <c r="C1640" s="6" t="s">
        <v>670</v>
      </c>
      <c r="D1640" s="5">
        <v>44903</v>
      </c>
    </row>
    <row r="1641" spans="2:4">
      <c r="B1641" s="6" t="s">
        <v>61</v>
      </c>
      <c r="C1641" s="6" t="s">
        <v>31</v>
      </c>
      <c r="D1641" s="5">
        <v>44903</v>
      </c>
    </row>
    <row r="1642" spans="2:4">
      <c r="B1642" s="6" t="s">
        <v>63</v>
      </c>
      <c r="C1642" s="6" t="s">
        <v>59</v>
      </c>
      <c r="D1642" s="5">
        <v>44903</v>
      </c>
    </row>
    <row r="1643" spans="2:4">
      <c r="B1643" s="6" t="s">
        <v>391</v>
      </c>
      <c r="C1643" s="6" t="s">
        <v>348</v>
      </c>
      <c r="D1643" s="5">
        <v>44903</v>
      </c>
    </row>
    <row r="1644" spans="2:4">
      <c r="B1644" s="6" t="s">
        <v>72</v>
      </c>
      <c r="C1644" s="6" t="s">
        <v>386</v>
      </c>
      <c r="D1644" s="5">
        <v>44903</v>
      </c>
    </row>
    <row r="1645" spans="2:4">
      <c r="B1645" s="6" t="s">
        <v>77</v>
      </c>
      <c r="C1645" s="6" t="s">
        <v>353</v>
      </c>
      <c r="D1645" s="5">
        <v>44903</v>
      </c>
    </row>
    <row r="1646" spans="2:4">
      <c r="B1646" s="6" t="s">
        <v>106</v>
      </c>
      <c r="C1646" s="6" t="s">
        <v>99</v>
      </c>
      <c r="D1646" s="5">
        <v>44904</v>
      </c>
    </row>
    <row r="1647" spans="2:4">
      <c r="B1647" s="6" t="s">
        <v>175</v>
      </c>
      <c r="C1647" s="6" t="s">
        <v>539</v>
      </c>
      <c r="D1647" s="5">
        <v>44904</v>
      </c>
    </row>
    <row r="1648" spans="2:4">
      <c r="B1648" s="6" t="s">
        <v>349</v>
      </c>
      <c r="C1648" s="6" t="s">
        <v>126</v>
      </c>
      <c r="D1648" s="5">
        <v>44904</v>
      </c>
    </row>
    <row r="1649" spans="2:4">
      <c r="B1649" s="6" t="s">
        <v>138</v>
      </c>
      <c r="C1649" s="6" t="s">
        <v>410</v>
      </c>
      <c r="D1649" s="5">
        <v>44904</v>
      </c>
    </row>
    <row r="1650" spans="2:4">
      <c r="B1650" s="6" t="s">
        <v>246</v>
      </c>
      <c r="C1650" s="6" t="s">
        <v>351</v>
      </c>
      <c r="D1650" s="5">
        <v>44904</v>
      </c>
    </row>
    <row r="1651" spans="2:4">
      <c r="B1651" s="6" t="s">
        <v>110</v>
      </c>
      <c r="C1651" s="6" t="s">
        <v>610</v>
      </c>
      <c r="D1651" s="5">
        <v>44904</v>
      </c>
    </row>
    <row r="1652" spans="2:4">
      <c r="B1652" s="6" t="s">
        <v>185</v>
      </c>
      <c r="C1652" s="6" t="s">
        <v>382</v>
      </c>
      <c r="D1652" s="5">
        <v>44904</v>
      </c>
    </row>
    <row r="1653" spans="2:4">
      <c r="B1653" s="6" t="s">
        <v>318</v>
      </c>
      <c r="C1653" s="6" t="s">
        <v>342</v>
      </c>
      <c r="D1653" s="5">
        <v>44904</v>
      </c>
    </row>
    <row r="1654" spans="2:4">
      <c r="B1654" s="6" t="s">
        <v>308</v>
      </c>
      <c r="C1654" s="6" t="s">
        <v>128</v>
      </c>
      <c r="D1654" s="5">
        <v>44904</v>
      </c>
    </row>
    <row r="1655" spans="2:4">
      <c r="B1655" s="6" t="s">
        <v>132</v>
      </c>
      <c r="C1655" s="6" t="s">
        <v>71</v>
      </c>
      <c r="D1655" s="5">
        <v>44904</v>
      </c>
    </row>
    <row r="1656" spans="2:4">
      <c r="B1656" s="6" t="s">
        <v>607</v>
      </c>
      <c r="C1656" s="6" t="s">
        <v>671</v>
      </c>
      <c r="D1656" s="5">
        <v>44904</v>
      </c>
    </row>
    <row r="1657" spans="2:4">
      <c r="B1657" s="6" t="s">
        <v>198</v>
      </c>
      <c r="C1657" s="6" t="s">
        <v>367</v>
      </c>
      <c r="D1657" s="5">
        <v>44904</v>
      </c>
    </row>
    <row r="1658" spans="2:4">
      <c r="B1658" s="6" t="s">
        <v>323</v>
      </c>
      <c r="C1658" s="6" t="s">
        <v>150</v>
      </c>
      <c r="D1658" s="5">
        <v>44905</v>
      </c>
    </row>
    <row r="1659" spans="2:4">
      <c r="B1659" s="6" t="s">
        <v>203</v>
      </c>
      <c r="C1659" s="6" t="s">
        <v>221</v>
      </c>
      <c r="D1659" s="5">
        <v>44905</v>
      </c>
    </row>
    <row r="1660" spans="2:4">
      <c r="B1660" s="6" t="s">
        <v>60</v>
      </c>
      <c r="C1660" s="6" t="s">
        <v>66</v>
      </c>
      <c r="D1660" s="5">
        <v>44905</v>
      </c>
    </row>
    <row r="1661" spans="2:4">
      <c r="B1661" s="6" t="s">
        <v>104</v>
      </c>
      <c r="C1661" s="6" t="s">
        <v>525</v>
      </c>
      <c r="D1661" s="5">
        <v>44905</v>
      </c>
    </row>
    <row r="1662" spans="2:4">
      <c r="B1662" s="6" t="s">
        <v>176</v>
      </c>
      <c r="C1662" s="6" t="s">
        <v>205</v>
      </c>
      <c r="D1662" s="5">
        <v>44905</v>
      </c>
    </row>
    <row r="1663" spans="2:4">
      <c r="B1663" s="6" t="s">
        <v>245</v>
      </c>
      <c r="C1663" s="6" t="s">
        <v>405</v>
      </c>
      <c r="D1663" s="5">
        <v>44905</v>
      </c>
    </row>
    <row r="1664" spans="2:4">
      <c r="B1664" s="6" t="s">
        <v>210</v>
      </c>
      <c r="C1664" s="6" t="s">
        <v>146</v>
      </c>
      <c r="D1664" s="5">
        <v>44905</v>
      </c>
    </row>
    <row r="1665" spans="2:4">
      <c r="B1665" s="6" t="s">
        <v>80</v>
      </c>
      <c r="C1665" s="6" t="s">
        <v>100</v>
      </c>
      <c r="D1665" s="5">
        <v>44905</v>
      </c>
    </row>
    <row r="1666" spans="2:4">
      <c r="B1666" s="6" t="s">
        <v>84</v>
      </c>
      <c r="C1666" s="6" t="s">
        <v>29</v>
      </c>
      <c r="D1666" s="5">
        <v>44905</v>
      </c>
    </row>
    <row r="1667" spans="2:4">
      <c r="B1667" s="6" t="s">
        <v>30</v>
      </c>
      <c r="C1667" s="6" t="s">
        <v>332</v>
      </c>
      <c r="D1667" s="5">
        <v>44905</v>
      </c>
    </row>
    <row r="1668" spans="2:4">
      <c r="B1668" s="6" t="s">
        <v>216</v>
      </c>
      <c r="C1668" s="6" t="s">
        <v>137</v>
      </c>
      <c r="D1668" s="5">
        <v>44905</v>
      </c>
    </row>
    <row r="1669" spans="2:4">
      <c r="B1669" s="6" t="s">
        <v>45</v>
      </c>
      <c r="C1669" s="6" t="s">
        <v>43</v>
      </c>
      <c r="D1669" s="5">
        <v>44905</v>
      </c>
    </row>
    <row r="1670" spans="2:4">
      <c r="B1670" s="6" t="s">
        <v>334</v>
      </c>
      <c r="C1670" s="6" t="s">
        <v>244</v>
      </c>
      <c r="D1670" s="5">
        <v>44905</v>
      </c>
    </row>
    <row r="1671" spans="2:4">
      <c r="B1671" s="6" t="s">
        <v>419</v>
      </c>
      <c r="C1671" s="6" t="s">
        <v>145</v>
      </c>
      <c r="D1671" s="5">
        <v>44905</v>
      </c>
    </row>
    <row r="1672" spans="2:4">
      <c r="B1672" s="6" t="s">
        <v>261</v>
      </c>
      <c r="C1672" s="6" t="s">
        <v>202</v>
      </c>
      <c r="D1672" s="5">
        <v>44905</v>
      </c>
    </row>
    <row r="1673" spans="2:4">
      <c r="B1673" s="6" t="s">
        <v>47</v>
      </c>
      <c r="C1673" s="6" t="s">
        <v>41</v>
      </c>
      <c r="D1673" s="5">
        <v>44905</v>
      </c>
    </row>
    <row r="1674" spans="2:4">
      <c r="B1674" s="6" t="s">
        <v>214</v>
      </c>
      <c r="C1674" s="6" t="s">
        <v>297</v>
      </c>
      <c r="D1674" s="5">
        <v>44905</v>
      </c>
    </row>
    <row r="1675" spans="2:4">
      <c r="B1675" s="6" t="s">
        <v>142</v>
      </c>
      <c r="C1675" s="6" t="s">
        <v>480</v>
      </c>
      <c r="D1675" s="5">
        <v>44905</v>
      </c>
    </row>
    <row r="1676" spans="2:4">
      <c r="B1676" s="6" t="s">
        <v>140</v>
      </c>
      <c r="C1676" s="6" t="s">
        <v>211</v>
      </c>
      <c r="D1676" s="5">
        <v>44905</v>
      </c>
    </row>
    <row r="1677" spans="2:4">
      <c r="B1677" s="6" t="s">
        <v>354</v>
      </c>
      <c r="C1677" s="6" t="s">
        <v>232</v>
      </c>
      <c r="D1677" s="5">
        <v>44905</v>
      </c>
    </row>
    <row r="1678" spans="2:4">
      <c r="B1678" s="6" t="s">
        <v>109</v>
      </c>
      <c r="C1678" s="6" t="s">
        <v>213</v>
      </c>
      <c r="D1678" s="5">
        <v>44905</v>
      </c>
    </row>
    <row r="1679" spans="2:4">
      <c r="B1679" s="6" t="s">
        <v>272</v>
      </c>
      <c r="C1679" s="6" t="s">
        <v>131</v>
      </c>
      <c r="D1679" s="5">
        <v>44905</v>
      </c>
    </row>
    <row r="1680" spans="2:4">
      <c r="B1680" s="6" t="s">
        <v>264</v>
      </c>
      <c r="C1680" s="6" t="s">
        <v>672</v>
      </c>
      <c r="D1680" s="5">
        <v>44905</v>
      </c>
    </row>
    <row r="1681" spans="2:4">
      <c r="B1681" s="6" t="s">
        <v>294</v>
      </c>
      <c r="C1681" s="6" t="s">
        <v>407</v>
      </c>
      <c r="D1681" s="5">
        <v>44905</v>
      </c>
    </row>
    <row r="1682" spans="2:4">
      <c r="B1682" s="6" t="s">
        <v>48</v>
      </c>
      <c r="C1682" s="6" t="s">
        <v>149</v>
      </c>
      <c r="D1682" s="5">
        <v>44905</v>
      </c>
    </row>
    <row r="1683" spans="2:4">
      <c r="B1683" s="6" t="s">
        <v>208</v>
      </c>
      <c r="C1683" s="6" t="s">
        <v>167</v>
      </c>
      <c r="D1683" s="5">
        <v>44905</v>
      </c>
    </row>
    <row r="1684" spans="2:4">
      <c r="B1684" s="6" t="s">
        <v>200</v>
      </c>
      <c r="C1684" s="6" t="s">
        <v>363</v>
      </c>
      <c r="D1684" s="5">
        <v>44905</v>
      </c>
    </row>
    <row r="1685" spans="2:4">
      <c r="B1685" s="6" t="s">
        <v>124</v>
      </c>
      <c r="C1685" s="6" t="s">
        <v>148</v>
      </c>
      <c r="D1685" s="5">
        <v>44905</v>
      </c>
    </row>
    <row r="1686" spans="2:4">
      <c r="B1686" s="6" t="s">
        <v>182</v>
      </c>
      <c r="C1686" s="6" t="s">
        <v>422</v>
      </c>
      <c r="D1686" s="5">
        <v>44905</v>
      </c>
    </row>
    <row r="1687" spans="2:4">
      <c r="B1687" s="6" t="s">
        <v>40</v>
      </c>
      <c r="C1687" s="6" t="s">
        <v>215</v>
      </c>
      <c r="D1687" s="5">
        <v>44905</v>
      </c>
    </row>
    <row r="1688" spans="2:4">
      <c r="B1688" s="6" t="s">
        <v>53</v>
      </c>
      <c r="C1688" s="6" t="s">
        <v>81</v>
      </c>
      <c r="D1688" s="5">
        <v>44905</v>
      </c>
    </row>
    <row r="1689" spans="2:4">
      <c r="B1689" s="6" t="s">
        <v>67</v>
      </c>
      <c r="C1689" s="6" t="s">
        <v>58</v>
      </c>
      <c r="D1689" s="5">
        <v>44905</v>
      </c>
    </row>
    <row r="1690" spans="2:4">
      <c r="B1690" s="6" t="s">
        <v>414</v>
      </c>
      <c r="C1690" s="6" t="s">
        <v>280</v>
      </c>
      <c r="D1690" s="5">
        <v>44905</v>
      </c>
    </row>
    <row r="1691" spans="2:4">
      <c r="B1691" s="6" t="s">
        <v>212</v>
      </c>
      <c r="C1691" s="6" t="s">
        <v>82</v>
      </c>
      <c r="D1691" s="5">
        <v>44905</v>
      </c>
    </row>
    <row r="1692" spans="2:4">
      <c r="B1692" s="6" t="s">
        <v>75</v>
      </c>
      <c r="C1692" s="6" t="s">
        <v>151</v>
      </c>
      <c r="D1692" s="5">
        <v>44905</v>
      </c>
    </row>
    <row r="1693" spans="2:4">
      <c r="B1693" s="6" t="s">
        <v>398</v>
      </c>
      <c r="C1693" s="6" t="s">
        <v>392</v>
      </c>
      <c r="D1693" s="5">
        <v>44905</v>
      </c>
    </row>
    <row r="1694" spans="2:4">
      <c r="B1694" s="6" t="s">
        <v>345</v>
      </c>
      <c r="C1694" s="6" t="s">
        <v>588</v>
      </c>
      <c r="D1694" s="5">
        <v>44905</v>
      </c>
    </row>
    <row r="1695" spans="2:4">
      <c r="B1695" s="6" t="s">
        <v>329</v>
      </c>
      <c r="C1695" s="6" t="s">
        <v>330</v>
      </c>
      <c r="D1695" s="5">
        <v>44905</v>
      </c>
    </row>
    <row r="1696" spans="2:4">
      <c r="B1696" s="6" t="s">
        <v>95</v>
      </c>
      <c r="C1696" s="6" t="s">
        <v>362</v>
      </c>
      <c r="D1696" s="5">
        <v>44905</v>
      </c>
    </row>
    <row r="1697" spans="2:4">
      <c r="B1697" s="6" t="s">
        <v>289</v>
      </c>
      <c r="C1697" s="6" t="s">
        <v>103</v>
      </c>
      <c r="D1697" s="5">
        <v>44905</v>
      </c>
    </row>
    <row r="1698" spans="2:4">
      <c r="B1698" s="6" t="s">
        <v>316</v>
      </c>
      <c r="C1698" s="6" t="s">
        <v>94</v>
      </c>
      <c r="D1698" s="5">
        <v>44905</v>
      </c>
    </row>
    <row r="1699" spans="2:4">
      <c r="B1699" s="6" t="s">
        <v>397</v>
      </c>
      <c r="C1699" s="6" t="s">
        <v>180</v>
      </c>
      <c r="D1699" s="5">
        <v>44905</v>
      </c>
    </row>
    <row r="1700" spans="2:4">
      <c r="B1700" s="6" t="s">
        <v>273</v>
      </c>
      <c r="C1700" s="6" t="s">
        <v>276</v>
      </c>
      <c r="D1700" s="5">
        <v>44905</v>
      </c>
    </row>
    <row r="1701" spans="2:4">
      <c r="B1701" s="6" t="s">
        <v>187</v>
      </c>
      <c r="C1701" s="6" t="s">
        <v>39</v>
      </c>
      <c r="D1701" s="5">
        <v>44905</v>
      </c>
    </row>
    <row r="1702" spans="2:4">
      <c r="B1702" s="6" t="s">
        <v>88</v>
      </c>
      <c r="C1702" s="6" t="s">
        <v>139</v>
      </c>
      <c r="D1702" s="5">
        <v>44905</v>
      </c>
    </row>
    <row r="1703" spans="2:4">
      <c r="B1703" s="6" t="s">
        <v>251</v>
      </c>
      <c r="C1703" s="6" t="s">
        <v>50</v>
      </c>
      <c r="D1703" s="5">
        <v>44905</v>
      </c>
    </row>
    <row r="1704" spans="2:4">
      <c r="B1704" s="6" t="s">
        <v>49</v>
      </c>
      <c r="C1704" s="6" t="s">
        <v>336</v>
      </c>
      <c r="D1704" s="5">
        <v>44905</v>
      </c>
    </row>
    <row r="1705" spans="2:4">
      <c r="B1705" s="6" t="s">
        <v>326</v>
      </c>
      <c r="C1705" s="6" t="s">
        <v>370</v>
      </c>
      <c r="D1705" s="5">
        <v>44905</v>
      </c>
    </row>
    <row r="1706" spans="2:4">
      <c r="B1706" s="6" t="s">
        <v>327</v>
      </c>
      <c r="C1706" s="6" t="s">
        <v>120</v>
      </c>
      <c r="D1706" s="5">
        <v>44905</v>
      </c>
    </row>
    <row r="1707" spans="2:4">
      <c r="B1707" s="6" t="s">
        <v>352</v>
      </c>
      <c r="C1707" s="6" t="s">
        <v>395</v>
      </c>
      <c r="D1707" s="5">
        <v>44905</v>
      </c>
    </row>
    <row r="1708" spans="2:4">
      <c r="B1708" s="6" t="s">
        <v>287</v>
      </c>
      <c r="C1708" s="6" t="s">
        <v>429</v>
      </c>
      <c r="D1708" s="5">
        <v>44905</v>
      </c>
    </row>
    <row r="1709" spans="2:4">
      <c r="B1709" s="6" t="s">
        <v>196</v>
      </c>
      <c r="C1709" s="6" t="s">
        <v>424</v>
      </c>
      <c r="D1709" s="5">
        <v>44905</v>
      </c>
    </row>
    <row r="1710" spans="2:4">
      <c r="B1710" s="6" t="s">
        <v>403</v>
      </c>
      <c r="C1710" s="6" t="s">
        <v>383</v>
      </c>
      <c r="D1710" s="5">
        <v>44905</v>
      </c>
    </row>
    <row r="1711" spans="2:4">
      <c r="B1711" s="6" t="s">
        <v>337</v>
      </c>
      <c r="C1711" s="6" t="s">
        <v>360</v>
      </c>
      <c r="D1711" s="5">
        <v>44905</v>
      </c>
    </row>
    <row r="1712" spans="2:4">
      <c r="B1712" s="6" t="s">
        <v>189</v>
      </c>
      <c r="C1712" s="6" t="s">
        <v>368</v>
      </c>
      <c r="D1712" s="5">
        <v>44905</v>
      </c>
    </row>
    <row r="1713" spans="2:4">
      <c r="B1713" s="6" t="s">
        <v>413</v>
      </c>
      <c r="C1713" s="6" t="s">
        <v>310</v>
      </c>
      <c r="D1713" s="5">
        <v>44905</v>
      </c>
    </row>
    <row r="1714" spans="2:4">
      <c r="B1714" s="6" t="s">
        <v>248</v>
      </c>
      <c r="C1714" s="6" t="s">
        <v>312</v>
      </c>
      <c r="D1714" s="5">
        <v>44905</v>
      </c>
    </row>
    <row r="1715" spans="2:4">
      <c r="B1715" s="6" t="s">
        <v>111</v>
      </c>
      <c r="C1715" s="6" t="s">
        <v>191</v>
      </c>
      <c r="D1715" s="5">
        <v>44905</v>
      </c>
    </row>
    <row r="1716" spans="2:4">
      <c r="B1716" s="6" t="s">
        <v>343</v>
      </c>
      <c r="C1716" s="6" t="s">
        <v>333</v>
      </c>
      <c r="D1716" s="5">
        <v>44905</v>
      </c>
    </row>
    <row r="1717" spans="2:4">
      <c r="B1717" s="6" t="s">
        <v>78</v>
      </c>
      <c r="C1717" s="6" t="s">
        <v>163</v>
      </c>
      <c r="D1717" s="5">
        <v>44905</v>
      </c>
    </row>
    <row r="1718" spans="2:4">
      <c r="B1718" s="6" t="s">
        <v>55</v>
      </c>
      <c r="C1718" s="6" t="s">
        <v>107</v>
      </c>
      <c r="D1718" s="5">
        <v>44905</v>
      </c>
    </row>
    <row r="1719" spans="2:4">
      <c r="B1719" s="6" t="s">
        <v>144</v>
      </c>
      <c r="C1719" s="6" t="s">
        <v>83</v>
      </c>
      <c r="D1719" s="5">
        <v>44905</v>
      </c>
    </row>
    <row r="1720" spans="2:4">
      <c r="B1720" s="6" t="s">
        <v>54</v>
      </c>
      <c r="C1720" s="6" t="s">
        <v>35</v>
      </c>
      <c r="D1720" s="5">
        <v>44905</v>
      </c>
    </row>
    <row r="1721" spans="2:4">
      <c r="B1721" s="6" t="s">
        <v>160</v>
      </c>
      <c r="C1721" s="6" t="s">
        <v>433</v>
      </c>
      <c r="D1721" s="5">
        <v>44905</v>
      </c>
    </row>
    <row r="1722" spans="2:4">
      <c r="B1722" s="6" t="s">
        <v>181</v>
      </c>
      <c r="C1722" s="6" t="s">
        <v>291</v>
      </c>
      <c r="D1722" s="5">
        <v>44905</v>
      </c>
    </row>
    <row r="1723" spans="2:4">
      <c r="B1723" s="6" t="s">
        <v>269</v>
      </c>
      <c r="C1723" s="6" t="s">
        <v>587</v>
      </c>
      <c r="D1723" s="5">
        <v>44905</v>
      </c>
    </row>
    <row r="1724" spans="2:4">
      <c r="B1724" s="6" t="s">
        <v>427</v>
      </c>
      <c r="C1724" s="6" t="s">
        <v>394</v>
      </c>
      <c r="D1724" s="5">
        <v>44905</v>
      </c>
    </row>
    <row r="1725" spans="2:4">
      <c r="B1725" s="6" t="s">
        <v>186</v>
      </c>
      <c r="C1725" s="6" t="s">
        <v>242</v>
      </c>
      <c r="D1725" s="5">
        <v>44905</v>
      </c>
    </row>
    <row r="1726" spans="2:4">
      <c r="B1726" s="6" t="s">
        <v>164</v>
      </c>
      <c r="C1726" s="6" t="s">
        <v>42</v>
      </c>
      <c r="D1726" s="5">
        <v>44905</v>
      </c>
    </row>
    <row r="1727" spans="2:4">
      <c r="B1727" s="6" t="s">
        <v>87</v>
      </c>
      <c r="C1727" s="6" t="s">
        <v>26</v>
      </c>
      <c r="D1727" s="5">
        <v>44905</v>
      </c>
    </row>
    <row r="1728" spans="2:4">
      <c r="B1728" s="6" t="s">
        <v>44</v>
      </c>
      <c r="C1728" s="6" t="s">
        <v>335</v>
      </c>
      <c r="D1728" s="5">
        <v>44905</v>
      </c>
    </row>
    <row r="1729" spans="2:4">
      <c r="B1729" s="6" t="s">
        <v>194</v>
      </c>
      <c r="C1729" s="6" t="s">
        <v>304</v>
      </c>
      <c r="D1729" s="5">
        <v>44905</v>
      </c>
    </row>
    <row r="1730" spans="2:4">
      <c r="B1730" s="6" t="s">
        <v>301</v>
      </c>
      <c r="C1730" s="6" t="s">
        <v>238</v>
      </c>
      <c r="D1730" s="5">
        <v>44905</v>
      </c>
    </row>
    <row r="1731" spans="2:4">
      <c r="B1731" s="6" t="s">
        <v>135</v>
      </c>
      <c r="C1731" s="6" t="s">
        <v>381</v>
      </c>
      <c r="D1731" s="5">
        <v>44905</v>
      </c>
    </row>
    <row r="1732" spans="2:4">
      <c r="B1732" s="6" t="s">
        <v>391</v>
      </c>
      <c r="C1732" s="6" t="s">
        <v>357</v>
      </c>
      <c r="D1732" s="5">
        <v>44905</v>
      </c>
    </row>
    <row r="1733" spans="2:4">
      <c r="B1733" s="6" t="s">
        <v>302</v>
      </c>
      <c r="C1733" s="6" t="s">
        <v>253</v>
      </c>
      <c r="D1733" s="5">
        <v>44905</v>
      </c>
    </row>
    <row r="1734" spans="2:4">
      <c r="B1734" s="6" t="s">
        <v>32</v>
      </c>
      <c r="C1734" s="6" t="s">
        <v>195</v>
      </c>
      <c r="D1734" s="5">
        <v>44905</v>
      </c>
    </row>
    <row r="1735" spans="2:4">
      <c r="B1735" s="6" t="s">
        <v>389</v>
      </c>
      <c r="C1735" s="6" t="s">
        <v>420</v>
      </c>
      <c r="D1735" s="5">
        <v>44905</v>
      </c>
    </row>
    <row r="1736" spans="2:4">
      <c r="B1736" s="6" t="s">
        <v>155</v>
      </c>
      <c r="C1736" s="6" t="s">
        <v>376</v>
      </c>
      <c r="D1736" s="5">
        <v>44905</v>
      </c>
    </row>
    <row r="1737" spans="2:4">
      <c r="B1737" s="6" t="s">
        <v>69</v>
      </c>
      <c r="C1737" s="6" t="s">
        <v>169</v>
      </c>
      <c r="D1737" s="5">
        <v>44905</v>
      </c>
    </row>
    <row r="1738" spans="2:4">
      <c r="B1738" s="6" t="s">
        <v>255</v>
      </c>
      <c r="C1738" s="6" t="s">
        <v>504</v>
      </c>
      <c r="D1738" s="5">
        <v>44905</v>
      </c>
    </row>
    <row r="1739" spans="2:4">
      <c r="B1739" s="6" t="s">
        <v>361</v>
      </c>
      <c r="C1739" s="6" t="s">
        <v>278</v>
      </c>
      <c r="D1739" s="5">
        <v>44905</v>
      </c>
    </row>
    <row r="1740" spans="2:4">
      <c r="B1740" s="6" t="s">
        <v>412</v>
      </c>
      <c r="C1740" s="6" t="s">
        <v>193</v>
      </c>
      <c r="D1740" s="5">
        <v>44905</v>
      </c>
    </row>
    <row r="1741" spans="2:4">
      <c r="B1741" s="6" t="s">
        <v>313</v>
      </c>
      <c r="C1741" s="6" t="s">
        <v>266</v>
      </c>
      <c r="D1741" s="5">
        <v>44905</v>
      </c>
    </row>
    <row r="1742" spans="2:4">
      <c r="B1742" s="6" t="s">
        <v>409</v>
      </c>
      <c r="C1742" s="6" t="s">
        <v>562</v>
      </c>
      <c r="D1742" s="5">
        <v>44905</v>
      </c>
    </row>
    <row r="1743" spans="2:4">
      <c r="B1743" s="6" t="s">
        <v>378</v>
      </c>
      <c r="C1743" s="6" t="s">
        <v>621</v>
      </c>
      <c r="D1743" s="5">
        <v>44905</v>
      </c>
    </row>
    <row r="1744" spans="2:4">
      <c r="B1744" s="6" t="s">
        <v>233</v>
      </c>
      <c r="C1744" s="6" t="s">
        <v>580</v>
      </c>
      <c r="D1744" s="5">
        <v>44905</v>
      </c>
    </row>
    <row r="1745" spans="2:4">
      <c r="B1745" s="6" t="s">
        <v>385</v>
      </c>
      <c r="C1745" s="6" t="s">
        <v>393</v>
      </c>
      <c r="D1745" s="5">
        <v>44905</v>
      </c>
    </row>
    <row r="1746" spans="2:4">
      <c r="B1746" s="6" t="s">
        <v>292</v>
      </c>
      <c r="C1746" s="6" t="s">
        <v>171</v>
      </c>
      <c r="D1746" s="5">
        <v>44905</v>
      </c>
    </row>
    <row r="1747" spans="2:4">
      <c r="B1747" s="6" t="s">
        <v>97</v>
      </c>
      <c r="C1747" s="6" t="s">
        <v>115</v>
      </c>
      <c r="D1747" s="5">
        <v>44905</v>
      </c>
    </row>
    <row r="1748" spans="2:4">
      <c r="B1748" s="6" t="s">
        <v>62</v>
      </c>
      <c r="C1748" s="6" t="s">
        <v>70</v>
      </c>
      <c r="D1748" s="5">
        <v>44905</v>
      </c>
    </row>
    <row r="1749" spans="2:4">
      <c r="B1749" s="6" t="s">
        <v>51</v>
      </c>
      <c r="C1749" s="6" t="s">
        <v>350</v>
      </c>
      <c r="D1749" s="5">
        <v>44905</v>
      </c>
    </row>
    <row r="1750" spans="2:4">
      <c r="B1750" s="6" t="s">
        <v>320</v>
      </c>
      <c r="C1750" s="6" t="s">
        <v>296</v>
      </c>
      <c r="D1750" s="5">
        <v>44905</v>
      </c>
    </row>
    <row r="1751" spans="2:4">
      <c r="B1751" s="6" t="s">
        <v>365</v>
      </c>
      <c r="C1751" s="6" t="s">
        <v>102</v>
      </c>
      <c r="D1751" s="5">
        <v>44905</v>
      </c>
    </row>
    <row r="1752" spans="2:4">
      <c r="B1752" s="6" t="s">
        <v>241</v>
      </c>
      <c r="C1752" s="6" t="s">
        <v>156</v>
      </c>
      <c r="D1752" s="5">
        <v>44905</v>
      </c>
    </row>
    <row r="1753" spans="2:4">
      <c r="B1753" s="6" t="s">
        <v>324</v>
      </c>
      <c r="C1753" s="6" t="s">
        <v>331</v>
      </c>
      <c r="D1753" s="5">
        <v>44905</v>
      </c>
    </row>
    <row r="1754" spans="2:4">
      <c r="B1754" s="6" t="s">
        <v>359</v>
      </c>
      <c r="C1754" s="6" t="s">
        <v>190</v>
      </c>
      <c r="D1754" s="5">
        <v>44905</v>
      </c>
    </row>
    <row r="1755" spans="2:4">
      <c r="B1755" s="6" t="s">
        <v>153</v>
      </c>
      <c r="C1755" s="6" t="s">
        <v>348</v>
      </c>
      <c r="D1755" s="5">
        <v>44905</v>
      </c>
    </row>
    <row r="1756" spans="2:4">
      <c r="B1756" s="6" t="s">
        <v>136</v>
      </c>
      <c r="C1756" s="6" t="s">
        <v>425</v>
      </c>
      <c r="D1756" s="5">
        <v>44905</v>
      </c>
    </row>
    <row r="1757" spans="2:4">
      <c r="B1757" s="6" t="s">
        <v>584</v>
      </c>
      <c r="C1757" s="6" t="s">
        <v>344</v>
      </c>
      <c r="D1757" s="5">
        <v>44905</v>
      </c>
    </row>
    <row r="1758" spans="2:4">
      <c r="B1758" s="6" t="s">
        <v>165</v>
      </c>
      <c r="C1758" s="6" t="s">
        <v>423</v>
      </c>
      <c r="D1758" s="5">
        <v>44905</v>
      </c>
    </row>
    <row r="1759" spans="2:4">
      <c r="B1759" s="6" t="s">
        <v>133</v>
      </c>
      <c r="C1759" s="6" t="s">
        <v>162</v>
      </c>
      <c r="D1759" s="5">
        <v>44905</v>
      </c>
    </row>
    <row r="1760" spans="2:4">
      <c r="B1760" s="6" t="s">
        <v>184</v>
      </c>
      <c r="C1760" s="6" t="s">
        <v>355</v>
      </c>
      <c r="D1760" s="5">
        <v>44905</v>
      </c>
    </row>
    <row r="1761" spans="2:4">
      <c r="B1761" s="6" t="s">
        <v>161</v>
      </c>
      <c r="C1761" s="6" t="s">
        <v>134</v>
      </c>
      <c r="D1761" s="5">
        <v>44905</v>
      </c>
    </row>
    <row r="1762" spans="2:4">
      <c r="B1762" s="6" t="s">
        <v>152</v>
      </c>
      <c r="C1762" s="6" t="s">
        <v>373</v>
      </c>
      <c r="D1762" s="5">
        <v>44905</v>
      </c>
    </row>
    <row r="1763" spans="2:4">
      <c r="B1763" s="6" t="s">
        <v>206</v>
      </c>
      <c r="C1763" s="6" t="s">
        <v>673</v>
      </c>
      <c r="D1763" s="5">
        <v>44905</v>
      </c>
    </row>
    <row r="1764" spans="2:4">
      <c r="B1764" s="6" t="s">
        <v>157</v>
      </c>
      <c r="C1764" s="6" t="s">
        <v>38</v>
      </c>
      <c r="D1764" s="5">
        <v>44905</v>
      </c>
    </row>
    <row r="1765" spans="2:4">
      <c r="B1765" s="6" t="s">
        <v>341</v>
      </c>
      <c r="C1765" s="6" t="s">
        <v>34</v>
      </c>
      <c r="D1765" s="5">
        <v>44905</v>
      </c>
    </row>
    <row r="1766" spans="2:4">
      <c r="B1766" s="6" t="s">
        <v>599</v>
      </c>
      <c r="C1766" s="6" t="s">
        <v>426</v>
      </c>
      <c r="D1766" s="5">
        <v>44905</v>
      </c>
    </row>
    <row r="1767" spans="2:4">
      <c r="B1767" s="6" t="s">
        <v>207</v>
      </c>
      <c r="C1767" s="6" t="s">
        <v>402</v>
      </c>
      <c r="D1767" s="5">
        <v>44905</v>
      </c>
    </row>
    <row r="1768" spans="2:4">
      <c r="B1768" s="6" t="s">
        <v>166</v>
      </c>
      <c r="C1768" s="6" t="s">
        <v>159</v>
      </c>
      <c r="D1768" s="5">
        <v>44905</v>
      </c>
    </row>
    <row r="1769" spans="2:4">
      <c r="B1769" s="6" t="s">
        <v>396</v>
      </c>
      <c r="C1769" s="6" t="s">
        <v>168</v>
      </c>
      <c r="D1769" s="5">
        <v>44906</v>
      </c>
    </row>
    <row r="1770" spans="2:4">
      <c r="B1770" s="6" t="s">
        <v>249</v>
      </c>
      <c r="C1770" s="6" t="s">
        <v>563</v>
      </c>
      <c r="D1770" s="5">
        <v>44906</v>
      </c>
    </row>
    <row r="1771" spans="2:4">
      <c r="B1771" s="6" t="s">
        <v>252</v>
      </c>
      <c r="C1771" s="6" t="s">
        <v>285</v>
      </c>
      <c r="D1771" s="5">
        <v>44906</v>
      </c>
    </row>
    <row r="1772" spans="2:4">
      <c r="B1772" s="6" t="s">
        <v>411</v>
      </c>
      <c r="C1772" s="6" t="s">
        <v>388</v>
      </c>
      <c r="D1772" s="5">
        <v>44906</v>
      </c>
    </row>
    <row r="1773" spans="2:4">
      <c r="B1773" s="6" t="s">
        <v>209</v>
      </c>
      <c r="C1773" s="6" t="s">
        <v>674</v>
      </c>
      <c r="D1773" s="5">
        <v>44906</v>
      </c>
    </row>
    <row r="1774" spans="2:4">
      <c r="B1774" s="6" t="s">
        <v>204</v>
      </c>
      <c r="C1774" s="6" t="s">
        <v>247</v>
      </c>
      <c r="D1774" s="5">
        <v>44906</v>
      </c>
    </row>
    <row r="1775" spans="2:4">
      <c r="B1775" s="6" t="s">
        <v>175</v>
      </c>
      <c r="C1775" s="6" t="s">
        <v>174</v>
      </c>
      <c r="D1775" s="5">
        <v>44906</v>
      </c>
    </row>
    <row r="1776" spans="2:4">
      <c r="B1776" s="6" t="s">
        <v>349</v>
      </c>
      <c r="C1776" s="6" t="s">
        <v>246</v>
      </c>
      <c r="D1776" s="5">
        <v>44906</v>
      </c>
    </row>
    <row r="1777" spans="2:4">
      <c r="B1777" s="6" t="s">
        <v>230</v>
      </c>
      <c r="C1777" s="6" t="s">
        <v>106</v>
      </c>
      <c r="D1777" s="5">
        <v>44906</v>
      </c>
    </row>
    <row r="1778" spans="2:4">
      <c r="B1778" s="6" t="s">
        <v>319</v>
      </c>
      <c r="C1778" s="6" t="s">
        <v>505</v>
      </c>
      <c r="D1778" s="5">
        <v>44906</v>
      </c>
    </row>
    <row r="1779" spans="2:4">
      <c r="B1779" s="6" t="s">
        <v>290</v>
      </c>
      <c r="C1779" s="6" t="s">
        <v>447</v>
      </c>
      <c r="D1779" s="5">
        <v>44906</v>
      </c>
    </row>
    <row r="1780" spans="2:4">
      <c r="B1780" s="6" t="s">
        <v>105</v>
      </c>
      <c r="C1780" s="6" t="s">
        <v>364</v>
      </c>
      <c r="D1780" s="5">
        <v>44906</v>
      </c>
    </row>
    <row r="1781" spans="2:4">
      <c r="B1781" s="6" t="s">
        <v>418</v>
      </c>
      <c r="C1781" s="6" t="s">
        <v>127</v>
      </c>
      <c r="D1781" s="5">
        <v>44906</v>
      </c>
    </row>
    <row r="1782" spans="2:4">
      <c r="B1782" s="6" t="s">
        <v>129</v>
      </c>
      <c r="C1782" s="6" t="s">
        <v>271</v>
      </c>
      <c r="D1782" s="5">
        <v>44906</v>
      </c>
    </row>
    <row r="1783" spans="2:4">
      <c r="B1783" s="6" t="s">
        <v>118</v>
      </c>
      <c r="C1783" s="6" t="s">
        <v>130</v>
      </c>
      <c r="D1783" s="5">
        <v>44906</v>
      </c>
    </row>
    <row r="1784" spans="2:4">
      <c r="B1784" s="6" t="s">
        <v>432</v>
      </c>
      <c r="C1784" s="6" t="s">
        <v>263</v>
      </c>
      <c r="D1784" s="5">
        <v>44906</v>
      </c>
    </row>
    <row r="1785" spans="2:4">
      <c r="B1785" s="6" t="s">
        <v>275</v>
      </c>
      <c r="C1785" s="6" t="s">
        <v>116</v>
      </c>
      <c r="D1785" s="5">
        <v>44906</v>
      </c>
    </row>
    <row r="1786" spans="2:4">
      <c r="B1786" s="6" t="s">
        <v>410</v>
      </c>
      <c r="C1786" s="6" t="s">
        <v>177</v>
      </c>
      <c r="D1786" s="5">
        <v>44906</v>
      </c>
    </row>
    <row r="1787" spans="2:4">
      <c r="B1787" s="6" t="s">
        <v>305</v>
      </c>
      <c r="C1787" s="6" t="s">
        <v>436</v>
      </c>
      <c r="D1787" s="5">
        <v>44906</v>
      </c>
    </row>
    <row r="1788" spans="2:4">
      <c r="B1788" s="6" t="s">
        <v>68</v>
      </c>
      <c r="C1788" s="6" t="s">
        <v>399</v>
      </c>
      <c r="D1788" s="5">
        <v>44906</v>
      </c>
    </row>
    <row r="1789" spans="2:4">
      <c r="B1789" s="6" t="s">
        <v>52</v>
      </c>
      <c r="C1789" s="6" t="s">
        <v>322</v>
      </c>
      <c r="D1789" s="5">
        <v>44906</v>
      </c>
    </row>
    <row r="1790" spans="2:4">
      <c r="B1790" s="6" t="s">
        <v>358</v>
      </c>
      <c r="C1790" s="6" t="s">
        <v>510</v>
      </c>
      <c r="D1790" s="5">
        <v>44906</v>
      </c>
    </row>
    <row r="1791" spans="2:4">
      <c r="B1791" s="6" t="s">
        <v>250</v>
      </c>
      <c r="C1791" s="6" t="s">
        <v>347</v>
      </c>
      <c r="D1791" s="5">
        <v>44906</v>
      </c>
    </row>
    <row r="1792" spans="2:4">
      <c r="B1792" s="6" t="s">
        <v>33</v>
      </c>
      <c r="C1792" s="6" t="s">
        <v>295</v>
      </c>
      <c r="D1792" s="5">
        <v>44906</v>
      </c>
    </row>
    <row r="1793" spans="2:4">
      <c r="B1793" s="6" t="s">
        <v>309</v>
      </c>
      <c r="C1793" s="6" t="s">
        <v>128</v>
      </c>
      <c r="D1793" s="5">
        <v>44906</v>
      </c>
    </row>
    <row r="1794" spans="2:4">
      <c r="B1794" s="6" t="s">
        <v>615</v>
      </c>
      <c r="C1794" s="6" t="s">
        <v>325</v>
      </c>
      <c r="D1794" s="5">
        <v>44906</v>
      </c>
    </row>
    <row r="1795" spans="2:4">
      <c r="B1795" s="6" t="s">
        <v>284</v>
      </c>
      <c r="C1795" s="6" t="s">
        <v>375</v>
      </c>
      <c r="D1795" s="5">
        <v>44906</v>
      </c>
    </row>
    <row r="1796" spans="2:4">
      <c r="B1796" s="6" t="s">
        <v>179</v>
      </c>
      <c r="C1796" s="6" t="s">
        <v>288</v>
      </c>
      <c r="D1796" s="5">
        <v>44906</v>
      </c>
    </row>
    <row r="1797" spans="2:4">
      <c r="B1797" s="6" t="s">
        <v>123</v>
      </c>
      <c r="C1797" s="6" t="s">
        <v>220</v>
      </c>
      <c r="D1797" s="5">
        <v>44906</v>
      </c>
    </row>
    <row r="1798" spans="2:4">
      <c r="B1798" s="6" t="s">
        <v>386</v>
      </c>
      <c r="C1798" s="6" t="s">
        <v>453</v>
      </c>
      <c r="D1798" s="5">
        <v>44906</v>
      </c>
    </row>
    <row r="1799" spans="2:4">
      <c r="B1799" s="6" t="s">
        <v>46</v>
      </c>
      <c r="C1799" s="6" t="s">
        <v>37</v>
      </c>
      <c r="D1799" s="5">
        <v>44906</v>
      </c>
    </row>
    <row r="1800" spans="2:4">
      <c r="B1800" s="6" t="s">
        <v>86</v>
      </c>
      <c r="C1800" s="6" t="s">
        <v>56</v>
      </c>
      <c r="D1800" s="5">
        <v>44906</v>
      </c>
    </row>
    <row r="1801" spans="2:4">
      <c r="B1801" s="6" t="s">
        <v>236</v>
      </c>
      <c r="C1801" s="6" t="s">
        <v>379</v>
      </c>
      <c r="D1801" s="5">
        <v>44906</v>
      </c>
    </row>
    <row r="1802" spans="2:4">
      <c r="B1802" s="6" t="s">
        <v>158</v>
      </c>
      <c r="C1802" s="6" t="s">
        <v>154</v>
      </c>
      <c r="D1802" s="5">
        <v>44906</v>
      </c>
    </row>
    <row r="1803" spans="2:4">
      <c r="B1803" s="6" t="s">
        <v>359</v>
      </c>
      <c r="C1803" s="6" t="s">
        <v>509</v>
      </c>
      <c r="D1803" s="5">
        <v>44906</v>
      </c>
    </row>
    <row r="1804" spans="2:4">
      <c r="B1804" s="6" t="s">
        <v>31</v>
      </c>
      <c r="C1804" s="6" t="s">
        <v>342</v>
      </c>
      <c r="D1804" s="5">
        <v>44906</v>
      </c>
    </row>
    <row r="1805" spans="2:4">
      <c r="B1805" s="6" t="s">
        <v>91</v>
      </c>
      <c r="C1805" s="6" t="s">
        <v>76</v>
      </c>
      <c r="D1805" s="5">
        <v>44906</v>
      </c>
    </row>
    <row r="1806" spans="2:4">
      <c r="B1806" s="6" t="s">
        <v>90</v>
      </c>
      <c r="C1806" s="6" t="s">
        <v>192</v>
      </c>
      <c r="D1806" s="5">
        <v>44906</v>
      </c>
    </row>
    <row r="1807" spans="2:4">
      <c r="B1807" s="6" t="s">
        <v>61</v>
      </c>
      <c r="C1807" s="6" t="s">
        <v>65</v>
      </c>
      <c r="D1807" s="5">
        <v>44906</v>
      </c>
    </row>
    <row r="1808" spans="2:4">
      <c r="B1808" s="6" t="s">
        <v>64</v>
      </c>
      <c r="C1808" s="6" t="s">
        <v>36</v>
      </c>
      <c r="D1808" s="5">
        <v>44906</v>
      </c>
    </row>
    <row r="1809" spans="2:4">
      <c r="B1809" s="6" t="s">
        <v>121</v>
      </c>
      <c r="C1809" s="6" t="s">
        <v>96</v>
      </c>
      <c r="D1809" s="5">
        <v>44906</v>
      </c>
    </row>
    <row r="1810" spans="2:4">
      <c r="B1810" s="6" t="s">
        <v>427</v>
      </c>
      <c r="C1810" s="6" t="s">
        <v>675</v>
      </c>
      <c r="D1810" s="5">
        <v>44906</v>
      </c>
    </row>
    <row r="1811" spans="2:4">
      <c r="B1811" s="6" t="s">
        <v>300</v>
      </c>
      <c r="C1811" s="6" t="s">
        <v>178</v>
      </c>
      <c r="D1811" s="5">
        <v>44906</v>
      </c>
    </row>
    <row r="1812" spans="2:4">
      <c r="B1812" s="6" t="s">
        <v>63</v>
      </c>
      <c r="C1812" s="6" t="s">
        <v>85</v>
      </c>
      <c r="D1812" s="5">
        <v>44906</v>
      </c>
    </row>
    <row r="1813" spans="2:4">
      <c r="B1813" s="6" t="s">
        <v>428</v>
      </c>
      <c r="C1813" s="6" t="s">
        <v>338</v>
      </c>
      <c r="D1813" s="5">
        <v>44906</v>
      </c>
    </row>
    <row r="1814" spans="2:4">
      <c r="B1814" s="6" t="s">
        <v>172</v>
      </c>
      <c r="C1814" s="6" t="s">
        <v>488</v>
      </c>
      <c r="D1814" s="5">
        <v>44907</v>
      </c>
    </row>
    <row r="1815" spans="2:4">
      <c r="B1815" s="6" t="s">
        <v>99</v>
      </c>
      <c r="C1815" s="6" t="s">
        <v>336</v>
      </c>
      <c r="D1815" s="5">
        <v>44907</v>
      </c>
    </row>
    <row r="1816" spans="2:4">
      <c r="B1816" s="6" t="s">
        <v>137</v>
      </c>
      <c r="C1816" s="6" t="s">
        <v>138</v>
      </c>
      <c r="D1816" s="5">
        <v>44907</v>
      </c>
    </row>
    <row r="1817" spans="2:4">
      <c r="B1817" s="6" t="s">
        <v>253</v>
      </c>
      <c r="C1817" s="6" t="s">
        <v>254</v>
      </c>
      <c r="D1817" s="5">
        <v>44907</v>
      </c>
    </row>
    <row r="1818" spans="2:4">
      <c r="B1818" s="6" t="s">
        <v>112</v>
      </c>
      <c r="C1818" s="6" t="s">
        <v>100</v>
      </c>
      <c r="D1818" s="5">
        <v>44907</v>
      </c>
    </row>
    <row r="1819" spans="2:4">
      <c r="B1819" s="6" t="s">
        <v>47</v>
      </c>
      <c r="C1819" s="6" t="s">
        <v>115</v>
      </c>
      <c r="D1819" s="5">
        <v>44907</v>
      </c>
    </row>
    <row r="1820" spans="2:4">
      <c r="B1820" s="6" t="s">
        <v>240</v>
      </c>
      <c r="C1820" s="6" t="s">
        <v>520</v>
      </c>
      <c r="D1820" s="5">
        <v>44907</v>
      </c>
    </row>
    <row r="1821" spans="2:4">
      <c r="B1821" s="6" t="s">
        <v>30</v>
      </c>
      <c r="C1821" s="6" t="s">
        <v>143</v>
      </c>
      <c r="D1821" s="5">
        <v>44907</v>
      </c>
    </row>
    <row r="1822" spans="2:4">
      <c r="B1822" s="6" t="s">
        <v>147</v>
      </c>
      <c r="C1822" s="6" t="s">
        <v>518</v>
      </c>
      <c r="D1822" s="5">
        <v>44907</v>
      </c>
    </row>
    <row r="1823" spans="2:4">
      <c r="B1823" s="6" t="s">
        <v>308</v>
      </c>
      <c r="C1823" s="6" t="s">
        <v>306</v>
      </c>
      <c r="D1823" s="5">
        <v>44907</v>
      </c>
    </row>
    <row r="1824" spans="2:4">
      <c r="B1824" s="6" t="s">
        <v>365</v>
      </c>
      <c r="C1824" s="6" t="s">
        <v>676</v>
      </c>
      <c r="D1824" s="5">
        <v>44907</v>
      </c>
    </row>
    <row r="1825" spans="2:4">
      <c r="B1825" s="6" t="s">
        <v>318</v>
      </c>
      <c r="C1825" s="6" t="s">
        <v>231</v>
      </c>
      <c r="D1825" s="5">
        <v>44907</v>
      </c>
    </row>
    <row r="1826" spans="2:4">
      <c r="B1826" s="6" t="s">
        <v>184</v>
      </c>
      <c r="C1826" s="6" t="s">
        <v>201</v>
      </c>
      <c r="D1826" s="5">
        <v>44907</v>
      </c>
    </row>
    <row r="1827" spans="2:4">
      <c r="B1827" s="6" t="s">
        <v>132</v>
      </c>
      <c r="C1827" s="6" t="s">
        <v>400</v>
      </c>
      <c r="D1827" s="5">
        <v>44907</v>
      </c>
    </row>
    <row r="1828" spans="2:4">
      <c r="B1828" s="6" t="s">
        <v>38</v>
      </c>
      <c r="C1828" s="6" t="s">
        <v>73</v>
      </c>
      <c r="D1828" s="5">
        <v>44907</v>
      </c>
    </row>
    <row r="1829" spans="2:4">
      <c r="B1829" s="6" t="s">
        <v>196</v>
      </c>
      <c r="C1829" s="6" t="s">
        <v>529</v>
      </c>
      <c r="D1829" s="5">
        <v>44907</v>
      </c>
    </row>
    <row r="1830" spans="2:4">
      <c r="B1830" s="6" t="s">
        <v>385</v>
      </c>
      <c r="C1830" s="6" t="s">
        <v>555</v>
      </c>
      <c r="D1830" s="5">
        <v>44907</v>
      </c>
    </row>
    <row r="1831" spans="2:4">
      <c r="B1831" s="6" t="s">
        <v>423</v>
      </c>
      <c r="C1831" s="6" t="s">
        <v>472</v>
      </c>
      <c r="D1831" s="5">
        <v>44907</v>
      </c>
    </row>
    <row r="1832" spans="2:4">
      <c r="B1832" s="6" t="s">
        <v>392</v>
      </c>
      <c r="C1832" s="6" t="s">
        <v>356</v>
      </c>
      <c r="D1832" s="5">
        <v>44907</v>
      </c>
    </row>
    <row r="1833" spans="2:4">
      <c r="B1833" s="6" t="s">
        <v>96</v>
      </c>
      <c r="C1833" s="6" t="s">
        <v>274</v>
      </c>
      <c r="D1833" s="5">
        <v>44908</v>
      </c>
    </row>
    <row r="1834" spans="2:4">
      <c r="B1834" s="6" t="s">
        <v>250</v>
      </c>
      <c r="C1834" s="6" t="s">
        <v>644</v>
      </c>
      <c r="D1834" s="5">
        <v>44908</v>
      </c>
    </row>
    <row r="1835" spans="2:4">
      <c r="B1835" s="6" t="s">
        <v>357</v>
      </c>
      <c r="C1835" s="6" t="s">
        <v>677</v>
      </c>
      <c r="D1835" s="5">
        <v>44908</v>
      </c>
    </row>
    <row r="1836" spans="2:4">
      <c r="B1836" s="6" t="s">
        <v>587</v>
      </c>
      <c r="C1836" s="6" t="s">
        <v>395</v>
      </c>
      <c r="D1836" s="5">
        <v>44908</v>
      </c>
    </row>
    <row r="1837" spans="2:4">
      <c r="B1837" s="6" t="s">
        <v>337</v>
      </c>
      <c r="C1837" s="6" t="s">
        <v>116</v>
      </c>
      <c r="D1837" s="5">
        <v>44908</v>
      </c>
    </row>
    <row r="1838" spans="2:4">
      <c r="B1838" s="6" t="s">
        <v>360</v>
      </c>
      <c r="C1838" s="6" t="s">
        <v>261</v>
      </c>
      <c r="D1838" s="5">
        <v>44908</v>
      </c>
    </row>
    <row r="1839" spans="2:4">
      <c r="B1839" s="6" t="s">
        <v>149</v>
      </c>
      <c r="C1839" s="6" t="s">
        <v>111</v>
      </c>
      <c r="D1839" s="5">
        <v>44908</v>
      </c>
    </row>
    <row r="1840" spans="2:4">
      <c r="B1840" s="6" t="s">
        <v>251</v>
      </c>
      <c r="C1840" s="6" t="s">
        <v>282</v>
      </c>
      <c r="D1840" s="5">
        <v>44908</v>
      </c>
    </row>
    <row r="1841" spans="2:4">
      <c r="B1841" s="6" t="s">
        <v>170</v>
      </c>
      <c r="C1841" s="6" t="s">
        <v>507</v>
      </c>
      <c r="D1841" s="5">
        <v>44908</v>
      </c>
    </row>
    <row r="1842" spans="2:4">
      <c r="B1842" s="6" t="s">
        <v>122</v>
      </c>
      <c r="C1842" s="6" t="s">
        <v>244</v>
      </c>
      <c r="D1842" s="5">
        <v>44908</v>
      </c>
    </row>
    <row r="1843" spans="2:4">
      <c r="B1843" s="6" t="s">
        <v>276</v>
      </c>
      <c r="C1843" s="6" t="s">
        <v>297</v>
      </c>
      <c r="D1843" s="5">
        <v>44908</v>
      </c>
    </row>
    <row r="1844" spans="2:4">
      <c r="B1844" s="6" t="s">
        <v>580</v>
      </c>
      <c r="C1844" s="6" t="s">
        <v>301</v>
      </c>
      <c r="D1844" s="5">
        <v>44908</v>
      </c>
    </row>
    <row r="1845" spans="2:4">
      <c r="B1845" s="6" t="s">
        <v>267</v>
      </c>
      <c r="C1845" s="6" t="s">
        <v>193</v>
      </c>
      <c r="D1845" s="5">
        <v>44908</v>
      </c>
    </row>
    <row r="1846" spans="2:4">
      <c r="B1846" s="6" t="s">
        <v>124</v>
      </c>
      <c r="C1846" s="6" t="s">
        <v>269</v>
      </c>
      <c r="D1846" s="5">
        <v>44908</v>
      </c>
    </row>
    <row r="1847" spans="2:4">
      <c r="B1847" s="6" t="s">
        <v>285</v>
      </c>
      <c r="C1847" s="6" t="s">
        <v>97</v>
      </c>
      <c r="D1847" s="5">
        <v>44908</v>
      </c>
    </row>
    <row r="1848" spans="2:4">
      <c r="B1848" s="6" t="s">
        <v>200</v>
      </c>
      <c r="C1848" s="6" t="s">
        <v>410</v>
      </c>
      <c r="D1848" s="5">
        <v>44908</v>
      </c>
    </row>
    <row r="1849" spans="2:4">
      <c r="B1849" s="6" t="s">
        <v>278</v>
      </c>
      <c r="C1849" s="6" t="s">
        <v>351</v>
      </c>
      <c r="D1849" s="5">
        <v>44908</v>
      </c>
    </row>
    <row r="1850" spans="2:4">
      <c r="B1850" s="6" t="s">
        <v>81</v>
      </c>
      <c r="C1850" s="6" t="s">
        <v>277</v>
      </c>
      <c r="D1850" s="5">
        <v>44908</v>
      </c>
    </row>
    <row r="1851" spans="2:4">
      <c r="B1851" s="6" t="s">
        <v>39</v>
      </c>
      <c r="C1851" s="6" t="s">
        <v>181</v>
      </c>
      <c r="D1851" s="5">
        <v>44908</v>
      </c>
    </row>
    <row r="1852" spans="2:4">
      <c r="B1852" s="6" t="s">
        <v>54</v>
      </c>
      <c r="C1852" s="6" t="s">
        <v>590</v>
      </c>
      <c r="D1852" s="5">
        <v>44908</v>
      </c>
    </row>
    <row r="1853" spans="2:4">
      <c r="B1853" s="6" t="s">
        <v>212</v>
      </c>
      <c r="C1853" s="6" t="s">
        <v>268</v>
      </c>
      <c r="D1853" s="5">
        <v>44908</v>
      </c>
    </row>
    <row r="1854" spans="2:4">
      <c r="B1854" s="6" t="s">
        <v>27</v>
      </c>
      <c r="C1854" s="6" t="s">
        <v>393</v>
      </c>
      <c r="D1854" s="5">
        <v>44908</v>
      </c>
    </row>
    <row r="1855" spans="2:4">
      <c r="B1855" s="6" t="s">
        <v>150</v>
      </c>
      <c r="C1855" s="6" t="s">
        <v>445</v>
      </c>
      <c r="D1855" s="5">
        <v>44908</v>
      </c>
    </row>
    <row r="1856" spans="2:4">
      <c r="B1856" s="6" t="s">
        <v>280</v>
      </c>
      <c r="C1856" s="6" t="s">
        <v>399</v>
      </c>
      <c r="D1856" s="5">
        <v>44908</v>
      </c>
    </row>
    <row r="1857" spans="2:4">
      <c r="B1857" s="6" t="s">
        <v>312</v>
      </c>
      <c r="C1857" s="6" t="s">
        <v>347</v>
      </c>
      <c r="D1857" s="5">
        <v>44908</v>
      </c>
    </row>
    <row r="1858" spans="2:4">
      <c r="B1858" s="6" t="s">
        <v>352</v>
      </c>
      <c r="C1858" s="6" t="s">
        <v>303</v>
      </c>
      <c r="D1858" s="5">
        <v>44908</v>
      </c>
    </row>
    <row r="1859" spans="2:4">
      <c r="B1859" s="6" t="s">
        <v>241</v>
      </c>
      <c r="C1859" s="6" t="s">
        <v>678</v>
      </c>
      <c r="D1859" s="5">
        <v>44908</v>
      </c>
    </row>
    <row r="1860" spans="2:4">
      <c r="B1860" s="6" t="s">
        <v>348</v>
      </c>
      <c r="C1860" s="6" t="s">
        <v>324</v>
      </c>
      <c r="D1860" s="5">
        <v>44908</v>
      </c>
    </row>
    <row r="1861" spans="2:4">
      <c r="B1861" s="6" t="s">
        <v>94</v>
      </c>
      <c r="C1861" s="6" t="s">
        <v>316</v>
      </c>
      <c r="D1861" s="5">
        <v>44908</v>
      </c>
    </row>
    <row r="1862" spans="2:4">
      <c r="B1862" s="6" t="s">
        <v>383</v>
      </c>
      <c r="C1862" s="6" t="s">
        <v>534</v>
      </c>
      <c r="D1862" s="5">
        <v>44908</v>
      </c>
    </row>
    <row r="1863" spans="2:4">
      <c r="B1863" s="6" t="s">
        <v>70</v>
      </c>
      <c r="C1863" s="6" t="s">
        <v>640</v>
      </c>
      <c r="D1863" s="5">
        <v>44908</v>
      </c>
    </row>
    <row r="1864" spans="2:4">
      <c r="B1864" s="6" t="s">
        <v>45</v>
      </c>
      <c r="C1864" s="6" t="s">
        <v>273</v>
      </c>
      <c r="D1864" s="5">
        <v>44908</v>
      </c>
    </row>
    <row r="1865" spans="2:4">
      <c r="B1865" s="6" t="s">
        <v>82</v>
      </c>
      <c r="C1865" s="6" t="s">
        <v>144</v>
      </c>
      <c r="D1865" s="5">
        <v>44908</v>
      </c>
    </row>
    <row r="1866" spans="2:4">
      <c r="B1866" s="6" t="s">
        <v>162</v>
      </c>
      <c r="C1866" s="6" t="s">
        <v>134</v>
      </c>
      <c r="D1866" s="5">
        <v>44908</v>
      </c>
    </row>
    <row r="1867" spans="2:4">
      <c r="B1867" s="6" t="s">
        <v>427</v>
      </c>
      <c r="C1867" s="6" t="s">
        <v>473</v>
      </c>
      <c r="D1867" s="5">
        <v>44908</v>
      </c>
    </row>
    <row r="1868" spans="2:4">
      <c r="B1868" s="6" t="s">
        <v>141</v>
      </c>
      <c r="C1868" s="6" t="s">
        <v>679</v>
      </c>
      <c r="D1868" s="5">
        <v>44908</v>
      </c>
    </row>
    <row r="1869" spans="2:4">
      <c r="B1869" s="6" t="s">
        <v>77</v>
      </c>
      <c r="C1869" s="6" t="s">
        <v>368</v>
      </c>
      <c r="D1869" s="5">
        <v>44908</v>
      </c>
    </row>
    <row r="1870" spans="2:4">
      <c r="B1870" s="6" t="s">
        <v>160</v>
      </c>
      <c r="C1870" s="6" t="s">
        <v>402</v>
      </c>
      <c r="D1870" s="5">
        <v>44908</v>
      </c>
    </row>
    <row r="1871" spans="2:4">
      <c r="B1871" s="6" t="s">
        <v>71</v>
      </c>
      <c r="C1871" s="6" t="s">
        <v>207</v>
      </c>
      <c r="D1871" s="5">
        <v>44908</v>
      </c>
    </row>
    <row r="1872" spans="2:4">
      <c r="B1872" s="6" t="s">
        <v>298</v>
      </c>
      <c r="C1872" s="6" t="s">
        <v>299</v>
      </c>
      <c r="D1872" s="5">
        <v>44909</v>
      </c>
    </row>
    <row r="1873" spans="2:4">
      <c r="B1873" s="6" t="s">
        <v>373</v>
      </c>
      <c r="C1873" s="6" t="s">
        <v>290</v>
      </c>
      <c r="D1873" s="5">
        <v>44909</v>
      </c>
    </row>
    <row r="1874" spans="2:4">
      <c r="B1874" s="6" t="s">
        <v>256</v>
      </c>
      <c r="C1874" s="6" t="s">
        <v>255</v>
      </c>
      <c r="D1874" s="5">
        <v>44909</v>
      </c>
    </row>
    <row r="1875" spans="2:4">
      <c r="B1875" s="6" t="s">
        <v>105</v>
      </c>
      <c r="C1875" s="6" t="s">
        <v>266</v>
      </c>
      <c r="D1875" s="5">
        <v>44909</v>
      </c>
    </row>
    <row r="1876" spans="2:4">
      <c r="B1876" s="6" t="s">
        <v>432</v>
      </c>
      <c r="C1876" s="6" t="s">
        <v>142</v>
      </c>
      <c r="D1876" s="5">
        <v>44909</v>
      </c>
    </row>
    <row r="1877" spans="2:4">
      <c r="B1877" s="6" t="s">
        <v>425</v>
      </c>
      <c r="C1877" s="6" t="s">
        <v>527</v>
      </c>
      <c r="D1877" s="5">
        <v>44909</v>
      </c>
    </row>
    <row r="1878" spans="2:4">
      <c r="B1878" s="6" t="s">
        <v>421</v>
      </c>
      <c r="C1878" s="6" t="s">
        <v>680</v>
      </c>
      <c r="D1878" s="5">
        <v>44909</v>
      </c>
    </row>
    <row r="1879" spans="2:4">
      <c r="B1879" s="6" t="s">
        <v>187</v>
      </c>
      <c r="C1879" s="6" t="s">
        <v>209</v>
      </c>
      <c r="D1879" s="5">
        <v>44909</v>
      </c>
    </row>
    <row r="1880" spans="2:4">
      <c r="B1880" s="6" t="s">
        <v>289</v>
      </c>
      <c r="C1880" s="6" t="s">
        <v>305</v>
      </c>
      <c r="D1880" s="5">
        <v>44909</v>
      </c>
    </row>
    <row r="1881" spans="2:4">
      <c r="B1881" s="6" t="s">
        <v>121</v>
      </c>
      <c r="C1881" s="6" t="s">
        <v>202</v>
      </c>
      <c r="D1881" s="5">
        <v>44909</v>
      </c>
    </row>
    <row r="1882" spans="2:4">
      <c r="B1882" s="6" t="s">
        <v>215</v>
      </c>
      <c r="C1882" s="6" t="s">
        <v>405</v>
      </c>
      <c r="D1882" s="5">
        <v>44909</v>
      </c>
    </row>
    <row r="1883" spans="2:4">
      <c r="B1883" s="6" t="s">
        <v>436</v>
      </c>
      <c r="C1883" s="6" t="s">
        <v>610</v>
      </c>
      <c r="D1883" s="5">
        <v>44909</v>
      </c>
    </row>
    <row r="1884" spans="2:4">
      <c r="B1884" s="6" t="s">
        <v>284</v>
      </c>
      <c r="C1884" s="6" t="s">
        <v>155</v>
      </c>
      <c r="D1884" s="5">
        <v>44909</v>
      </c>
    </row>
    <row r="1885" spans="2:4">
      <c r="B1885" s="6" t="s">
        <v>36</v>
      </c>
      <c r="C1885" s="6" t="s">
        <v>146</v>
      </c>
      <c r="D1885" s="5">
        <v>44909</v>
      </c>
    </row>
    <row r="1886" spans="2:4">
      <c r="B1886" s="6" t="s">
        <v>195</v>
      </c>
      <c r="C1886" s="6" t="s">
        <v>90</v>
      </c>
      <c r="D1886" s="5">
        <v>44909</v>
      </c>
    </row>
    <row r="1887" spans="2:4">
      <c r="B1887" s="6" t="s">
        <v>79</v>
      </c>
      <c r="C1887" s="6" t="s">
        <v>127</v>
      </c>
      <c r="D1887" s="5">
        <v>44909</v>
      </c>
    </row>
    <row r="1888" spans="2:4">
      <c r="B1888" s="6" t="s">
        <v>53</v>
      </c>
      <c r="C1888" s="6" t="s">
        <v>286</v>
      </c>
      <c r="D1888" s="5">
        <v>44909</v>
      </c>
    </row>
    <row r="1889" spans="2:4">
      <c r="B1889" s="6" t="s">
        <v>353</v>
      </c>
      <c r="C1889" s="6" t="s">
        <v>681</v>
      </c>
      <c r="D1889" s="5">
        <v>44909</v>
      </c>
    </row>
    <row r="1890" spans="2:4">
      <c r="B1890" s="6" t="s">
        <v>85</v>
      </c>
      <c r="C1890" s="6" t="s">
        <v>364</v>
      </c>
      <c r="D1890" s="5">
        <v>44909</v>
      </c>
    </row>
    <row r="1891" spans="2:4">
      <c r="B1891" s="6" t="s">
        <v>333</v>
      </c>
      <c r="C1891" s="6" t="s">
        <v>415</v>
      </c>
      <c r="D1891" s="5">
        <v>44909</v>
      </c>
    </row>
    <row r="1892" spans="2:4">
      <c r="B1892" s="6" t="s">
        <v>310</v>
      </c>
      <c r="C1892" s="6" t="s">
        <v>288</v>
      </c>
      <c r="D1892" s="5">
        <v>44909</v>
      </c>
    </row>
    <row r="1893" spans="2:4">
      <c r="B1893" s="6" t="s">
        <v>88</v>
      </c>
      <c r="C1893" s="6" t="s">
        <v>411</v>
      </c>
      <c r="D1893" s="5">
        <v>44909</v>
      </c>
    </row>
    <row r="1894" spans="2:4">
      <c r="B1894" s="6" t="s">
        <v>83</v>
      </c>
      <c r="C1894" s="6" t="s">
        <v>259</v>
      </c>
      <c r="D1894" s="5">
        <v>44909</v>
      </c>
    </row>
    <row r="1895" spans="2:4">
      <c r="B1895" s="6" t="s">
        <v>385</v>
      </c>
      <c r="C1895" s="6" t="s">
        <v>682</v>
      </c>
      <c r="D1895" s="5">
        <v>44909</v>
      </c>
    </row>
    <row r="1896" spans="2:4">
      <c r="B1896" s="6" t="s">
        <v>309</v>
      </c>
      <c r="C1896" s="6" t="s">
        <v>270</v>
      </c>
      <c r="D1896" s="5">
        <v>44909</v>
      </c>
    </row>
    <row r="1897" spans="2:4">
      <c r="B1897" s="6" t="s">
        <v>367</v>
      </c>
      <c r="C1897" s="6" t="s">
        <v>321</v>
      </c>
      <c r="D1897" s="5">
        <v>44909</v>
      </c>
    </row>
    <row r="1898" spans="2:4">
      <c r="B1898" s="6" t="s">
        <v>128</v>
      </c>
      <c r="C1898" s="6" t="s">
        <v>304</v>
      </c>
      <c r="D1898" s="5">
        <v>44909</v>
      </c>
    </row>
    <row r="1899" spans="2:4">
      <c r="B1899" s="6" t="s">
        <v>63</v>
      </c>
      <c r="C1899" s="6" t="s">
        <v>332</v>
      </c>
      <c r="D1899" s="5">
        <v>44909</v>
      </c>
    </row>
    <row r="1900" spans="2:4">
      <c r="B1900" s="6" t="s">
        <v>56</v>
      </c>
      <c r="C1900" s="6" t="s">
        <v>75</v>
      </c>
      <c r="D1900" s="5">
        <v>44909</v>
      </c>
    </row>
    <row r="1901" spans="2:4">
      <c r="B1901" s="6" t="s">
        <v>69</v>
      </c>
      <c r="C1901" s="6" t="s">
        <v>154</v>
      </c>
      <c r="D1901" s="5">
        <v>44909</v>
      </c>
    </row>
    <row r="1902" spans="2:4">
      <c r="B1902" s="6" t="s">
        <v>151</v>
      </c>
      <c r="C1902" s="6" t="s">
        <v>633</v>
      </c>
      <c r="D1902" s="5">
        <v>44909</v>
      </c>
    </row>
    <row r="1903" spans="2:4">
      <c r="B1903" s="6" t="s">
        <v>208</v>
      </c>
      <c r="C1903" s="6" t="s">
        <v>294</v>
      </c>
      <c r="D1903" s="5">
        <v>44909</v>
      </c>
    </row>
    <row r="1904" spans="2:4">
      <c r="B1904" s="6" t="s">
        <v>43</v>
      </c>
      <c r="C1904" s="6" t="s">
        <v>313</v>
      </c>
      <c r="D1904" s="5">
        <v>44909</v>
      </c>
    </row>
    <row r="1905" spans="2:4">
      <c r="B1905" s="6" t="s">
        <v>398</v>
      </c>
      <c r="C1905" s="6" t="s">
        <v>375</v>
      </c>
      <c r="D1905" s="5">
        <v>44909</v>
      </c>
    </row>
    <row r="1906" spans="2:4">
      <c r="B1906" s="6" t="s">
        <v>169</v>
      </c>
      <c r="C1906" s="6" t="s">
        <v>236</v>
      </c>
      <c r="D1906" s="5">
        <v>44909</v>
      </c>
    </row>
    <row r="1907" spans="2:4">
      <c r="B1907" s="6" t="s">
        <v>74</v>
      </c>
      <c r="C1907" s="6" t="s">
        <v>420</v>
      </c>
      <c r="D1907" s="5">
        <v>44909</v>
      </c>
    </row>
    <row r="1908" spans="2:4">
      <c r="B1908" s="6" t="s">
        <v>192</v>
      </c>
      <c r="C1908" s="6" t="s">
        <v>129</v>
      </c>
      <c r="D1908" s="5">
        <v>44910</v>
      </c>
    </row>
    <row r="1909" spans="2:4">
      <c r="B1909" s="6" t="s">
        <v>143</v>
      </c>
      <c r="C1909" s="6" t="s">
        <v>563</v>
      </c>
      <c r="D1909" s="5">
        <v>44910</v>
      </c>
    </row>
    <row r="1910" spans="2:4">
      <c r="B1910" s="6" t="s">
        <v>98</v>
      </c>
      <c r="C1910" s="6" t="s">
        <v>99</v>
      </c>
      <c r="D1910" s="5">
        <v>44910</v>
      </c>
    </row>
    <row r="1911" spans="2:4">
      <c r="B1911" s="6" t="s">
        <v>242</v>
      </c>
      <c r="C1911" s="6" t="s">
        <v>104</v>
      </c>
      <c r="D1911" s="5">
        <v>44910</v>
      </c>
    </row>
    <row r="1912" spans="2:4">
      <c r="B1912" s="6" t="s">
        <v>65</v>
      </c>
      <c r="C1912" s="6" t="s">
        <v>114</v>
      </c>
      <c r="D1912" s="5">
        <v>44910</v>
      </c>
    </row>
    <row r="1913" spans="2:4">
      <c r="B1913" s="6" t="s">
        <v>615</v>
      </c>
      <c r="C1913" s="6" t="s">
        <v>629</v>
      </c>
      <c r="D1913" s="5">
        <v>44910</v>
      </c>
    </row>
    <row r="1914" spans="2:4">
      <c r="B1914" s="6" t="s">
        <v>342</v>
      </c>
      <c r="C1914" s="6" t="s">
        <v>365</v>
      </c>
      <c r="D1914" s="5">
        <v>44910</v>
      </c>
    </row>
    <row r="1915" spans="2:4">
      <c r="B1915" s="6" t="s">
        <v>319</v>
      </c>
      <c r="C1915" s="6" t="s">
        <v>183</v>
      </c>
      <c r="D1915" s="5">
        <v>44910</v>
      </c>
    </row>
    <row r="1916" spans="2:4">
      <c r="B1916" s="6" t="s">
        <v>344</v>
      </c>
      <c r="C1916" s="6" t="s">
        <v>440</v>
      </c>
      <c r="D1916" s="5">
        <v>44910</v>
      </c>
    </row>
    <row r="1917" spans="2:4">
      <c r="B1917" s="6" t="s">
        <v>72</v>
      </c>
      <c r="C1917" s="6" t="s">
        <v>173</v>
      </c>
      <c r="D1917" s="5">
        <v>44910</v>
      </c>
    </row>
    <row r="1918" spans="2:4">
      <c r="B1918" s="6" t="s">
        <v>157</v>
      </c>
      <c r="C1918" s="6" t="s">
        <v>683</v>
      </c>
      <c r="D1918" s="5">
        <v>44910</v>
      </c>
    </row>
    <row r="1919" spans="2:4">
      <c r="B1919" s="6" t="s">
        <v>168</v>
      </c>
      <c r="C1919" s="6" t="s">
        <v>486</v>
      </c>
      <c r="D1919" s="5">
        <v>44910</v>
      </c>
    </row>
    <row r="1920" spans="2:4">
      <c r="B1920" s="6" t="s">
        <v>160</v>
      </c>
      <c r="C1920" s="6" t="s">
        <v>167</v>
      </c>
      <c r="D1920" s="5">
        <v>44910</v>
      </c>
    </row>
    <row r="1921" spans="2:4">
      <c r="B1921" s="6" t="s">
        <v>76</v>
      </c>
      <c r="C1921" s="6" t="s">
        <v>424</v>
      </c>
      <c r="D1921" s="5">
        <v>44910</v>
      </c>
    </row>
    <row r="1922" spans="2:4">
      <c r="B1922" s="6" t="s">
        <v>640</v>
      </c>
      <c r="C1922" s="6" t="s">
        <v>501</v>
      </c>
      <c r="D1922" s="5">
        <v>44911</v>
      </c>
    </row>
    <row r="1923" spans="2:4">
      <c r="B1923" s="6" t="s">
        <v>97</v>
      </c>
      <c r="C1923" s="6" t="s">
        <v>118</v>
      </c>
      <c r="D1923" s="5">
        <v>44911</v>
      </c>
    </row>
    <row r="1924" spans="2:4">
      <c r="B1924" s="6" t="s">
        <v>41</v>
      </c>
      <c r="C1924" s="6" t="s">
        <v>39</v>
      </c>
      <c r="D1924" s="5">
        <v>44911</v>
      </c>
    </row>
    <row r="1925" spans="2:4">
      <c r="B1925" s="6" t="s">
        <v>231</v>
      </c>
      <c r="C1925" s="6" t="s">
        <v>351</v>
      </c>
      <c r="D1925" s="5">
        <v>44911</v>
      </c>
    </row>
    <row r="1926" spans="2:4">
      <c r="B1926" s="6" t="s">
        <v>252</v>
      </c>
      <c r="C1926" s="6" t="s">
        <v>292</v>
      </c>
      <c r="D1926" s="5">
        <v>44911</v>
      </c>
    </row>
    <row r="1927" spans="2:4">
      <c r="B1927" s="6" t="s">
        <v>295</v>
      </c>
      <c r="C1927" s="6" t="s">
        <v>232</v>
      </c>
      <c r="D1927" s="5">
        <v>44911</v>
      </c>
    </row>
    <row r="1928" spans="2:4">
      <c r="B1928" s="6" t="s">
        <v>312</v>
      </c>
      <c r="C1928" s="6" t="s">
        <v>147</v>
      </c>
      <c r="D1928" s="5">
        <v>44911</v>
      </c>
    </row>
    <row r="1929" spans="2:4">
      <c r="B1929" s="6" t="s">
        <v>418</v>
      </c>
      <c r="C1929" s="6" t="s">
        <v>181</v>
      </c>
      <c r="D1929" s="5">
        <v>44911</v>
      </c>
    </row>
    <row r="1930" spans="2:4">
      <c r="B1930" s="6" t="s">
        <v>95</v>
      </c>
      <c r="C1930" s="6" t="s">
        <v>303</v>
      </c>
      <c r="D1930" s="5">
        <v>44911</v>
      </c>
    </row>
    <row r="1931" spans="2:4">
      <c r="B1931" s="6" t="s">
        <v>241</v>
      </c>
      <c r="C1931" s="6" t="s">
        <v>347</v>
      </c>
      <c r="D1931" s="5">
        <v>44911</v>
      </c>
    </row>
    <row r="1932" spans="2:4">
      <c r="B1932" s="6" t="s">
        <v>184</v>
      </c>
      <c r="C1932" s="6" t="s">
        <v>320</v>
      </c>
      <c r="D1932" s="5">
        <v>44911</v>
      </c>
    </row>
    <row r="1933" spans="2:4">
      <c r="B1933" s="6" t="s">
        <v>383</v>
      </c>
      <c r="C1933" s="6" t="s">
        <v>441</v>
      </c>
      <c r="D1933" s="5">
        <v>44911</v>
      </c>
    </row>
    <row r="1934" spans="2:4">
      <c r="B1934" s="6" t="s">
        <v>93</v>
      </c>
      <c r="C1934" s="6" t="s">
        <v>324</v>
      </c>
      <c r="D1934" s="5">
        <v>44911</v>
      </c>
    </row>
    <row r="1935" spans="2:4">
      <c r="B1935" s="6" t="s">
        <v>37</v>
      </c>
      <c r="C1935" s="6" t="s">
        <v>38</v>
      </c>
      <c r="D1935" s="5">
        <v>44911</v>
      </c>
    </row>
    <row r="1936" spans="2:4">
      <c r="B1936" s="6" t="s">
        <v>330</v>
      </c>
      <c r="C1936" s="6" t="s">
        <v>684</v>
      </c>
      <c r="D1936" s="5">
        <v>44911</v>
      </c>
    </row>
    <row r="1937" spans="2:4">
      <c r="B1937" s="6" t="s">
        <v>158</v>
      </c>
      <c r="C1937" s="6" t="s">
        <v>685</v>
      </c>
      <c r="D1937" s="5">
        <v>44911</v>
      </c>
    </row>
    <row r="1938" spans="2:4">
      <c r="B1938" s="6" t="s">
        <v>207</v>
      </c>
      <c r="C1938" s="6" t="s">
        <v>206</v>
      </c>
      <c r="D1938" s="5">
        <v>44911</v>
      </c>
    </row>
    <row r="1939" spans="2:4">
      <c r="B1939" s="6" t="s">
        <v>26</v>
      </c>
      <c r="C1939" s="6" t="s">
        <v>62</v>
      </c>
      <c r="D1939" s="5">
        <v>44912</v>
      </c>
    </row>
    <row r="1940" spans="2:4">
      <c r="B1940" s="6" t="s">
        <v>172</v>
      </c>
      <c r="C1940" s="6" t="s">
        <v>329</v>
      </c>
      <c r="D1940" s="5">
        <v>44912</v>
      </c>
    </row>
    <row r="1941" spans="2:4">
      <c r="B1941" s="6" t="s">
        <v>411</v>
      </c>
      <c r="C1941" s="6" t="s">
        <v>87</v>
      </c>
      <c r="D1941" s="5">
        <v>44912</v>
      </c>
    </row>
    <row r="1942" spans="2:4">
      <c r="B1942" s="6" t="s">
        <v>64</v>
      </c>
      <c r="C1942" s="6" t="s">
        <v>53</v>
      </c>
      <c r="D1942" s="5">
        <v>44912</v>
      </c>
    </row>
    <row r="1943" spans="2:4">
      <c r="B1943" s="6" t="s">
        <v>48</v>
      </c>
      <c r="C1943" s="6" t="s">
        <v>338</v>
      </c>
      <c r="D1943" s="5">
        <v>44912</v>
      </c>
    </row>
    <row r="1944" spans="2:4">
      <c r="B1944" s="6" t="s">
        <v>201</v>
      </c>
      <c r="C1944" s="6" t="s">
        <v>106</v>
      </c>
      <c r="D1944" s="5">
        <v>44912</v>
      </c>
    </row>
    <row r="1945" spans="2:4">
      <c r="B1945" s="6" t="s">
        <v>36</v>
      </c>
      <c r="C1945" s="6" t="s">
        <v>40</v>
      </c>
      <c r="D1945" s="5">
        <v>44912</v>
      </c>
    </row>
    <row r="1946" spans="2:4">
      <c r="B1946" s="6" t="s">
        <v>399</v>
      </c>
      <c r="C1946" s="6" t="s">
        <v>190</v>
      </c>
      <c r="D1946" s="5">
        <v>44912</v>
      </c>
    </row>
    <row r="1947" spans="2:4">
      <c r="B1947" s="6" t="s">
        <v>132</v>
      </c>
      <c r="C1947" s="6" t="s">
        <v>82</v>
      </c>
      <c r="D1947" s="5">
        <v>44912</v>
      </c>
    </row>
    <row r="1948" spans="2:4">
      <c r="B1948" s="6" t="s">
        <v>282</v>
      </c>
      <c r="C1948" s="6" t="s">
        <v>395</v>
      </c>
      <c r="D1948" s="5">
        <v>44912</v>
      </c>
    </row>
    <row r="1949" spans="2:4">
      <c r="B1949" s="6" t="s">
        <v>123</v>
      </c>
      <c r="C1949" s="6" t="s">
        <v>318</v>
      </c>
      <c r="D1949" s="5">
        <v>44912</v>
      </c>
    </row>
    <row r="1950" spans="2:4">
      <c r="B1950" s="6" t="s">
        <v>29</v>
      </c>
      <c r="C1950" s="6" t="s">
        <v>355</v>
      </c>
      <c r="D1950" s="5">
        <v>44912</v>
      </c>
    </row>
    <row r="1951" spans="2:4">
      <c r="B1951" s="6" t="s">
        <v>49</v>
      </c>
      <c r="C1951" s="6" t="s">
        <v>354</v>
      </c>
      <c r="D1951" s="5">
        <v>44912</v>
      </c>
    </row>
    <row r="1952" spans="2:4">
      <c r="B1952" s="6" t="s">
        <v>188</v>
      </c>
      <c r="C1952" s="6" t="s">
        <v>212</v>
      </c>
      <c r="D1952" s="5">
        <v>44912</v>
      </c>
    </row>
    <row r="1953" spans="2:4">
      <c r="B1953" s="6" t="s">
        <v>356</v>
      </c>
      <c r="C1953" s="6" t="s">
        <v>686</v>
      </c>
      <c r="D1953" s="5">
        <v>44912</v>
      </c>
    </row>
    <row r="1954" spans="2:4">
      <c r="B1954" s="6" t="s">
        <v>126</v>
      </c>
      <c r="C1954" s="6" t="s">
        <v>519</v>
      </c>
      <c r="D1954" s="5">
        <v>44912</v>
      </c>
    </row>
    <row r="1955" spans="2:4">
      <c r="B1955" s="6" t="s">
        <v>353</v>
      </c>
      <c r="C1955" s="6" t="s">
        <v>240</v>
      </c>
      <c r="D1955" s="5">
        <v>44912</v>
      </c>
    </row>
    <row r="1956" spans="2:4">
      <c r="B1956" s="6" t="s">
        <v>332</v>
      </c>
      <c r="C1956" s="6" t="s">
        <v>483</v>
      </c>
      <c r="D1956" s="5">
        <v>44912</v>
      </c>
    </row>
    <row r="1957" spans="2:4">
      <c r="B1957" s="6" t="s">
        <v>603</v>
      </c>
      <c r="C1957" s="6" t="s">
        <v>461</v>
      </c>
      <c r="D1957" s="5">
        <v>44912</v>
      </c>
    </row>
    <row r="1958" spans="2:4">
      <c r="B1958" s="6" t="s">
        <v>127</v>
      </c>
      <c r="C1958" s="6" t="s">
        <v>142</v>
      </c>
      <c r="D1958" s="5">
        <v>44912</v>
      </c>
    </row>
    <row r="1959" spans="2:4">
      <c r="B1959" s="6" t="s">
        <v>255</v>
      </c>
      <c r="C1959" s="6" t="s">
        <v>202</v>
      </c>
      <c r="D1959" s="5">
        <v>44912</v>
      </c>
    </row>
    <row r="1960" spans="2:4">
      <c r="B1960" s="6" t="s">
        <v>425</v>
      </c>
      <c r="C1960" s="6" t="s">
        <v>277</v>
      </c>
      <c r="D1960" s="5">
        <v>44912</v>
      </c>
    </row>
    <row r="1961" spans="2:4">
      <c r="B1961" s="6" t="s">
        <v>146</v>
      </c>
      <c r="C1961" s="6" t="s">
        <v>264</v>
      </c>
      <c r="D1961" s="5">
        <v>44912</v>
      </c>
    </row>
    <row r="1962" spans="2:4">
      <c r="B1962" s="6" t="s">
        <v>421</v>
      </c>
      <c r="C1962" s="6" t="s">
        <v>274</v>
      </c>
      <c r="D1962" s="5">
        <v>44912</v>
      </c>
    </row>
    <row r="1963" spans="2:4">
      <c r="B1963" s="6" t="s">
        <v>103</v>
      </c>
      <c r="C1963" s="6" t="s">
        <v>687</v>
      </c>
      <c r="D1963" s="5">
        <v>44912</v>
      </c>
    </row>
    <row r="1964" spans="2:4">
      <c r="B1964" s="6" t="s">
        <v>171</v>
      </c>
      <c r="C1964" s="6" t="s">
        <v>305</v>
      </c>
      <c r="D1964" s="5">
        <v>44912</v>
      </c>
    </row>
    <row r="1965" spans="2:4">
      <c r="B1965" s="6" t="s">
        <v>183</v>
      </c>
      <c r="C1965" s="6" t="s">
        <v>194</v>
      </c>
      <c r="D1965" s="5">
        <v>44912</v>
      </c>
    </row>
    <row r="1966" spans="2:4">
      <c r="B1966" s="6" t="s">
        <v>43</v>
      </c>
      <c r="C1966" s="6" t="s">
        <v>170</v>
      </c>
      <c r="D1966" s="5">
        <v>44912</v>
      </c>
    </row>
    <row r="1967" spans="2:4">
      <c r="B1967" s="6" t="s">
        <v>288</v>
      </c>
      <c r="C1967" s="6" t="s">
        <v>250</v>
      </c>
      <c r="D1967" s="5">
        <v>44912</v>
      </c>
    </row>
    <row r="1968" spans="2:4">
      <c r="B1968" s="6" t="s">
        <v>187</v>
      </c>
      <c r="C1968" s="6" t="s">
        <v>210</v>
      </c>
      <c r="D1968" s="5">
        <v>44912</v>
      </c>
    </row>
    <row r="1969" spans="2:4">
      <c r="B1969" s="6" t="s">
        <v>284</v>
      </c>
      <c r="C1969" s="6" t="s">
        <v>325</v>
      </c>
      <c r="D1969" s="5">
        <v>44912</v>
      </c>
    </row>
    <row r="1970" spans="2:4">
      <c r="B1970" s="6" t="s">
        <v>115</v>
      </c>
      <c r="C1970" s="6" t="s">
        <v>182</v>
      </c>
      <c r="D1970" s="5">
        <v>44912</v>
      </c>
    </row>
    <row r="1971" spans="2:4">
      <c r="B1971" s="6" t="s">
        <v>68</v>
      </c>
      <c r="C1971" s="6" t="s">
        <v>155</v>
      </c>
      <c r="D1971" s="5">
        <v>44912</v>
      </c>
    </row>
    <row r="1972" spans="2:4">
      <c r="B1972" s="6" t="s">
        <v>90</v>
      </c>
      <c r="C1972" s="6" t="s">
        <v>275</v>
      </c>
      <c r="D1972" s="5">
        <v>44912</v>
      </c>
    </row>
    <row r="1973" spans="2:4">
      <c r="B1973" s="6" t="s">
        <v>50</v>
      </c>
      <c r="C1973" s="6" t="s">
        <v>314</v>
      </c>
      <c r="D1973" s="5">
        <v>44912</v>
      </c>
    </row>
    <row r="1974" spans="2:4">
      <c r="B1974" s="6" t="s">
        <v>45</v>
      </c>
      <c r="C1974" s="6" t="s">
        <v>302</v>
      </c>
      <c r="D1974" s="5">
        <v>44912</v>
      </c>
    </row>
    <row r="1975" spans="2:4">
      <c r="B1975" s="6" t="s">
        <v>57</v>
      </c>
      <c r="C1975" s="6" t="s">
        <v>251</v>
      </c>
      <c r="D1975" s="5">
        <v>44912</v>
      </c>
    </row>
    <row r="1976" spans="2:4">
      <c r="B1976" s="6" t="s">
        <v>150</v>
      </c>
      <c r="C1976" s="6" t="s">
        <v>415</v>
      </c>
      <c r="D1976" s="5">
        <v>44912</v>
      </c>
    </row>
    <row r="1977" spans="2:4">
      <c r="B1977" s="6" t="s">
        <v>85</v>
      </c>
      <c r="C1977" s="6" t="s">
        <v>319</v>
      </c>
      <c r="D1977" s="5">
        <v>44912</v>
      </c>
    </row>
    <row r="1978" spans="2:4">
      <c r="B1978" s="6" t="s">
        <v>276</v>
      </c>
      <c r="C1978" s="6" t="s">
        <v>102</v>
      </c>
      <c r="D1978" s="5">
        <v>44912</v>
      </c>
    </row>
    <row r="1979" spans="2:4">
      <c r="B1979" s="6" t="s">
        <v>309</v>
      </c>
      <c r="C1979" s="6" t="s">
        <v>494</v>
      </c>
      <c r="D1979" s="5">
        <v>44912</v>
      </c>
    </row>
    <row r="1980" spans="2:4">
      <c r="B1980" s="6" t="s">
        <v>266</v>
      </c>
      <c r="C1980" s="6" t="s">
        <v>499</v>
      </c>
      <c r="D1980" s="5">
        <v>44912</v>
      </c>
    </row>
    <row r="1981" spans="2:4">
      <c r="B1981" s="6" t="s">
        <v>289</v>
      </c>
      <c r="C1981" s="6" t="s">
        <v>298</v>
      </c>
      <c r="D1981" s="5">
        <v>44912</v>
      </c>
    </row>
    <row r="1982" spans="2:4">
      <c r="B1982" s="6" t="s">
        <v>333</v>
      </c>
      <c r="C1982" s="6" t="s">
        <v>94</v>
      </c>
      <c r="D1982" s="5">
        <v>44912</v>
      </c>
    </row>
    <row r="1983" spans="2:4">
      <c r="B1983" s="6" t="s">
        <v>378</v>
      </c>
      <c r="C1983" s="6" t="s">
        <v>403</v>
      </c>
      <c r="D1983" s="5">
        <v>44912</v>
      </c>
    </row>
    <row r="1984" spans="2:4">
      <c r="B1984" s="6" t="s">
        <v>143</v>
      </c>
      <c r="C1984" s="6" t="s">
        <v>343</v>
      </c>
      <c r="D1984" s="5">
        <v>44912</v>
      </c>
    </row>
    <row r="1985" spans="2:4">
      <c r="B1985" s="6" t="s">
        <v>135</v>
      </c>
      <c r="C1985" s="6" t="s">
        <v>300</v>
      </c>
      <c r="D1985" s="5">
        <v>44912</v>
      </c>
    </row>
    <row r="1986" spans="2:4">
      <c r="B1986" s="6" t="s">
        <v>47</v>
      </c>
      <c r="C1986" s="6" t="s">
        <v>125</v>
      </c>
      <c r="D1986" s="5">
        <v>44912</v>
      </c>
    </row>
    <row r="1987" spans="2:4">
      <c r="B1987" s="6" t="s">
        <v>193</v>
      </c>
      <c r="C1987" s="6" t="s">
        <v>140</v>
      </c>
      <c r="D1987" s="5">
        <v>44912</v>
      </c>
    </row>
    <row r="1988" spans="2:4">
      <c r="B1988" s="6" t="s">
        <v>281</v>
      </c>
      <c r="C1988" s="6" t="s">
        <v>221</v>
      </c>
      <c r="D1988" s="5">
        <v>44912</v>
      </c>
    </row>
    <row r="1989" spans="2:4">
      <c r="B1989" s="6" t="s">
        <v>326</v>
      </c>
      <c r="C1989" s="6" t="s">
        <v>109</v>
      </c>
      <c r="D1989" s="5">
        <v>44912</v>
      </c>
    </row>
    <row r="1990" spans="2:4">
      <c r="B1990" s="6" t="s">
        <v>84</v>
      </c>
      <c r="C1990" s="6" t="s">
        <v>119</v>
      </c>
      <c r="D1990" s="5">
        <v>44912</v>
      </c>
    </row>
    <row r="1991" spans="2:4">
      <c r="B1991" s="6" t="s">
        <v>334</v>
      </c>
      <c r="C1991" s="6" t="s">
        <v>35</v>
      </c>
      <c r="D1991" s="5">
        <v>44912</v>
      </c>
    </row>
    <row r="1992" spans="2:4">
      <c r="B1992" s="6" t="s">
        <v>59</v>
      </c>
      <c r="C1992" s="6" t="s">
        <v>128</v>
      </c>
      <c r="D1992" s="5">
        <v>44912</v>
      </c>
    </row>
    <row r="1993" spans="2:4">
      <c r="B1993" s="6" t="s">
        <v>60</v>
      </c>
      <c r="C1993" s="6" t="s">
        <v>308</v>
      </c>
      <c r="D1993" s="5">
        <v>44912</v>
      </c>
    </row>
    <row r="1994" spans="2:4">
      <c r="B1994" s="6" t="s">
        <v>27</v>
      </c>
      <c r="C1994" s="6" t="s">
        <v>364</v>
      </c>
      <c r="D1994" s="5">
        <v>44912</v>
      </c>
    </row>
    <row r="1995" spans="2:4">
      <c r="B1995" s="6" t="s">
        <v>122</v>
      </c>
      <c r="C1995" s="6" t="s">
        <v>587</v>
      </c>
      <c r="D1995" s="5">
        <v>44912</v>
      </c>
    </row>
    <row r="1996" spans="2:4">
      <c r="B1996" s="6" t="s">
        <v>335</v>
      </c>
      <c r="C1996" s="6" t="s">
        <v>502</v>
      </c>
      <c r="D1996" s="5">
        <v>44912</v>
      </c>
    </row>
    <row r="1997" spans="2:4">
      <c r="B1997" s="6" t="s">
        <v>120</v>
      </c>
      <c r="C1997" s="6" t="s">
        <v>270</v>
      </c>
      <c r="D1997" s="5">
        <v>44912</v>
      </c>
    </row>
    <row r="1998" spans="2:4">
      <c r="B1998" s="6" t="s">
        <v>304</v>
      </c>
      <c r="C1998" s="6" t="s">
        <v>287</v>
      </c>
      <c r="D1998" s="5">
        <v>44912</v>
      </c>
    </row>
    <row r="1999" spans="2:4">
      <c r="B1999" s="6" t="s">
        <v>286</v>
      </c>
      <c r="C1999" s="6" t="s">
        <v>407</v>
      </c>
      <c r="D1999" s="5">
        <v>44912</v>
      </c>
    </row>
    <row r="2000" spans="2:4">
      <c r="B2000" s="6" t="s">
        <v>393</v>
      </c>
      <c r="C2000" s="6" t="s">
        <v>141</v>
      </c>
      <c r="D2000" s="5">
        <v>44912</v>
      </c>
    </row>
    <row r="2001" spans="2:4">
      <c r="B2001" s="6" t="s">
        <v>121</v>
      </c>
      <c r="C2001" s="6" t="s">
        <v>400</v>
      </c>
      <c r="D2001" s="5">
        <v>44912</v>
      </c>
    </row>
    <row r="2002" spans="2:4">
      <c r="B2002" s="6" t="s">
        <v>436</v>
      </c>
      <c r="C2002" s="6" t="s">
        <v>297</v>
      </c>
      <c r="D2002" s="5">
        <v>44912</v>
      </c>
    </row>
    <row r="2003" spans="2:4">
      <c r="B2003" s="6" t="s">
        <v>310</v>
      </c>
      <c r="C2003" s="6" t="s">
        <v>179</v>
      </c>
      <c r="D2003" s="5">
        <v>44912</v>
      </c>
    </row>
    <row r="2004" spans="2:4">
      <c r="B2004" s="6" t="s">
        <v>248</v>
      </c>
      <c r="C2004" s="6" t="s">
        <v>209</v>
      </c>
      <c r="D2004" s="5">
        <v>44912</v>
      </c>
    </row>
    <row r="2005" spans="2:4">
      <c r="B2005" s="6" t="s">
        <v>52</v>
      </c>
      <c r="C2005" s="6" t="s">
        <v>382</v>
      </c>
      <c r="D2005" s="5">
        <v>44912</v>
      </c>
    </row>
    <row r="2006" spans="2:4">
      <c r="B2006" s="6" t="s">
        <v>111</v>
      </c>
      <c r="C2006" s="6" t="s">
        <v>290</v>
      </c>
      <c r="D2006" s="5">
        <v>44912</v>
      </c>
    </row>
    <row r="2007" spans="2:4">
      <c r="B2007" s="6" t="s">
        <v>236</v>
      </c>
      <c r="C2007" s="6" t="s">
        <v>626</v>
      </c>
      <c r="D2007" s="5">
        <v>44912</v>
      </c>
    </row>
    <row r="2008" spans="2:4">
      <c r="B2008" s="6" t="s">
        <v>165</v>
      </c>
      <c r="C2008" s="6" t="s">
        <v>688</v>
      </c>
      <c r="D2008" s="5">
        <v>44912</v>
      </c>
    </row>
    <row r="2009" spans="2:4">
      <c r="B2009" s="6" t="s">
        <v>163</v>
      </c>
      <c r="C2009" s="6" t="s">
        <v>404</v>
      </c>
      <c r="D2009" s="5">
        <v>44912</v>
      </c>
    </row>
    <row r="2010" spans="2:4">
      <c r="B2010" s="6" t="s">
        <v>88</v>
      </c>
      <c r="C2010" s="6" t="s">
        <v>145</v>
      </c>
      <c r="D2010" s="5">
        <v>44912</v>
      </c>
    </row>
    <row r="2011" spans="2:4">
      <c r="B2011" s="6" t="s">
        <v>80</v>
      </c>
      <c r="C2011" s="6" t="s">
        <v>75</v>
      </c>
      <c r="D2011" s="5">
        <v>44912</v>
      </c>
    </row>
    <row r="2012" spans="2:4">
      <c r="B2012" s="6" t="s">
        <v>391</v>
      </c>
      <c r="C2012" s="6" t="s">
        <v>685</v>
      </c>
      <c r="D2012" s="5">
        <v>44912</v>
      </c>
    </row>
    <row r="2013" spans="2:4">
      <c r="B2013" s="6" t="s">
        <v>157</v>
      </c>
      <c r="C2013" s="6" t="s">
        <v>77</v>
      </c>
      <c r="D2013" s="5">
        <v>44912</v>
      </c>
    </row>
    <row r="2014" spans="2:4">
      <c r="B2014" s="6" t="s">
        <v>58</v>
      </c>
      <c r="C2014" s="6" t="s">
        <v>199</v>
      </c>
      <c r="D2014" s="5">
        <v>44912</v>
      </c>
    </row>
    <row r="2015" spans="2:4">
      <c r="B2015" s="6" t="s">
        <v>249</v>
      </c>
      <c r="C2015" s="6" t="s">
        <v>268</v>
      </c>
      <c r="D2015" s="5">
        <v>44912</v>
      </c>
    </row>
    <row r="2016" spans="2:4">
      <c r="B2016" s="6" t="s">
        <v>114</v>
      </c>
      <c r="C2016" s="6" t="s">
        <v>506</v>
      </c>
      <c r="D2016" s="5">
        <v>44912</v>
      </c>
    </row>
    <row r="2017" spans="2:4">
      <c r="B2017" s="6" t="s">
        <v>394</v>
      </c>
      <c r="C2017" s="6" t="s">
        <v>389</v>
      </c>
      <c r="D2017" s="5">
        <v>44912</v>
      </c>
    </row>
    <row r="2018" spans="2:4">
      <c r="B2018" s="6" t="s">
        <v>427</v>
      </c>
      <c r="C2018" s="6" t="s">
        <v>433</v>
      </c>
      <c r="D2018" s="5">
        <v>44912</v>
      </c>
    </row>
    <row r="2019" spans="2:4">
      <c r="B2019" s="6" t="s">
        <v>81</v>
      </c>
      <c r="C2019" s="6" t="s">
        <v>191</v>
      </c>
      <c r="D2019" s="5">
        <v>44912</v>
      </c>
    </row>
    <row r="2020" spans="2:4">
      <c r="B2020" s="6" t="s">
        <v>42</v>
      </c>
      <c r="C2020" s="6" t="s">
        <v>245</v>
      </c>
      <c r="D2020" s="5">
        <v>44912</v>
      </c>
    </row>
    <row r="2021" spans="2:4">
      <c r="B2021" s="6" t="s">
        <v>33</v>
      </c>
      <c r="C2021" s="6" t="s">
        <v>67</v>
      </c>
      <c r="D2021" s="5">
        <v>44912</v>
      </c>
    </row>
    <row r="2022" spans="2:4">
      <c r="B2022" s="6" t="s">
        <v>144</v>
      </c>
      <c r="C2022" s="6" t="s">
        <v>91</v>
      </c>
      <c r="D2022" s="5">
        <v>44912</v>
      </c>
    </row>
    <row r="2023" spans="2:4">
      <c r="B2023" s="6" t="s">
        <v>51</v>
      </c>
      <c r="C2023" s="6" t="s">
        <v>200</v>
      </c>
      <c r="D2023" s="5">
        <v>44912</v>
      </c>
    </row>
    <row r="2024" spans="2:4">
      <c r="B2024" s="6" t="s">
        <v>69</v>
      </c>
      <c r="C2024" s="6" t="s">
        <v>161</v>
      </c>
      <c r="D2024" s="5">
        <v>44912</v>
      </c>
    </row>
    <row r="2025" spans="2:4">
      <c r="B2025" s="6" t="s">
        <v>152</v>
      </c>
      <c r="C2025" s="6" t="s">
        <v>214</v>
      </c>
      <c r="D2025" s="5">
        <v>44912</v>
      </c>
    </row>
    <row r="2026" spans="2:4">
      <c r="B2026" s="6" t="s">
        <v>381</v>
      </c>
      <c r="C2026" s="6" t="s">
        <v>561</v>
      </c>
      <c r="D2026" s="5">
        <v>44912</v>
      </c>
    </row>
    <row r="2027" spans="2:4">
      <c r="B2027" s="6" t="s">
        <v>133</v>
      </c>
      <c r="C2027" s="6" t="s">
        <v>363</v>
      </c>
      <c r="D2027" s="5">
        <v>44912</v>
      </c>
    </row>
    <row r="2028" spans="2:4">
      <c r="B2028" s="6" t="s">
        <v>376</v>
      </c>
      <c r="C2028" s="6" t="s">
        <v>373</v>
      </c>
      <c r="D2028" s="5">
        <v>44912</v>
      </c>
    </row>
    <row r="2029" spans="2:4">
      <c r="B2029" s="6" t="s">
        <v>61</v>
      </c>
      <c r="C2029" s="6" t="s">
        <v>321</v>
      </c>
      <c r="D2029" s="5">
        <v>44912</v>
      </c>
    </row>
    <row r="2030" spans="2:4">
      <c r="B2030" s="6" t="s">
        <v>352</v>
      </c>
      <c r="C2030" s="6" t="s">
        <v>322</v>
      </c>
      <c r="D2030" s="5">
        <v>44912</v>
      </c>
    </row>
    <row r="2031" spans="2:4">
      <c r="B2031" s="6" t="s">
        <v>607</v>
      </c>
      <c r="C2031" s="6" t="s">
        <v>689</v>
      </c>
      <c r="D2031" s="5">
        <v>44912</v>
      </c>
    </row>
    <row r="2032" spans="2:4">
      <c r="B2032" s="6" t="s">
        <v>586</v>
      </c>
      <c r="C2032" s="6" t="s">
        <v>345</v>
      </c>
      <c r="D2032" s="5">
        <v>44912</v>
      </c>
    </row>
    <row r="2033" spans="2:4">
      <c r="B2033" s="6" t="s">
        <v>71</v>
      </c>
      <c r="C2033" s="6" t="s">
        <v>153</v>
      </c>
      <c r="D2033" s="5">
        <v>44912</v>
      </c>
    </row>
    <row r="2034" spans="2:4">
      <c r="B2034" s="6" t="s">
        <v>402</v>
      </c>
      <c r="C2034" s="6" t="s">
        <v>423</v>
      </c>
      <c r="D2034" s="5">
        <v>44912</v>
      </c>
    </row>
    <row r="2035" spans="2:4">
      <c r="B2035" s="6" t="s">
        <v>70</v>
      </c>
      <c r="C2035" s="6" t="s">
        <v>86</v>
      </c>
      <c r="D2035" s="5">
        <v>44912</v>
      </c>
    </row>
    <row r="2036" spans="2:4">
      <c r="B2036" s="6" t="s">
        <v>149</v>
      </c>
      <c r="C2036" s="6" t="s">
        <v>185</v>
      </c>
      <c r="D2036" s="5">
        <v>44912</v>
      </c>
    </row>
    <row r="2037" spans="2:4">
      <c r="B2037" s="6" t="s">
        <v>220</v>
      </c>
      <c r="C2037" s="6" t="s">
        <v>431</v>
      </c>
      <c r="D2037" s="5">
        <v>44913</v>
      </c>
    </row>
    <row r="2038" spans="2:4">
      <c r="B2038" s="6" t="s">
        <v>108</v>
      </c>
      <c r="C2038" s="6" t="s">
        <v>96</v>
      </c>
      <c r="D2038" s="5">
        <v>44913</v>
      </c>
    </row>
    <row r="2039" spans="2:4">
      <c r="B2039" s="6" t="s">
        <v>66</v>
      </c>
      <c r="C2039" s="6" t="s">
        <v>211</v>
      </c>
      <c r="D2039" s="5">
        <v>44913</v>
      </c>
    </row>
    <row r="2040" spans="2:4">
      <c r="B2040" s="6" t="s">
        <v>30</v>
      </c>
      <c r="C2040" s="6" t="s">
        <v>93</v>
      </c>
      <c r="D2040" s="5">
        <v>44913</v>
      </c>
    </row>
    <row r="2041" spans="2:4">
      <c r="B2041" s="6" t="s">
        <v>99</v>
      </c>
      <c r="C2041" s="6" t="s">
        <v>148</v>
      </c>
      <c r="D2041" s="5">
        <v>44913</v>
      </c>
    </row>
    <row r="2042" spans="2:4">
      <c r="B2042" s="6" t="s">
        <v>301</v>
      </c>
      <c r="C2042" s="6" t="s">
        <v>413</v>
      </c>
      <c r="D2042" s="5">
        <v>44913</v>
      </c>
    </row>
    <row r="2043" spans="2:4">
      <c r="B2043" s="6" t="s">
        <v>31</v>
      </c>
      <c r="C2043" s="6" t="s">
        <v>414</v>
      </c>
      <c r="D2043" s="5">
        <v>44913</v>
      </c>
    </row>
    <row r="2044" spans="2:4">
      <c r="B2044" s="6" t="s">
        <v>256</v>
      </c>
      <c r="C2044" s="6" t="s">
        <v>585</v>
      </c>
      <c r="D2044" s="5">
        <v>44913</v>
      </c>
    </row>
    <row r="2045" spans="2:4">
      <c r="B2045" s="6" t="s">
        <v>112</v>
      </c>
      <c r="C2045" s="6" t="s">
        <v>690</v>
      </c>
      <c r="D2045" s="5">
        <v>44913</v>
      </c>
    </row>
    <row r="2046" spans="2:4">
      <c r="B2046" s="6" t="s">
        <v>113</v>
      </c>
      <c r="C2046" s="6" t="s">
        <v>175</v>
      </c>
      <c r="D2046" s="5">
        <v>44913</v>
      </c>
    </row>
    <row r="2047" spans="2:4">
      <c r="B2047" s="6" t="s">
        <v>280</v>
      </c>
      <c r="C2047" s="6" t="s">
        <v>272</v>
      </c>
      <c r="D2047" s="5">
        <v>44913</v>
      </c>
    </row>
    <row r="2048" spans="2:4">
      <c r="B2048" s="6" t="s">
        <v>139</v>
      </c>
      <c r="C2048" s="6" t="s">
        <v>129</v>
      </c>
      <c r="D2048" s="5">
        <v>44913</v>
      </c>
    </row>
    <row r="2049" spans="2:4">
      <c r="B2049" s="6" t="s">
        <v>327</v>
      </c>
      <c r="C2049" s="6" t="s">
        <v>110</v>
      </c>
      <c r="D2049" s="5">
        <v>44913</v>
      </c>
    </row>
    <row r="2050" spans="2:4">
      <c r="B2050" s="6" t="s">
        <v>177</v>
      </c>
      <c r="C2050" s="6" t="s">
        <v>204</v>
      </c>
      <c r="D2050" s="5">
        <v>44913</v>
      </c>
    </row>
    <row r="2051" spans="2:4">
      <c r="B2051" s="6" t="s">
        <v>104</v>
      </c>
      <c r="C2051" s="6" t="s">
        <v>186</v>
      </c>
      <c r="D2051" s="5">
        <v>44913</v>
      </c>
    </row>
    <row r="2052" spans="2:4">
      <c r="B2052" s="6" t="s">
        <v>233</v>
      </c>
      <c r="C2052" s="6" t="s">
        <v>412</v>
      </c>
      <c r="D2052" s="5">
        <v>44913</v>
      </c>
    </row>
    <row r="2053" spans="2:4">
      <c r="B2053" s="6" t="s">
        <v>259</v>
      </c>
      <c r="C2053" s="6" t="s">
        <v>124</v>
      </c>
      <c r="D2053" s="5">
        <v>44913</v>
      </c>
    </row>
    <row r="2054" spans="2:4">
      <c r="B2054" s="6" t="s">
        <v>350</v>
      </c>
      <c r="C2054" s="6" t="s">
        <v>215</v>
      </c>
      <c r="D2054" s="5">
        <v>44913</v>
      </c>
    </row>
    <row r="2055" spans="2:4">
      <c r="B2055" s="6" t="s">
        <v>244</v>
      </c>
      <c r="C2055" s="6" t="s">
        <v>216</v>
      </c>
      <c r="D2055" s="5">
        <v>44913</v>
      </c>
    </row>
    <row r="2056" spans="2:4">
      <c r="B2056" s="6" t="s">
        <v>310</v>
      </c>
      <c r="C2056" s="6" t="s">
        <v>268</v>
      </c>
      <c r="D2056" s="5">
        <v>44913</v>
      </c>
    </row>
    <row r="2057" spans="2:4">
      <c r="B2057" s="6" t="s">
        <v>76</v>
      </c>
      <c r="C2057" s="6" t="s">
        <v>324</v>
      </c>
      <c r="D2057" s="5">
        <v>44913</v>
      </c>
    </row>
    <row r="2058" spans="2:4">
      <c r="B2058" s="6" t="s">
        <v>247</v>
      </c>
      <c r="C2058" s="6" t="s">
        <v>422</v>
      </c>
      <c r="D2058" s="5">
        <v>44913</v>
      </c>
    </row>
    <row r="2059" spans="2:4">
      <c r="B2059" s="6" t="s">
        <v>267</v>
      </c>
      <c r="C2059" s="6" t="s">
        <v>487</v>
      </c>
      <c r="D2059" s="5">
        <v>44913</v>
      </c>
    </row>
    <row r="2060" spans="2:4">
      <c r="B2060" s="6" t="s">
        <v>316</v>
      </c>
      <c r="C2060" s="6" t="s">
        <v>342</v>
      </c>
      <c r="D2060" s="5">
        <v>44913</v>
      </c>
    </row>
    <row r="2061" spans="2:4">
      <c r="B2061" s="6" t="s">
        <v>198</v>
      </c>
      <c r="C2061" s="6" t="s">
        <v>388</v>
      </c>
      <c r="D2061" s="5">
        <v>44913</v>
      </c>
    </row>
    <row r="2062" spans="2:4">
      <c r="B2062" s="6" t="s">
        <v>370</v>
      </c>
      <c r="C2062" s="6" t="s">
        <v>691</v>
      </c>
      <c r="D2062" s="5">
        <v>44913</v>
      </c>
    </row>
    <row r="2063" spans="2:4">
      <c r="B2063" s="6" t="s">
        <v>162</v>
      </c>
      <c r="C2063" s="6" t="s">
        <v>101</v>
      </c>
      <c r="D2063" s="5">
        <v>44913</v>
      </c>
    </row>
    <row r="2064" spans="2:4">
      <c r="B2064" s="6" t="s">
        <v>409</v>
      </c>
      <c r="C2064" s="6" t="s">
        <v>405</v>
      </c>
      <c r="D2064" s="5">
        <v>44913</v>
      </c>
    </row>
    <row r="2065" spans="2:4">
      <c r="B2065" s="6" t="s">
        <v>368</v>
      </c>
      <c r="C2065" s="6" t="s">
        <v>232</v>
      </c>
      <c r="D2065" s="5">
        <v>44913</v>
      </c>
    </row>
    <row r="2066" spans="2:4">
      <c r="B2066" s="6" t="s">
        <v>195</v>
      </c>
      <c r="C2066" s="6" t="s">
        <v>181</v>
      </c>
      <c r="D2066" s="5">
        <v>44913</v>
      </c>
    </row>
    <row r="2067" spans="2:4">
      <c r="B2067" s="6" t="s">
        <v>249</v>
      </c>
      <c r="C2067" s="6" t="s">
        <v>179</v>
      </c>
      <c r="D2067" s="5">
        <v>44913</v>
      </c>
    </row>
    <row r="2068" spans="2:4">
      <c r="B2068" s="6" t="s">
        <v>34</v>
      </c>
      <c r="C2068" s="6" t="s">
        <v>303</v>
      </c>
      <c r="D2068" s="5">
        <v>44913</v>
      </c>
    </row>
    <row r="2069" spans="2:4">
      <c r="B2069" s="6" t="s">
        <v>180</v>
      </c>
      <c r="C2069" s="6" t="s">
        <v>692</v>
      </c>
      <c r="D2069" s="5">
        <v>44913</v>
      </c>
    </row>
    <row r="2070" spans="2:4">
      <c r="B2070" s="6" t="s">
        <v>396</v>
      </c>
      <c r="C2070" s="6" t="s">
        <v>397</v>
      </c>
      <c r="D2070" s="5">
        <v>44913</v>
      </c>
    </row>
    <row r="2071" spans="2:4">
      <c r="B2071" s="6" t="s">
        <v>72</v>
      </c>
      <c r="C2071" s="6" t="s">
        <v>426</v>
      </c>
      <c r="D2071" s="5">
        <v>44913</v>
      </c>
    </row>
    <row r="2072" spans="2:4">
      <c r="B2072" s="6" t="s">
        <v>160</v>
      </c>
      <c r="C2072" s="6" t="s">
        <v>164</v>
      </c>
      <c r="D2072" s="5">
        <v>44913</v>
      </c>
    </row>
    <row r="2073" spans="2:4">
      <c r="B2073" s="6" t="s">
        <v>32</v>
      </c>
      <c r="C2073" s="6" t="s">
        <v>203</v>
      </c>
      <c r="D2073" s="5">
        <v>44913</v>
      </c>
    </row>
    <row r="2074" spans="2:4">
      <c r="B2074" s="6" t="s">
        <v>74</v>
      </c>
      <c r="C2074" s="6" t="s">
        <v>83</v>
      </c>
      <c r="D2074" s="5">
        <v>44913</v>
      </c>
    </row>
    <row r="2075" spans="2:4">
      <c r="B2075" s="6" t="s">
        <v>89</v>
      </c>
      <c r="C2075" s="6" t="s">
        <v>46</v>
      </c>
      <c r="D2075" s="5">
        <v>44913</v>
      </c>
    </row>
    <row r="2076" spans="2:4">
      <c r="B2076" s="6" t="s">
        <v>375</v>
      </c>
      <c r="C2076" s="6" t="s">
        <v>471</v>
      </c>
      <c r="D2076" s="5">
        <v>44913</v>
      </c>
    </row>
    <row r="2077" spans="2:4">
      <c r="B2077" s="6" t="s">
        <v>320</v>
      </c>
      <c r="C2077" s="6" t="s">
        <v>362</v>
      </c>
      <c r="D2077" s="5">
        <v>44913</v>
      </c>
    </row>
    <row r="2078" spans="2:4">
      <c r="B2078" s="6" t="s">
        <v>424</v>
      </c>
      <c r="C2078" s="6" t="s">
        <v>156</v>
      </c>
      <c r="D2078" s="5">
        <v>44913</v>
      </c>
    </row>
    <row r="2079" spans="2:4">
      <c r="B2079" s="6" t="s">
        <v>189</v>
      </c>
      <c r="C2079" s="6" t="s">
        <v>285</v>
      </c>
      <c r="D2079" s="5">
        <v>44913</v>
      </c>
    </row>
    <row r="2080" spans="2:4">
      <c r="B2080" s="6" t="s">
        <v>344</v>
      </c>
      <c r="C2080" s="6" t="s">
        <v>584</v>
      </c>
      <c r="D2080" s="5">
        <v>44913</v>
      </c>
    </row>
    <row r="2081" spans="2:4">
      <c r="B2081" s="6" t="s">
        <v>73</v>
      </c>
      <c r="C2081" s="6" t="s">
        <v>166</v>
      </c>
      <c r="D2081" s="5">
        <v>44913</v>
      </c>
    </row>
    <row r="2082" spans="2:4">
      <c r="B2082" s="6" t="s">
        <v>398</v>
      </c>
      <c r="C2082" s="6" t="s">
        <v>386</v>
      </c>
      <c r="D2082" s="5">
        <v>44913</v>
      </c>
    </row>
    <row r="2083" spans="2:4">
      <c r="B2083" s="6" t="s">
        <v>28</v>
      </c>
      <c r="C2083" s="6" t="s">
        <v>78</v>
      </c>
      <c r="D2083" s="5">
        <v>44913</v>
      </c>
    </row>
    <row r="2084" spans="2:4">
      <c r="B2084" s="6" t="s">
        <v>159</v>
      </c>
      <c r="C2084" s="6" t="s">
        <v>693</v>
      </c>
      <c r="D2084" s="5">
        <v>44913</v>
      </c>
    </row>
    <row r="2085" spans="2:4">
      <c r="B2085" s="6" t="s">
        <v>288</v>
      </c>
      <c r="C2085" s="6" t="s">
        <v>694</v>
      </c>
      <c r="D2085" s="5">
        <v>44914</v>
      </c>
    </row>
    <row r="2086" spans="2:4">
      <c r="B2086" s="6" t="s">
        <v>425</v>
      </c>
      <c r="C2086" s="6" t="s">
        <v>235</v>
      </c>
      <c r="D2086" s="5">
        <v>44914</v>
      </c>
    </row>
    <row r="2087" spans="2:4">
      <c r="B2087" s="6" t="s">
        <v>172</v>
      </c>
      <c r="C2087" s="6" t="s">
        <v>615</v>
      </c>
      <c r="D2087" s="5">
        <v>44914</v>
      </c>
    </row>
    <row r="2088" spans="2:4">
      <c r="B2088" s="6" t="s">
        <v>354</v>
      </c>
      <c r="C2088" s="6" t="s">
        <v>695</v>
      </c>
      <c r="D2088" s="5">
        <v>44914</v>
      </c>
    </row>
    <row r="2089" spans="2:4">
      <c r="B2089" s="6" t="s">
        <v>193</v>
      </c>
      <c r="C2089" s="6" t="s">
        <v>696</v>
      </c>
      <c r="D2089" s="5">
        <v>44914</v>
      </c>
    </row>
    <row r="2090" spans="2:4">
      <c r="B2090" s="6" t="s">
        <v>117</v>
      </c>
      <c r="C2090" s="6" t="s">
        <v>118</v>
      </c>
      <c r="D2090" s="5">
        <v>44914</v>
      </c>
    </row>
    <row r="2091" spans="2:4">
      <c r="B2091" s="6" t="s">
        <v>192</v>
      </c>
      <c r="C2091" s="6" t="s">
        <v>528</v>
      </c>
      <c r="D2091" s="5">
        <v>44914</v>
      </c>
    </row>
    <row r="2092" spans="2:4">
      <c r="B2092" s="6" t="s">
        <v>105</v>
      </c>
      <c r="C2092" s="6" t="s">
        <v>174</v>
      </c>
      <c r="D2092" s="5">
        <v>44914</v>
      </c>
    </row>
    <row r="2093" spans="2:4">
      <c r="B2093" s="6" t="s">
        <v>253</v>
      </c>
      <c r="C2093" s="6" t="s">
        <v>131</v>
      </c>
      <c r="D2093" s="5">
        <v>44914</v>
      </c>
    </row>
    <row r="2094" spans="2:4">
      <c r="B2094" s="6" t="s">
        <v>231</v>
      </c>
      <c r="C2094" s="6" t="s">
        <v>178</v>
      </c>
      <c r="D2094" s="5">
        <v>44914</v>
      </c>
    </row>
    <row r="2095" spans="2:4">
      <c r="B2095" s="6" t="s">
        <v>296</v>
      </c>
      <c r="C2095" s="6" t="s">
        <v>588</v>
      </c>
      <c r="D2095" s="5">
        <v>44914</v>
      </c>
    </row>
    <row r="2096" spans="2:4">
      <c r="B2096" s="6" t="s">
        <v>250</v>
      </c>
      <c r="C2096" s="6" t="s">
        <v>549</v>
      </c>
      <c r="D2096" s="5">
        <v>44914</v>
      </c>
    </row>
    <row r="2097" spans="2:4">
      <c r="B2097" s="6" t="s">
        <v>130</v>
      </c>
      <c r="C2097" s="6" t="s">
        <v>252</v>
      </c>
      <c r="D2097" s="5">
        <v>44914</v>
      </c>
    </row>
    <row r="2098" spans="2:4">
      <c r="B2098" s="6" t="s">
        <v>334</v>
      </c>
      <c r="C2098" s="6" t="s">
        <v>336</v>
      </c>
      <c r="D2098" s="5">
        <v>44914</v>
      </c>
    </row>
    <row r="2099" spans="2:4">
      <c r="B2099" s="6" t="s">
        <v>361</v>
      </c>
      <c r="C2099" s="6" t="s">
        <v>230</v>
      </c>
      <c r="D2099" s="5">
        <v>44914</v>
      </c>
    </row>
    <row r="2100" spans="2:4">
      <c r="B2100" s="6" t="s">
        <v>201</v>
      </c>
      <c r="C2100" s="6" t="s">
        <v>382</v>
      </c>
      <c r="D2100" s="5">
        <v>44914</v>
      </c>
    </row>
    <row r="2101" spans="2:4">
      <c r="B2101" s="6" t="s">
        <v>111</v>
      </c>
      <c r="C2101" s="6" t="s">
        <v>697</v>
      </c>
      <c r="D2101" s="5">
        <v>44914</v>
      </c>
    </row>
    <row r="2102" spans="2:4">
      <c r="B2102" s="6" t="s">
        <v>330</v>
      </c>
      <c r="C2102" s="6" t="s">
        <v>359</v>
      </c>
      <c r="D2102" s="5">
        <v>44914</v>
      </c>
    </row>
    <row r="2103" spans="2:4">
      <c r="B2103" s="6" t="s">
        <v>290</v>
      </c>
      <c r="C2103" s="6" t="s">
        <v>563</v>
      </c>
      <c r="D2103" s="5">
        <v>44914</v>
      </c>
    </row>
    <row r="2104" spans="2:4">
      <c r="B2104" s="6" t="s">
        <v>294</v>
      </c>
      <c r="C2104" s="6" t="s">
        <v>432</v>
      </c>
      <c r="D2104" s="5">
        <v>44914</v>
      </c>
    </row>
    <row r="2105" spans="2:4">
      <c r="B2105" s="6" t="s">
        <v>306</v>
      </c>
      <c r="C2105" s="6" t="s">
        <v>307</v>
      </c>
      <c r="D2105" s="5">
        <v>44914</v>
      </c>
    </row>
    <row r="2106" spans="2:4">
      <c r="B2106" s="6" t="s">
        <v>326</v>
      </c>
      <c r="C2106" s="6" t="s">
        <v>347</v>
      </c>
      <c r="D2106" s="5">
        <v>44914</v>
      </c>
    </row>
    <row r="2107" spans="2:4">
      <c r="B2107" s="6" t="s">
        <v>134</v>
      </c>
      <c r="C2107" s="6" t="s">
        <v>537</v>
      </c>
      <c r="D2107" s="5">
        <v>44914</v>
      </c>
    </row>
    <row r="2108" spans="2:4">
      <c r="B2108" s="6" t="s">
        <v>367</v>
      </c>
      <c r="C2108" s="6" t="s">
        <v>314</v>
      </c>
      <c r="D2108" s="5">
        <v>44914</v>
      </c>
    </row>
    <row r="2109" spans="2:4">
      <c r="B2109" s="6" t="s">
        <v>119</v>
      </c>
      <c r="C2109" s="6" t="s">
        <v>590</v>
      </c>
      <c r="D2109" s="5">
        <v>44914</v>
      </c>
    </row>
    <row r="2110" spans="2:4">
      <c r="B2110" s="6" t="s">
        <v>143</v>
      </c>
      <c r="C2110" s="6" t="s">
        <v>459</v>
      </c>
      <c r="D2110" s="5">
        <v>44914</v>
      </c>
    </row>
    <row r="2111" spans="2:4">
      <c r="B2111" s="6" t="s">
        <v>348</v>
      </c>
      <c r="C2111" s="6" t="s">
        <v>196</v>
      </c>
      <c r="D2111" s="5">
        <v>44914</v>
      </c>
    </row>
    <row r="2112" spans="2:4">
      <c r="B2112" s="6" t="s">
        <v>184</v>
      </c>
      <c r="C2112" s="6" t="s">
        <v>385</v>
      </c>
      <c r="D2112" s="5">
        <v>44914</v>
      </c>
    </row>
    <row r="2113" spans="2:4">
      <c r="B2113" s="6" t="s">
        <v>331</v>
      </c>
      <c r="C2113" s="6" t="s">
        <v>208</v>
      </c>
      <c r="D2113" s="5">
        <v>44914</v>
      </c>
    </row>
    <row r="2114" spans="2:4">
      <c r="B2114" s="6" t="s">
        <v>357</v>
      </c>
      <c r="C2114" s="6" t="s">
        <v>151</v>
      </c>
      <c r="D2114" s="5">
        <v>44914</v>
      </c>
    </row>
    <row r="2115" spans="2:4">
      <c r="B2115" s="6" t="s">
        <v>607</v>
      </c>
      <c r="C2115" s="6" t="s">
        <v>553</v>
      </c>
      <c r="D2115" s="5">
        <v>44914</v>
      </c>
    </row>
    <row r="2116" spans="2:4">
      <c r="B2116" s="6" t="s">
        <v>168</v>
      </c>
      <c r="C2116" s="6" t="s">
        <v>206</v>
      </c>
      <c r="D2116" s="5">
        <v>44914</v>
      </c>
    </row>
    <row r="2117" spans="2:4">
      <c r="B2117" s="6" t="s">
        <v>621</v>
      </c>
      <c r="C2117" s="6" t="s">
        <v>472</v>
      </c>
      <c r="D2117" s="5">
        <v>44914</v>
      </c>
    </row>
    <row r="2118" spans="2:4">
      <c r="B2118" s="6" t="s">
        <v>404</v>
      </c>
      <c r="C2118" s="6" t="s">
        <v>323</v>
      </c>
      <c r="D2118" s="5">
        <v>44914</v>
      </c>
    </row>
    <row r="2119" spans="2:4">
      <c r="B2119" s="6" t="s">
        <v>599</v>
      </c>
      <c r="C2119" s="6" t="s">
        <v>158</v>
      </c>
      <c r="D2119" s="5">
        <v>44914</v>
      </c>
    </row>
    <row r="2120" spans="2:4">
      <c r="B2120" s="6" t="s">
        <v>420</v>
      </c>
      <c r="C2120" s="6" t="s">
        <v>446</v>
      </c>
      <c r="D2120" s="5">
        <v>44914</v>
      </c>
    </row>
    <row r="2121" spans="2:4">
      <c r="B2121" s="6" t="s">
        <v>214</v>
      </c>
      <c r="C2121" s="6" t="s">
        <v>156</v>
      </c>
      <c r="D2121" s="5">
        <v>44915</v>
      </c>
    </row>
    <row r="2122" spans="2:4">
      <c r="B2122" s="6" t="s">
        <v>333</v>
      </c>
      <c r="C2122" s="6" t="s">
        <v>120</v>
      </c>
      <c r="D2122" s="5">
        <v>44915</v>
      </c>
    </row>
    <row r="2123" spans="2:4">
      <c r="B2123" s="6" t="s">
        <v>395</v>
      </c>
      <c r="C2123" s="6" t="s">
        <v>276</v>
      </c>
      <c r="D2123" s="5">
        <v>44915</v>
      </c>
    </row>
    <row r="2124" spans="2:4">
      <c r="B2124" s="6" t="s">
        <v>287</v>
      </c>
      <c r="C2124" s="6" t="s">
        <v>541</v>
      </c>
      <c r="D2124" s="5">
        <v>44915</v>
      </c>
    </row>
    <row r="2125" spans="2:4">
      <c r="B2125" s="6" t="s">
        <v>205</v>
      </c>
      <c r="C2125" s="6" t="s">
        <v>140</v>
      </c>
      <c r="D2125" s="5">
        <v>44915</v>
      </c>
    </row>
    <row r="2126" spans="2:4">
      <c r="B2126" s="6" t="s">
        <v>400</v>
      </c>
      <c r="C2126" s="6" t="s">
        <v>215</v>
      </c>
      <c r="D2126" s="5">
        <v>44915</v>
      </c>
    </row>
    <row r="2127" spans="2:4">
      <c r="B2127" s="6" t="s">
        <v>91</v>
      </c>
      <c r="C2127" s="6" t="s">
        <v>103</v>
      </c>
      <c r="D2127" s="5">
        <v>44915</v>
      </c>
    </row>
    <row r="2128" spans="2:4">
      <c r="B2128" s="6" t="s">
        <v>309</v>
      </c>
      <c r="C2128" s="6" t="s">
        <v>243</v>
      </c>
      <c r="D2128" s="5">
        <v>44915</v>
      </c>
    </row>
    <row r="2129" spans="2:4">
      <c r="B2129" s="6" t="s">
        <v>322</v>
      </c>
      <c r="C2129" s="6" t="s">
        <v>640</v>
      </c>
      <c r="D2129" s="5">
        <v>44915</v>
      </c>
    </row>
    <row r="2130" spans="2:4">
      <c r="B2130" s="6" t="s">
        <v>88</v>
      </c>
      <c r="C2130" s="6" t="s">
        <v>173</v>
      </c>
      <c r="D2130" s="5">
        <v>44915</v>
      </c>
    </row>
    <row r="2131" spans="2:4">
      <c r="B2131" s="6" t="s">
        <v>172</v>
      </c>
      <c r="C2131" s="6" t="s">
        <v>588</v>
      </c>
      <c r="D2131" s="5">
        <v>44915</v>
      </c>
    </row>
    <row r="2132" spans="2:4">
      <c r="B2132" s="6" t="s">
        <v>125</v>
      </c>
      <c r="C2132" s="6" t="s">
        <v>114</v>
      </c>
      <c r="D2132" s="5">
        <v>44915</v>
      </c>
    </row>
    <row r="2133" spans="2:4">
      <c r="B2133" s="6" t="s">
        <v>85</v>
      </c>
      <c r="C2133" s="6" t="s">
        <v>363</v>
      </c>
      <c r="D2133" s="5">
        <v>44915</v>
      </c>
    </row>
    <row r="2134" spans="2:4">
      <c r="B2134" s="6" t="s">
        <v>415</v>
      </c>
      <c r="C2134" s="6" t="s">
        <v>646</v>
      </c>
      <c r="D2134" s="5">
        <v>44915</v>
      </c>
    </row>
    <row r="2135" spans="2:4">
      <c r="B2135" s="6" t="s">
        <v>264</v>
      </c>
      <c r="C2135" s="6" t="s">
        <v>98</v>
      </c>
      <c r="D2135" s="5">
        <v>44915</v>
      </c>
    </row>
    <row r="2136" spans="2:4">
      <c r="B2136" s="6" t="s">
        <v>43</v>
      </c>
      <c r="C2136" s="6" t="s">
        <v>128</v>
      </c>
      <c r="D2136" s="5">
        <v>44915</v>
      </c>
    </row>
    <row r="2137" spans="2:4">
      <c r="B2137" s="6" t="s">
        <v>53</v>
      </c>
      <c r="C2137" s="6" t="s">
        <v>44</v>
      </c>
      <c r="D2137" s="5">
        <v>44915</v>
      </c>
    </row>
    <row r="2138" spans="2:4">
      <c r="B2138" s="6" t="s">
        <v>393</v>
      </c>
      <c r="C2138" s="6" t="s">
        <v>685</v>
      </c>
      <c r="D2138" s="5">
        <v>44915</v>
      </c>
    </row>
    <row r="2139" spans="2:4">
      <c r="B2139" s="6" t="s">
        <v>245</v>
      </c>
      <c r="C2139" s="6" t="s">
        <v>41</v>
      </c>
      <c r="D2139" s="5">
        <v>44915</v>
      </c>
    </row>
    <row r="2140" spans="2:4">
      <c r="B2140" s="6" t="s">
        <v>62</v>
      </c>
      <c r="C2140" s="6" t="s">
        <v>129</v>
      </c>
      <c r="D2140" s="5">
        <v>44915</v>
      </c>
    </row>
    <row r="2141" spans="2:4">
      <c r="B2141" s="6" t="s">
        <v>82</v>
      </c>
      <c r="C2141" s="6" t="s">
        <v>364</v>
      </c>
      <c r="D2141" s="5">
        <v>44915</v>
      </c>
    </row>
    <row r="2142" spans="2:4">
      <c r="B2142" s="6" t="s">
        <v>277</v>
      </c>
      <c r="C2142" s="6" t="s">
        <v>282</v>
      </c>
      <c r="D2142" s="5">
        <v>44915</v>
      </c>
    </row>
    <row r="2143" spans="2:4">
      <c r="B2143" s="6" t="s">
        <v>304</v>
      </c>
      <c r="C2143" s="6" t="s">
        <v>455</v>
      </c>
      <c r="D2143" s="5">
        <v>44915</v>
      </c>
    </row>
    <row r="2144" spans="2:4">
      <c r="B2144" s="6" t="s">
        <v>145</v>
      </c>
      <c r="C2144" s="6" t="s">
        <v>335</v>
      </c>
      <c r="D2144" s="5">
        <v>44915</v>
      </c>
    </row>
    <row r="2145" spans="2:4">
      <c r="B2145" s="6" t="s">
        <v>356</v>
      </c>
      <c r="C2145" s="6" t="s">
        <v>273</v>
      </c>
      <c r="D2145" s="5">
        <v>44915</v>
      </c>
    </row>
    <row r="2146" spans="2:4">
      <c r="B2146" s="6" t="s">
        <v>296</v>
      </c>
      <c r="C2146" s="6" t="s">
        <v>615</v>
      </c>
      <c r="D2146" s="5">
        <v>44915</v>
      </c>
    </row>
    <row r="2147" spans="2:4">
      <c r="B2147" s="6" t="s">
        <v>246</v>
      </c>
      <c r="C2147" s="6" t="s">
        <v>148</v>
      </c>
      <c r="D2147" s="5">
        <v>44915</v>
      </c>
    </row>
    <row r="2148" spans="2:4">
      <c r="B2148" s="6" t="s">
        <v>300</v>
      </c>
      <c r="C2148" s="6" t="s">
        <v>351</v>
      </c>
      <c r="D2148" s="5">
        <v>44915</v>
      </c>
    </row>
    <row r="2149" spans="2:4">
      <c r="B2149" s="6" t="s">
        <v>40</v>
      </c>
      <c r="C2149" s="6" t="s">
        <v>37</v>
      </c>
      <c r="D2149" s="5">
        <v>44915</v>
      </c>
    </row>
    <row r="2150" spans="2:4">
      <c r="B2150" s="6" t="s">
        <v>240</v>
      </c>
      <c r="C2150" s="6" t="s">
        <v>355</v>
      </c>
      <c r="D2150" s="5">
        <v>44915</v>
      </c>
    </row>
    <row r="2151" spans="2:4">
      <c r="B2151" s="6" t="s">
        <v>67</v>
      </c>
      <c r="C2151" s="6" t="s">
        <v>610</v>
      </c>
      <c r="D2151" s="5">
        <v>44915</v>
      </c>
    </row>
    <row r="2152" spans="2:4">
      <c r="B2152" s="6" t="s">
        <v>28</v>
      </c>
      <c r="C2152" s="6" t="s">
        <v>343</v>
      </c>
      <c r="D2152" s="5">
        <v>44915</v>
      </c>
    </row>
    <row r="2153" spans="2:4">
      <c r="B2153" s="6" t="s">
        <v>94</v>
      </c>
      <c r="C2153" s="6" t="s">
        <v>427</v>
      </c>
      <c r="D2153" s="5">
        <v>44915</v>
      </c>
    </row>
    <row r="2154" spans="2:4">
      <c r="B2154" s="6" t="s">
        <v>426</v>
      </c>
      <c r="C2154" s="6" t="s">
        <v>198</v>
      </c>
      <c r="D2154" s="5">
        <v>44915</v>
      </c>
    </row>
    <row r="2155" spans="2:4">
      <c r="B2155" s="6" t="s">
        <v>70</v>
      </c>
      <c r="C2155" s="6" t="s">
        <v>391</v>
      </c>
      <c r="D2155" s="5">
        <v>44915</v>
      </c>
    </row>
    <row r="2156" spans="2:4">
      <c r="B2156" s="6" t="s">
        <v>48</v>
      </c>
      <c r="C2156" s="6" t="s">
        <v>188</v>
      </c>
      <c r="D2156" s="5">
        <v>44915</v>
      </c>
    </row>
    <row r="2157" spans="2:4">
      <c r="B2157" s="6" t="s">
        <v>39</v>
      </c>
      <c r="C2157" s="6" t="s">
        <v>36</v>
      </c>
      <c r="D2157" s="5">
        <v>44915</v>
      </c>
    </row>
    <row r="2158" spans="2:4">
      <c r="B2158" s="6" t="s">
        <v>132</v>
      </c>
      <c r="C2158" s="6" t="s">
        <v>190</v>
      </c>
      <c r="D2158" s="5">
        <v>44915</v>
      </c>
    </row>
    <row r="2159" spans="2:4">
      <c r="B2159" s="6" t="s">
        <v>189</v>
      </c>
      <c r="C2159" s="6" t="s">
        <v>399</v>
      </c>
      <c r="D2159" s="5">
        <v>44915</v>
      </c>
    </row>
    <row r="2160" spans="2:4">
      <c r="B2160" s="6" t="s">
        <v>381</v>
      </c>
      <c r="C2160" s="6" t="s">
        <v>153</v>
      </c>
      <c r="D2160" s="5">
        <v>44915</v>
      </c>
    </row>
    <row r="2161" spans="2:4">
      <c r="B2161" s="6" t="s">
        <v>157</v>
      </c>
      <c r="C2161" s="6" t="s">
        <v>603</v>
      </c>
      <c r="D2161" s="5">
        <v>44915</v>
      </c>
    </row>
    <row r="2162" spans="2:4">
      <c r="B2162" s="6" t="s">
        <v>47</v>
      </c>
      <c r="C2162" s="6" t="s">
        <v>49</v>
      </c>
      <c r="D2162" s="5">
        <v>44915</v>
      </c>
    </row>
    <row r="2163" spans="2:4">
      <c r="B2163" s="6" t="s">
        <v>68</v>
      </c>
      <c r="C2163" s="6" t="s">
        <v>280</v>
      </c>
      <c r="D2163" s="5">
        <v>44915</v>
      </c>
    </row>
    <row r="2164" spans="2:4">
      <c r="B2164" s="6" t="s">
        <v>29</v>
      </c>
      <c r="C2164" s="6" t="s">
        <v>79</v>
      </c>
      <c r="D2164" s="5">
        <v>44915</v>
      </c>
    </row>
    <row r="2165" spans="2:4">
      <c r="B2165" s="6" t="s">
        <v>586</v>
      </c>
      <c r="C2165" s="6" t="s">
        <v>394</v>
      </c>
      <c r="D2165" s="5">
        <v>44915</v>
      </c>
    </row>
    <row r="2166" spans="2:4">
      <c r="B2166" s="6" t="s">
        <v>433</v>
      </c>
      <c r="C2166" s="6" t="s">
        <v>207</v>
      </c>
      <c r="D2166" s="5">
        <v>44915</v>
      </c>
    </row>
    <row r="2167" spans="2:4">
      <c r="B2167" s="6" t="s">
        <v>154</v>
      </c>
      <c r="C2167" s="6" t="s">
        <v>166</v>
      </c>
      <c r="D2167" s="5">
        <v>44915</v>
      </c>
    </row>
    <row r="2168" spans="2:4">
      <c r="B2168" s="6" t="s">
        <v>167</v>
      </c>
      <c r="C2168" s="6" t="s">
        <v>108</v>
      </c>
      <c r="D2168" s="5">
        <v>44915</v>
      </c>
    </row>
    <row r="2169" spans="2:4">
      <c r="B2169" s="6" t="s">
        <v>392</v>
      </c>
      <c r="C2169" s="6" t="s">
        <v>236</v>
      </c>
      <c r="D2169" s="5">
        <v>44915</v>
      </c>
    </row>
    <row r="2170" spans="2:4">
      <c r="B2170" s="6" t="s">
        <v>69</v>
      </c>
      <c r="C2170" s="6" t="s">
        <v>383</v>
      </c>
      <c r="D2170" s="5">
        <v>44915</v>
      </c>
    </row>
    <row r="2171" spans="2:4">
      <c r="B2171" s="6" t="s">
        <v>275</v>
      </c>
      <c r="C2171" s="6" t="s">
        <v>110</v>
      </c>
      <c r="D2171" s="5">
        <v>44916</v>
      </c>
    </row>
    <row r="2172" spans="2:4">
      <c r="B2172" s="6" t="s">
        <v>96</v>
      </c>
      <c r="C2172" s="6" t="s">
        <v>233</v>
      </c>
      <c r="D2172" s="5">
        <v>44916</v>
      </c>
    </row>
    <row r="2173" spans="2:4">
      <c r="B2173" s="6" t="s">
        <v>376</v>
      </c>
      <c r="C2173" s="6" t="s">
        <v>268</v>
      </c>
      <c r="D2173" s="5">
        <v>44916</v>
      </c>
    </row>
    <row r="2174" spans="2:4">
      <c r="B2174" s="6" t="s">
        <v>305</v>
      </c>
      <c r="C2174" s="6" t="s">
        <v>522</v>
      </c>
      <c r="D2174" s="5">
        <v>44916</v>
      </c>
    </row>
    <row r="2175" spans="2:4">
      <c r="B2175" s="6" t="s">
        <v>259</v>
      </c>
      <c r="C2175" s="6" t="s">
        <v>541</v>
      </c>
      <c r="D2175" s="5">
        <v>44916</v>
      </c>
    </row>
    <row r="2176" spans="2:4">
      <c r="B2176" s="6" t="s">
        <v>201</v>
      </c>
      <c r="C2176" s="6" t="s">
        <v>258</v>
      </c>
      <c r="D2176" s="5">
        <v>44916</v>
      </c>
    </row>
    <row r="2177" spans="2:4">
      <c r="B2177" s="6" t="s">
        <v>414</v>
      </c>
      <c r="C2177" s="6" t="s">
        <v>698</v>
      </c>
      <c r="D2177" s="5">
        <v>44916</v>
      </c>
    </row>
    <row r="2178" spans="2:4">
      <c r="B2178" s="6" t="s">
        <v>373</v>
      </c>
      <c r="C2178" s="6" t="s">
        <v>459</v>
      </c>
      <c r="D2178" s="5">
        <v>44916</v>
      </c>
    </row>
    <row r="2179" spans="2:4">
      <c r="B2179" s="6" t="s">
        <v>139</v>
      </c>
      <c r="C2179" s="6" t="s">
        <v>590</v>
      </c>
      <c r="D2179" s="5">
        <v>44916</v>
      </c>
    </row>
    <row r="2180" spans="2:4">
      <c r="B2180" s="6" t="s">
        <v>199</v>
      </c>
      <c r="C2180" s="6" t="s">
        <v>272</v>
      </c>
      <c r="D2180" s="5">
        <v>44916</v>
      </c>
    </row>
    <row r="2181" spans="2:4">
      <c r="B2181" s="6" t="s">
        <v>27</v>
      </c>
      <c r="C2181" s="6" t="s">
        <v>584</v>
      </c>
      <c r="D2181" s="5">
        <v>44916</v>
      </c>
    </row>
    <row r="2182" spans="2:4">
      <c r="B2182" s="6" t="s">
        <v>413</v>
      </c>
      <c r="C2182" s="6" t="s">
        <v>438</v>
      </c>
      <c r="D2182" s="5">
        <v>44916</v>
      </c>
    </row>
    <row r="2183" spans="2:4">
      <c r="B2183" s="6" t="s">
        <v>298</v>
      </c>
      <c r="C2183" s="6" t="s">
        <v>327</v>
      </c>
      <c r="D2183" s="5">
        <v>44916</v>
      </c>
    </row>
    <row r="2184" spans="2:4">
      <c r="B2184" s="6" t="s">
        <v>284</v>
      </c>
      <c r="C2184" s="6" t="s">
        <v>191</v>
      </c>
      <c r="D2184" s="5">
        <v>44916</v>
      </c>
    </row>
    <row r="2185" spans="2:4">
      <c r="B2185" s="6" t="s">
        <v>33</v>
      </c>
      <c r="C2185" s="6" t="s">
        <v>202</v>
      </c>
      <c r="D2185" s="5">
        <v>44916</v>
      </c>
    </row>
    <row r="2186" spans="2:4">
      <c r="B2186" s="6" t="s">
        <v>150</v>
      </c>
      <c r="C2186" s="6" t="s">
        <v>699</v>
      </c>
      <c r="D2186" s="5">
        <v>44916</v>
      </c>
    </row>
    <row r="2187" spans="2:4">
      <c r="B2187" s="6" t="s">
        <v>89</v>
      </c>
      <c r="C2187" s="6" t="s">
        <v>104</v>
      </c>
      <c r="D2187" s="5">
        <v>44916</v>
      </c>
    </row>
    <row r="2188" spans="2:4">
      <c r="B2188" s="6" t="s">
        <v>269</v>
      </c>
      <c r="C2188" s="6" t="s">
        <v>278</v>
      </c>
      <c r="D2188" s="5">
        <v>44916</v>
      </c>
    </row>
    <row r="2189" spans="2:4">
      <c r="B2189" s="6" t="s">
        <v>136</v>
      </c>
      <c r="C2189" s="6" t="s">
        <v>281</v>
      </c>
      <c r="D2189" s="5">
        <v>44916</v>
      </c>
    </row>
    <row r="2190" spans="2:4">
      <c r="B2190" s="6" t="s">
        <v>75</v>
      </c>
      <c r="C2190" s="6" t="s">
        <v>141</v>
      </c>
      <c r="D2190" s="5">
        <v>44916</v>
      </c>
    </row>
    <row r="2191" spans="2:4">
      <c r="B2191" s="6" t="s">
        <v>30</v>
      </c>
      <c r="C2191" s="6" t="s">
        <v>365</v>
      </c>
      <c r="D2191" s="5">
        <v>44916</v>
      </c>
    </row>
    <row r="2192" spans="2:4">
      <c r="B2192" s="6" t="s">
        <v>169</v>
      </c>
      <c r="C2192" s="6" t="s">
        <v>310</v>
      </c>
      <c r="D2192" s="5">
        <v>44916</v>
      </c>
    </row>
    <row r="2193" spans="2:4">
      <c r="B2193" s="6" t="s">
        <v>86</v>
      </c>
      <c r="C2193" s="6" t="s">
        <v>147</v>
      </c>
      <c r="D2193" s="5">
        <v>44916</v>
      </c>
    </row>
    <row r="2194" spans="2:4">
      <c r="B2194" s="6" t="s">
        <v>286</v>
      </c>
      <c r="C2194" s="6" t="s">
        <v>423</v>
      </c>
      <c r="D2194" s="5">
        <v>44916</v>
      </c>
    </row>
    <row r="2195" spans="2:4">
      <c r="B2195" s="6" t="s">
        <v>35</v>
      </c>
      <c r="C2195" s="6" t="s">
        <v>302</v>
      </c>
      <c r="D2195" s="5">
        <v>44916</v>
      </c>
    </row>
    <row r="2196" spans="2:4">
      <c r="B2196" s="6" t="s">
        <v>54</v>
      </c>
      <c r="C2196" s="6" t="s">
        <v>52</v>
      </c>
      <c r="D2196" s="5">
        <v>44916</v>
      </c>
    </row>
    <row r="2197" spans="2:4">
      <c r="B2197" s="6" t="s">
        <v>55</v>
      </c>
      <c r="C2197" s="6" t="s">
        <v>101</v>
      </c>
      <c r="D2197" s="5">
        <v>44916</v>
      </c>
    </row>
    <row r="2198" spans="2:4">
      <c r="B2198" s="6" t="s">
        <v>251</v>
      </c>
      <c r="C2198" s="6" t="s">
        <v>59</v>
      </c>
      <c r="D2198" s="5">
        <v>44916</v>
      </c>
    </row>
    <row r="2199" spans="2:4">
      <c r="B2199" s="6" t="s">
        <v>80</v>
      </c>
      <c r="C2199" s="6" t="s">
        <v>170</v>
      </c>
      <c r="D2199" s="5">
        <v>44916</v>
      </c>
    </row>
    <row r="2200" spans="2:4">
      <c r="B2200" s="6" t="s">
        <v>203</v>
      </c>
      <c r="C2200" s="6" t="s">
        <v>700</v>
      </c>
      <c r="D2200" s="5">
        <v>44916</v>
      </c>
    </row>
    <row r="2201" spans="2:4">
      <c r="B2201" s="6" t="s">
        <v>345</v>
      </c>
      <c r="C2201" s="6" t="s">
        <v>543</v>
      </c>
      <c r="D2201" s="5">
        <v>44916</v>
      </c>
    </row>
    <row r="2202" spans="2:4">
      <c r="B2202" s="6" t="s">
        <v>362</v>
      </c>
      <c r="C2202" s="6" t="s">
        <v>418</v>
      </c>
      <c r="D2202" s="5">
        <v>44916</v>
      </c>
    </row>
    <row r="2203" spans="2:4">
      <c r="B2203" s="6" t="s">
        <v>412</v>
      </c>
      <c r="C2203" s="6" t="s">
        <v>338</v>
      </c>
      <c r="D2203" s="5">
        <v>44916</v>
      </c>
    </row>
    <row r="2204" spans="2:4">
      <c r="B2204" s="6" t="s">
        <v>118</v>
      </c>
      <c r="C2204" s="6" t="s">
        <v>127</v>
      </c>
      <c r="D2204" s="5">
        <v>44916</v>
      </c>
    </row>
    <row r="2205" spans="2:4">
      <c r="B2205" s="6" t="s">
        <v>204</v>
      </c>
      <c r="C2205" s="6" t="s">
        <v>126</v>
      </c>
      <c r="D2205" s="5">
        <v>44916</v>
      </c>
    </row>
    <row r="2206" spans="2:4">
      <c r="B2206" s="6" t="s">
        <v>242</v>
      </c>
      <c r="C2206" s="6" t="s">
        <v>312</v>
      </c>
      <c r="D2206" s="5">
        <v>44916</v>
      </c>
    </row>
    <row r="2207" spans="2:4">
      <c r="B2207" s="6" t="s">
        <v>421</v>
      </c>
      <c r="C2207" s="6" t="s">
        <v>256</v>
      </c>
      <c r="D2207" s="5">
        <v>44916</v>
      </c>
    </row>
    <row r="2208" spans="2:4">
      <c r="B2208" s="6" t="s">
        <v>187</v>
      </c>
      <c r="C2208" s="6" t="s">
        <v>422</v>
      </c>
      <c r="D2208" s="5">
        <v>44916</v>
      </c>
    </row>
    <row r="2209" spans="2:4">
      <c r="B2209" s="6" t="s">
        <v>194</v>
      </c>
      <c r="C2209" s="6" t="s">
        <v>171</v>
      </c>
      <c r="D2209" s="5">
        <v>44916</v>
      </c>
    </row>
    <row r="2210" spans="2:4">
      <c r="B2210" s="6" t="s">
        <v>274</v>
      </c>
      <c r="C2210" s="6" t="s">
        <v>295</v>
      </c>
      <c r="D2210" s="5">
        <v>44916</v>
      </c>
    </row>
    <row r="2211" spans="2:4">
      <c r="B2211" s="6" t="s">
        <v>109</v>
      </c>
      <c r="C2211" s="6" t="s">
        <v>289</v>
      </c>
      <c r="D2211" s="5">
        <v>44916</v>
      </c>
    </row>
    <row r="2212" spans="2:4">
      <c r="B2212" s="6" t="s">
        <v>116</v>
      </c>
      <c r="C2212" s="6" t="s">
        <v>409</v>
      </c>
      <c r="D2212" s="5">
        <v>44916</v>
      </c>
    </row>
    <row r="2213" spans="2:4">
      <c r="B2213" s="6" t="s">
        <v>397</v>
      </c>
      <c r="C2213" s="6" t="s">
        <v>701</v>
      </c>
      <c r="D2213" s="5">
        <v>44916</v>
      </c>
    </row>
    <row r="2214" spans="2:4">
      <c r="B2214" s="6" t="s">
        <v>411</v>
      </c>
      <c r="C2214" s="6" t="s">
        <v>142</v>
      </c>
      <c r="D2214" s="5">
        <v>44916</v>
      </c>
    </row>
    <row r="2215" spans="2:4">
      <c r="B2215" s="6" t="s">
        <v>121</v>
      </c>
      <c r="C2215" s="6" t="s">
        <v>220</v>
      </c>
      <c r="D2215" s="5">
        <v>44916</v>
      </c>
    </row>
    <row r="2216" spans="2:4">
      <c r="B2216" s="6" t="s">
        <v>200</v>
      </c>
      <c r="C2216" s="6" t="s">
        <v>113</v>
      </c>
      <c r="D2216" s="5">
        <v>44916</v>
      </c>
    </row>
    <row r="2217" spans="2:4">
      <c r="B2217" s="6" t="s">
        <v>210</v>
      </c>
      <c r="C2217" s="6" t="s">
        <v>137</v>
      </c>
      <c r="D2217" s="5">
        <v>44916</v>
      </c>
    </row>
    <row r="2218" spans="2:4">
      <c r="B2218" s="6" t="s">
        <v>107</v>
      </c>
      <c r="C2218" s="6" t="s">
        <v>253</v>
      </c>
      <c r="D2218" s="5">
        <v>44916</v>
      </c>
    </row>
    <row r="2219" spans="2:4">
      <c r="B2219" s="6" t="s">
        <v>292</v>
      </c>
      <c r="C2219" s="6" t="s">
        <v>211</v>
      </c>
      <c r="D2219" s="5">
        <v>44916</v>
      </c>
    </row>
    <row r="2220" spans="2:4">
      <c r="B2220" s="6" t="s">
        <v>72</v>
      </c>
      <c r="C2220" s="6" t="s">
        <v>378</v>
      </c>
      <c r="D2220" s="5">
        <v>44916</v>
      </c>
    </row>
    <row r="2221" spans="2:4">
      <c r="B2221" s="6" t="s">
        <v>164</v>
      </c>
      <c r="C2221" s="6" t="s">
        <v>323</v>
      </c>
      <c r="D2221" s="5">
        <v>44916</v>
      </c>
    </row>
    <row r="2222" spans="2:4">
      <c r="B2222" s="6" t="s">
        <v>31</v>
      </c>
      <c r="C2222" s="6" t="s">
        <v>357</v>
      </c>
      <c r="D2222" s="5">
        <v>44916</v>
      </c>
    </row>
    <row r="2223" spans="2:4">
      <c r="B2223" s="6" t="s">
        <v>330</v>
      </c>
      <c r="C2223" s="6" t="s">
        <v>196</v>
      </c>
      <c r="D2223" s="5">
        <v>44916</v>
      </c>
    </row>
    <row r="2224" spans="2:4">
      <c r="B2224" s="6" t="s">
        <v>321</v>
      </c>
      <c r="C2224" s="6" t="s">
        <v>241</v>
      </c>
      <c r="D2224" s="5">
        <v>44916</v>
      </c>
    </row>
    <row r="2225" spans="2:4">
      <c r="B2225" s="6" t="s">
        <v>186</v>
      </c>
      <c r="C2225" s="6" t="s">
        <v>102</v>
      </c>
      <c r="D2225" s="5">
        <v>44916</v>
      </c>
    </row>
    <row r="2226" spans="2:4">
      <c r="B2226" s="6" t="s">
        <v>375</v>
      </c>
      <c r="C2226" s="6" t="s">
        <v>180</v>
      </c>
      <c r="D2226" s="5">
        <v>44916</v>
      </c>
    </row>
    <row r="2227" spans="2:4">
      <c r="B2227" s="6" t="s">
        <v>50</v>
      </c>
      <c r="C2227" s="6" t="s">
        <v>51</v>
      </c>
      <c r="D2227" s="5">
        <v>44916</v>
      </c>
    </row>
    <row r="2228" spans="2:4">
      <c r="B2228" s="6" t="s">
        <v>212</v>
      </c>
      <c r="C2228" s="6" t="s">
        <v>342</v>
      </c>
      <c r="D2228" s="5">
        <v>44916</v>
      </c>
    </row>
    <row r="2229" spans="2:4">
      <c r="B2229" s="6" t="s">
        <v>388</v>
      </c>
      <c r="C2229" s="6" t="s">
        <v>606</v>
      </c>
      <c r="D2229" s="5">
        <v>44916</v>
      </c>
    </row>
    <row r="2230" spans="2:4">
      <c r="B2230" s="6" t="s">
        <v>306</v>
      </c>
      <c r="C2230" s="6" t="s">
        <v>353</v>
      </c>
      <c r="D2230" s="5">
        <v>44916</v>
      </c>
    </row>
    <row r="2231" spans="2:4">
      <c r="B2231" s="6" t="s">
        <v>183</v>
      </c>
      <c r="C2231" s="6" t="s">
        <v>181</v>
      </c>
      <c r="D2231" s="5">
        <v>44916</v>
      </c>
    </row>
    <row r="2232" spans="2:4">
      <c r="B2232" s="6" t="s">
        <v>144</v>
      </c>
      <c r="C2232" s="6" t="s">
        <v>314</v>
      </c>
      <c r="D2232" s="5">
        <v>44916</v>
      </c>
    </row>
    <row r="2233" spans="2:4">
      <c r="B2233" s="6" t="s">
        <v>221</v>
      </c>
      <c r="C2233" s="6" t="s">
        <v>303</v>
      </c>
      <c r="D2233" s="5">
        <v>44916</v>
      </c>
    </row>
    <row r="2234" spans="2:4">
      <c r="B2234" s="6" t="s">
        <v>133</v>
      </c>
      <c r="C2234" s="6" t="s">
        <v>370</v>
      </c>
      <c r="D2234" s="5">
        <v>44916</v>
      </c>
    </row>
    <row r="2235" spans="2:4">
      <c r="B2235" s="6" t="s">
        <v>81</v>
      </c>
      <c r="C2235" s="6" t="s">
        <v>436</v>
      </c>
      <c r="D2235" s="5">
        <v>44916</v>
      </c>
    </row>
    <row r="2236" spans="2:4">
      <c r="B2236" s="6" t="s">
        <v>213</v>
      </c>
      <c r="C2236" s="6" t="s">
        <v>248</v>
      </c>
      <c r="D2236" s="5">
        <v>44916</v>
      </c>
    </row>
    <row r="2237" spans="2:4">
      <c r="B2237" s="6" t="s">
        <v>61</v>
      </c>
      <c r="C2237" s="6" t="s">
        <v>329</v>
      </c>
      <c r="D2237" s="5">
        <v>44916</v>
      </c>
    </row>
    <row r="2238" spans="2:4">
      <c r="B2238" s="6" t="s">
        <v>348</v>
      </c>
      <c r="C2238" s="6" t="s">
        <v>359</v>
      </c>
      <c r="D2238" s="5">
        <v>44916</v>
      </c>
    </row>
    <row r="2239" spans="2:4">
      <c r="B2239" s="6" t="s">
        <v>184</v>
      </c>
      <c r="C2239" s="6" t="s">
        <v>208</v>
      </c>
      <c r="D2239" s="5">
        <v>44916</v>
      </c>
    </row>
    <row r="2240" spans="2:4">
      <c r="B2240" s="6" t="s">
        <v>331</v>
      </c>
      <c r="C2240" s="6" t="s">
        <v>385</v>
      </c>
      <c r="D2240" s="5">
        <v>44916</v>
      </c>
    </row>
    <row r="2241" spans="2:4">
      <c r="B2241" s="6" t="s">
        <v>45</v>
      </c>
      <c r="C2241" s="6" t="s">
        <v>46</v>
      </c>
      <c r="D2241" s="5">
        <v>44916</v>
      </c>
    </row>
    <row r="2242" spans="2:4">
      <c r="B2242" s="6" t="s">
        <v>152</v>
      </c>
      <c r="C2242" s="6" t="s">
        <v>398</v>
      </c>
      <c r="D2242" s="5">
        <v>44916</v>
      </c>
    </row>
    <row r="2243" spans="2:4">
      <c r="B2243" s="6" t="s">
        <v>57</v>
      </c>
      <c r="C2243" s="6" t="s">
        <v>174</v>
      </c>
      <c r="D2243" s="5">
        <v>44916</v>
      </c>
    </row>
    <row r="2244" spans="2:4">
      <c r="B2244" s="6" t="s">
        <v>84</v>
      </c>
      <c r="C2244" s="6" t="s">
        <v>297</v>
      </c>
      <c r="D2244" s="5">
        <v>44916</v>
      </c>
    </row>
    <row r="2245" spans="2:4">
      <c r="B2245" s="6" t="s">
        <v>77</v>
      </c>
      <c r="C2245" s="6" t="s">
        <v>34</v>
      </c>
      <c r="D2245" s="5">
        <v>44916</v>
      </c>
    </row>
    <row r="2246" spans="2:4">
      <c r="B2246" s="6" t="s">
        <v>71</v>
      </c>
      <c r="C2246" s="6" t="s">
        <v>83</v>
      </c>
      <c r="D2246" s="5">
        <v>44916</v>
      </c>
    </row>
    <row r="2247" spans="2:4">
      <c r="B2247" s="6" t="s">
        <v>621</v>
      </c>
      <c r="C2247" s="6" t="s">
        <v>389</v>
      </c>
      <c r="D2247" s="5">
        <v>44916</v>
      </c>
    </row>
    <row r="2248" spans="2:4">
      <c r="B2248" s="6" t="s">
        <v>58</v>
      </c>
      <c r="C2248" s="6" t="s">
        <v>134</v>
      </c>
      <c r="D2248" s="5">
        <v>44916</v>
      </c>
    </row>
    <row r="2249" spans="2:4">
      <c r="B2249" s="6" t="s">
        <v>76</v>
      </c>
      <c r="C2249" s="6" t="s">
        <v>151</v>
      </c>
      <c r="D2249" s="5">
        <v>44916</v>
      </c>
    </row>
    <row r="2250" spans="2:4">
      <c r="B2250" s="6" t="s">
        <v>396</v>
      </c>
      <c r="C2250" s="6" t="s">
        <v>95</v>
      </c>
      <c r="D2250" s="5">
        <v>44916</v>
      </c>
    </row>
    <row r="2251" spans="2:4">
      <c r="B2251" s="6" t="s">
        <v>420</v>
      </c>
      <c r="C2251" s="6" t="s">
        <v>158</v>
      </c>
      <c r="D2251" s="5">
        <v>44916</v>
      </c>
    </row>
    <row r="2252" spans="2:4">
      <c r="B2252" s="6" t="s">
        <v>404</v>
      </c>
      <c r="C2252" s="6" t="s">
        <v>73</v>
      </c>
      <c r="D2252" s="5">
        <v>44916</v>
      </c>
    </row>
    <row r="2253" spans="2:4">
      <c r="B2253" s="6" t="s">
        <v>74</v>
      </c>
      <c r="C2253" s="6" t="s">
        <v>386</v>
      </c>
      <c r="D2253" s="5">
        <v>44916</v>
      </c>
    </row>
    <row r="2254" spans="2:4">
      <c r="B2254" s="6" t="s">
        <v>599</v>
      </c>
      <c r="C2254" s="6" t="s">
        <v>166</v>
      </c>
      <c r="D2254" s="5">
        <v>44917</v>
      </c>
    </row>
    <row r="2255" spans="2:4">
      <c r="B2255" s="6" t="s">
        <v>232</v>
      </c>
      <c r="C2255" s="6" t="s">
        <v>354</v>
      </c>
      <c r="D2255" s="5">
        <v>44917</v>
      </c>
    </row>
    <row r="2256" spans="2:4">
      <c r="B2256" s="6" t="s">
        <v>363</v>
      </c>
      <c r="C2256" s="6" t="s">
        <v>648</v>
      </c>
      <c r="D2256" s="5">
        <v>44917</v>
      </c>
    </row>
    <row r="2257" spans="2:4">
      <c r="B2257" s="6" t="s">
        <v>451</v>
      </c>
      <c r="C2257" s="6" t="s">
        <v>451</v>
      </c>
      <c r="D2257" s="5">
        <v>44917</v>
      </c>
    </row>
    <row r="2258" spans="2:4">
      <c r="B2258" s="6" t="s">
        <v>451</v>
      </c>
      <c r="C2258" s="6" t="s">
        <v>451</v>
      </c>
      <c r="D2258" s="5">
        <v>44917</v>
      </c>
    </row>
    <row r="2259" spans="2:4">
      <c r="B2259" s="6" t="s">
        <v>178</v>
      </c>
      <c r="C2259" s="6" t="s">
        <v>638</v>
      </c>
      <c r="D2259" s="5">
        <v>44917</v>
      </c>
    </row>
    <row r="2260" spans="2:4">
      <c r="B2260" s="6" t="s">
        <v>336</v>
      </c>
      <c r="C2260" s="6" t="s">
        <v>131</v>
      </c>
      <c r="D2260" s="5">
        <v>44917</v>
      </c>
    </row>
    <row r="2261" spans="2:4">
      <c r="B2261" s="6" t="s">
        <v>106</v>
      </c>
      <c r="C2261" s="6" t="s">
        <v>123</v>
      </c>
      <c r="D2261" s="5">
        <v>44917</v>
      </c>
    </row>
    <row r="2262" spans="2:4">
      <c r="B2262" s="6" t="s">
        <v>349</v>
      </c>
      <c r="C2262" s="6" t="s">
        <v>261</v>
      </c>
      <c r="D2262" s="5">
        <v>44917</v>
      </c>
    </row>
    <row r="2263" spans="2:4">
      <c r="B2263" s="6" t="s">
        <v>360</v>
      </c>
      <c r="C2263" s="6" t="s">
        <v>130</v>
      </c>
      <c r="D2263" s="5">
        <v>44917</v>
      </c>
    </row>
    <row r="2264" spans="2:4">
      <c r="B2264" s="6" t="s">
        <v>587</v>
      </c>
      <c r="C2264" s="6" t="s">
        <v>467</v>
      </c>
      <c r="D2264" s="5">
        <v>44917</v>
      </c>
    </row>
    <row r="2265" spans="2:4">
      <c r="B2265" s="6" t="s">
        <v>176</v>
      </c>
      <c r="C2265" s="6" t="s">
        <v>125</v>
      </c>
      <c r="D2265" s="5">
        <v>44917</v>
      </c>
    </row>
    <row r="2266" spans="2:4">
      <c r="B2266" s="6" t="s">
        <v>255</v>
      </c>
      <c r="C2266" s="6" t="s">
        <v>267</v>
      </c>
      <c r="D2266" s="5">
        <v>44917</v>
      </c>
    </row>
    <row r="2267" spans="2:4">
      <c r="B2267" s="6" t="s">
        <v>270</v>
      </c>
      <c r="C2267" s="6" t="s">
        <v>455</v>
      </c>
      <c r="D2267" s="5">
        <v>44917</v>
      </c>
    </row>
    <row r="2268" spans="2:4">
      <c r="B2268" s="6" t="s">
        <v>367</v>
      </c>
      <c r="C2268" s="6" t="s">
        <v>240</v>
      </c>
      <c r="D2268" s="5">
        <v>44917</v>
      </c>
    </row>
    <row r="2269" spans="2:4">
      <c r="B2269" s="6" t="s">
        <v>607</v>
      </c>
      <c r="C2269" s="6" t="s">
        <v>603</v>
      </c>
      <c r="D2269" s="5">
        <v>44917</v>
      </c>
    </row>
    <row r="2270" spans="2:4">
      <c r="B2270" s="6" t="s">
        <v>341</v>
      </c>
      <c r="C2270" s="6" t="s">
        <v>285</v>
      </c>
      <c r="D2270" s="5">
        <v>44917</v>
      </c>
    </row>
    <row r="2271" spans="2:4">
      <c r="B2271" s="6" t="s">
        <v>98</v>
      </c>
      <c r="C2271" s="6" t="s">
        <v>551</v>
      </c>
      <c r="D2271" s="5">
        <v>44917</v>
      </c>
    </row>
    <row r="2272" spans="2:4">
      <c r="B2272" s="6" t="s">
        <v>160</v>
      </c>
      <c r="C2272" s="6" t="s">
        <v>162</v>
      </c>
      <c r="D2272" s="5">
        <v>44917</v>
      </c>
    </row>
    <row r="2273" spans="2:4">
      <c r="B2273" s="6" t="s">
        <v>154</v>
      </c>
      <c r="C2273" s="6" t="s">
        <v>161</v>
      </c>
      <c r="D2273" s="5">
        <v>44917</v>
      </c>
    </row>
    <row r="2274" spans="2:4">
      <c r="B2274" s="6" t="s">
        <v>119</v>
      </c>
      <c r="C2274" s="6" t="s">
        <v>105</v>
      </c>
      <c r="D2274" s="5">
        <v>44917</v>
      </c>
    </row>
    <row r="2275" spans="2:4">
      <c r="B2275" s="6" t="s">
        <v>168</v>
      </c>
      <c r="C2275" s="6" t="s">
        <v>424</v>
      </c>
      <c r="D2275" s="5">
        <v>44917</v>
      </c>
    </row>
    <row r="2276" spans="2:4">
      <c r="B2276" s="6" t="s">
        <v>32</v>
      </c>
      <c r="C2276" s="6" t="s">
        <v>99</v>
      </c>
      <c r="D2276" s="5">
        <v>44917</v>
      </c>
    </row>
    <row r="2277" spans="2:4">
      <c r="B2277" s="6" t="s">
        <v>56</v>
      </c>
      <c r="C2277" s="6" t="s">
        <v>244</v>
      </c>
      <c r="D2277" s="5">
        <v>44917</v>
      </c>
    </row>
    <row r="2278" spans="2:4">
      <c r="B2278" s="6" t="s">
        <v>26</v>
      </c>
      <c r="C2278" s="6" t="s">
        <v>108</v>
      </c>
      <c r="D2278" s="5">
        <v>44917</v>
      </c>
    </row>
    <row r="2279" spans="2:4">
      <c r="B2279" s="6" t="s">
        <v>173</v>
      </c>
      <c r="C2279" s="6" t="s">
        <v>702</v>
      </c>
      <c r="D2279" s="5">
        <v>44917</v>
      </c>
    </row>
    <row r="2280" spans="2:4">
      <c r="B2280" s="6" t="s">
        <v>325</v>
      </c>
      <c r="C2280" s="6" t="s">
        <v>400</v>
      </c>
      <c r="D2280" s="5">
        <v>44917</v>
      </c>
    </row>
    <row r="2281" spans="2:4">
      <c r="B2281" s="6" t="s">
        <v>209</v>
      </c>
      <c r="C2281" s="6" t="s">
        <v>266</v>
      </c>
      <c r="D2281" s="5">
        <v>44917</v>
      </c>
    </row>
    <row r="2282" spans="2:4">
      <c r="B2282" s="6" t="s">
        <v>112</v>
      </c>
      <c r="C2282" s="6" t="s">
        <v>146</v>
      </c>
      <c r="D2282" s="5">
        <v>44917</v>
      </c>
    </row>
    <row r="2283" spans="2:4">
      <c r="B2283" s="6" t="s">
        <v>580</v>
      </c>
      <c r="C2283" s="6" t="s">
        <v>548</v>
      </c>
      <c r="D2283" s="5">
        <v>44917</v>
      </c>
    </row>
    <row r="2284" spans="2:4">
      <c r="B2284" s="6" t="s">
        <v>231</v>
      </c>
      <c r="C2284" s="6" t="s">
        <v>177</v>
      </c>
      <c r="D2284" s="5">
        <v>44917</v>
      </c>
    </row>
    <row r="2285" spans="2:4">
      <c r="B2285" s="6" t="s">
        <v>149</v>
      </c>
      <c r="C2285" s="6" t="s">
        <v>43</v>
      </c>
      <c r="D2285" s="5">
        <v>44917</v>
      </c>
    </row>
    <row r="2286" spans="2:4">
      <c r="B2286" s="6" t="s">
        <v>318</v>
      </c>
      <c r="C2286" s="6" t="s">
        <v>252</v>
      </c>
      <c r="D2286" s="5">
        <v>44917</v>
      </c>
    </row>
    <row r="2287" spans="2:4">
      <c r="B2287" s="6" t="s">
        <v>124</v>
      </c>
      <c r="C2287" s="6" t="s">
        <v>358</v>
      </c>
      <c r="D2287" s="5">
        <v>44917</v>
      </c>
    </row>
    <row r="2288" spans="2:4">
      <c r="B2288" s="6" t="s">
        <v>405</v>
      </c>
      <c r="C2288" s="6" t="s">
        <v>514</v>
      </c>
      <c r="D2288" s="5">
        <v>44917</v>
      </c>
    </row>
    <row r="2289" spans="2:4">
      <c r="B2289" s="6" t="s">
        <v>334</v>
      </c>
      <c r="C2289" s="6" t="s">
        <v>246</v>
      </c>
      <c r="D2289" s="5">
        <v>44917</v>
      </c>
    </row>
    <row r="2290" spans="2:4">
      <c r="B2290" s="6" t="s">
        <v>117</v>
      </c>
      <c r="C2290" s="6" t="s">
        <v>361</v>
      </c>
      <c r="D2290" s="5">
        <v>44917</v>
      </c>
    </row>
    <row r="2291" spans="2:4">
      <c r="B2291" s="6" t="s">
        <v>410</v>
      </c>
      <c r="C2291" s="6" t="s">
        <v>610</v>
      </c>
      <c r="D2291" s="5">
        <v>44917</v>
      </c>
    </row>
    <row r="2292" spans="2:4">
      <c r="B2292" s="6" t="s">
        <v>115</v>
      </c>
      <c r="C2292" s="6" t="s">
        <v>100</v>
      </c>
      <c r="D2292" s="5">
        <v>44917</v>
      </c>
    </row>
    <row r="2293" spans="2:4">
      <c r="B2293" s="6" t="s">
        <v>90</v>
      </c>
      <c r="C2293" s="6" t="s">
        <v>313</v>
      </c>
      <c r="D2293" s="5">
        <v>44917</v>
      </c>
    </row>
    <row r="2294" spans="2:4">
      <c r="B2294" s="6" t="s">
        <v>290</v>
      </c>
      <c r="C2294" s="6" t="s">
        <v>364</v>
      </c>
      <c r="D2294" s="5">
        <v>44917</v>
      </c>
    </row>
    <row r="2295" spans="2:4">
      <c r="B2295" s="6" t="s">
        <v>195</v>
      </c>
      <c r="C2295" s="6" t="s">
        <v>182</v>
      </c>
      <c r="D2295" s="5">
        <v>44917</v>
      </c>
    </row>
    <row r="2296" spans="2:4">
      <c r="B2296" s="6" t="s">
        <v>63</v>
      </c>
      <c r="C2296" s="6" t="s">
        <v>347</v>
      </c>
      <c r="D2296" s="5">
        <v>44917</v>
      </c>
    </row>
    <row r="2297" spans="2:4">
      <c r="B2297" s="6" t="s">
        <v>38</v>
      </c>
      <c r="C2297" s="6" t="s">
        <v>42</v>
      </c>
      <c r="D2297" s="5">
        <v>44917</v>
      </c>
    </row>
    <row r="2298" spans="2:4">
      <c r="B2298" s="6" t="s">
        <v>70</v>
      </c>
      <c r="C2298" s="6" t="s">
        <v>238</v>
      </c>
      <c r="D2298" s="5">
        <v>44917</v>
      </c>
    </row>
    <row r="2299" spans="2:4">
      <c r="B2299" s="6" t="s">
        <v>320</v>
      </c>
      <c r="C2299" s="6" t="s">
        <v>415</v>
      </c>
      <c r="D2299" s="5">
        <v>44917</v>
      </c>
    </row>
    <row r="2300" spans="2:4">
      <c r="B2300" s="6" t="s">
        <v>352</v>
      </c>
      <c r="C2300" s="6" t="s">
        <v>249</v>
      </c>
      <c r="D2300" s="5">
        <v>44917</v>
      </c>
    </row>
    <row r="2301" spans="2:4">
      <c r="B2301" s="6" t="s">
        <v>368</v>
      </c>
      <c r="C2301" s="6" t="s">
        <v>135</v>
      </c>
      <c r="D2301" s="5">
        <v>44917</v>
      </c>
    </row>
    <row r="2302" spans="2:4">
      <c r="B2302" s="6" t="s">
        <v>185</v>
      </c>
      <c r="C2302" s="6" t="s">
        <v>308</v>
      </c>
      <c r="D2302" s="5">
        <v>44917</v>
      </c>
    </row>
    <row r="2303" spans="2:4">
      <c r="B2303" s="6" t="s">
        <v>66</v>
      </c>
      <c r="C2303" s="6" t="s">
        <v>216</v>
      </c>
      <c r="D2303" s="5">
        <v>44917</v>
      </c>
    </row>
    <row r="2304" spans="2:4">
      <c r="B2304" s="6" t="s">
        <v>87</v>
      </c>
      <c r="C2304" s="6" t="s">
        <v>60</v>
      </c>
      <c r="D2304" s="5">
        <v>44917</v>
      </c>
    </row>
    <row r="2305" spans="2:4">
      <c r="B2305" s="6" t="s">
        <v>404</v>
      </c>
      <c r="C2305" s="6" t="s">
        <v>122</v>
      </c>
      <c r="D2305" s="5">
        <v>44917</v>
      </c>
    </row>
    <row r="2306" spans="2:4">
      <c r="B2306" s="6" t="s">
        <v>157</v>
      </c>
      <c r="C2306" s="6" t="s">
        <v>206</v>
      </c>
      <c r="D2306" s="5">
        <v>44917</v>
      </c>
    </row>
    <row r="2307" spans="2:4">
      <c r="B2307" s="6" t="s">
        <v>78</v>
      </c>
      <c r="C2307" s="6" t="s">
        <v>337</v>
      </c>
      <c r="D2307" s="5">
        <v>44917</v>
      </c>
    </row>
    <row r="2308" spans="2:4">
      <c r="B2308" s="6" t="s">
        <v>159</v>
      </c>
      <c r="C2308" s="6" t="s">
        <v>402</v>
      </c>
      <c r="D2308" s="5">
        <v>44917</v>
      </c>
    </row>
    <row r="2309" spans="2:4">
      <c r="B2309" s="6" t="s">
        <v>163</v>
      </c>
      <c r="C2309" s="6" t="s">
        <v>316</v>
      </c>
      <c r="D2309" s="5">
        <v>44917</v>
      </c>
    </row>
    <row r="2310" spans="2:4">
      <c r="B2310" s="6" t="s">
        <v>93</v>
      </c>
      <c r="C2310" s="6" t="s">
        <v>350</v>
      </c>
      <c r="D2310" s="5">
        <v>44917</v>
      </c>
    </row>
    <row r="2311" spans="2:4">
      <c r="B2311" s="6" t="s">
        <v>428</v>
      </c>
      <c r="C2311" s="6" t="s">
        <v>165</v>
      </c>
      <c r="D2311" s="5">
        <v>44917</v>
      </c>
    </row>
    <row r="2312" spans="2:4">
      <c r="B2312" s="6" t="s">
        <v>281</v>
      </c>
      <c r="C2312" s="6" t="s">
        <v>116</v>
      </c>
      <c r="D2312" s="5">
        <v>44918</v>
      </c>
    </row>
    <row r="2313" spans="2:4">
      <c r="B2313" s="6" t="s">
        <v>451</v>
      </c>
      <c r="C2313" s="6" t="s">
        <v>451</v>
      </c>
      <c r="D2313" s="5">
        <v>44918</v>
      </c>
    </row>
    <row r="2314" spans="2:4">
      <c r="B2314" s="6" t="s">
        <v>64</v>
      </c>
      <c r="C2314" s="6" t="s">
        <v>113</v>
      </c>
      <c r="D2314" s="5">
        <v>44918</v>
      </c>
    </row>
    <row r="2315" spans="2:4">
      <c r="B2315" s="6" t="s">
        <v>62</v>
      </c>
      <c r="C2315" s="6" t="s">
        <v>356</v>
      </c>
      <c r="D2315" s="5">
        <v>44918</v>
      </c>
    </row>
    <row r="2316" spans="2:4">
      <c r="B2316" s="6" t="s">
        <v>97</v>
      </c>
      <c r="C2316" s="6" t="s">
        <v>547</v>
      </c>
      <c r="D2316" s="5">
        <v>44918</v>
      </c>
    </row>
    <row r="2317" spans="2:4">
      <c r="B2317" s="6" t="s">
        <v>451</v>
      </c>
      <c r="C2317" s="6" t="s">
        <v>451</v>
      </c>
      <c r="D2317" s="5">
        <v>44918</v>
      </c>
    </row>
    <row r="2318" spans="2:4">
      <c r="B2318" s="6" t="s">
        <v>65</v>
      </c>
      <c r="C2318" s="6" t="s">
        <v>382</v>
      </c>
      <c r="D2318" s="5">
        <v>44918</v>
      </c>
    </row>
    <row r="2319" spans="2:4">
      <c r="B2319" s="6" t="s">
        <v>451</v>
      </c>
      <c r="C2319" s="6" t="s">
        <v>451</v>
      </c>
      <c r="D2319" s="5">
        <v>44918</v>
      </c>
    </row>
    <row r="2320" spans="2:4">
      <c r="B2320" s="6" t="s">
        <v>451</v>
      </c>
      <c r="C2320" s="6" t="s">
        <v>451</v>
      </c>
      <c r="D2320" s="5">
        <v>44918</v>
      </c>
    </row>
    <row r="2321" spans="2:4">
      <c r="B2321" s="6" t="s">
        <v>451</v>
      </c>
      <c r="C2321" s="6" t="s">
        <v>451</v>
      </c>
      <c r="D2321" s="5">
        <v>44920</v>
      </c>
    </row>
    <row r="2322" spans="2:4">
      <c r="B2322" s="6" t="s">
        <v>451</v>
      </c>
      <c r="C2322" s="6" t="s">
        <v>451</v>
      </c>
      <c r="D2322" s="5">
        <v>44920</v>
      </c>
    </row>
    <row r="2323" spans="2:4">
      <c r="B2323" s="6" t="s">
        <v>38</v>
      </c>
      <c r="C2323" s="6" t="s">
        <v>155</v>
      </c>
      <c r="D2323" s="5">
        <v>44920</v>
      </c>
    </row>
    <row r="2324" spans="2:4">
      <c r="B2324" s="6" t="s">
        <v>451</v>
      </c>
      <c r="C2324" s="6" t="s">
        <v>451</v>
      </c>
      <c r="D2324" s="5">
        <v>44920</v>
      </c>
    </row>
    <row r="2325" spans="2:4">
      <c r="B2325" s="6" t="s">
        <v>451</v>
      </c>
      <c r="C2325" s="6" t="s">
        <v>451</v>
      </c>
      <c r="D2325" s="5">
        <v>44920</v>
      </c>
    </row>
    <row r="2326" spans="2:4">
      <c r="B2326" s="6" t="s">
        <v>353</v>
      </c>
      <c r="C2326" s="6" t="s">
        <v>703</v>
      </c>
      <c r="D2326" s="5">
        <v>44922</v>
      </c>
    </row>
    <row r="2327" spans="2:4">
      <c r="B2327" s="6" t="s">
        <v>30</v>
      </c>
      <c r="C2327" s="6" t="s">
        <v>588</v>
      </c>
      <c r="D2327" s="5">
        <v>44922</v>
      </c>
    </row>
    <row r="2328" spans="2:4">
      <c r="B2328" s="6" t="s">
        <v>177</v>
      </c>
      <c r="C2328" s="6" t="s">
        <v>506</v>
      </c>
      <c r="D2328" s="5">
        <v>44922</v>
      </c>
    </row>
    <row r="2329" spans="2:4">
      <c r="B2329" s="6" t="s">
        <v>46</v>
      </c>
      <c r="C2329" s="6" t="s">
        <v>120</v>
      </c>
      <c r="D2329" s="5">
        <v>44922</v>
      </c>
    </row>
    <row r="2330" spans="2:4">
      <c r="B2330" s="6" t="s">
        <v>27</v>
      </c>
      <c r="C2330" s="6" t="s">
        <v>276</v>
      </c>
      <c r="D2330" s="5">
        <v>44922</v>
      </c>
    </row>
    <row r="2331" spans="2:4">
      <c r="B2331" s="6" t="s">
        <v>37</v>
      </c>
      <c r="C2331" s="6" t="s">
        <v>36</v>
      </c>
      <c r="D2331" s="5">
        <v>44922</v>
      </c>
    </row>
    <row r="2332" spans="2:4">
      <c r="B2332" s="6" t="s">
        <v>91</v>
      </c>
      <c r="C2332" s="6" t="s">
        <v>343</v>
      </c>
      <c r="D2332" s="5">
        <v>44922</v>
      </c>
    </row>
    <row r="2333" spans="2:4">
      <c r="B2333" s="6" t="s">
        <v>419</v>
      </c>
      <c r="C2333" s="6" t="s">
        <v>704</v>
      </c>
      <c r="D2333" s="5">
        <v>44923</v>
      </c>
    </row>
    <row r="2334" spans="2:4">
      <c r="B2334" s="6" t="s">
        <v>132</v>
      </c>
      <c r="C2334" s="6" t="s">
        <v>380</v>
      </c>
      <c r="D2334" s="5">
        <v>44923</v>
      </c>
    </row>
    <row r="2335" spans="2:4">
      <c r="B2335" s="6" t="s">
        <v>88</v>
      </c>
      <c r="C2335" s="6" t="s">
        <v>86</v>
      </c>
      <c r="D2335" s="5">
        <v>44923</v>
      </c>
    </row>
    <row r="2336" spans="2:4">
      <c r="B2336" s="6" t="s">
        <v>34</v>
      </c>
      <c r="C2336" s="6" t="s">
        <v>355</v>
      </c>
      <c r="D2336" s="5">
        <v>44923</v>
      </c>
    </row>
    <row r="2337" spans="2:4">
      <c r="B2337" s="6" t="s">
        <v>640</v>
      </c>
      <c r="C2337" s="6" t="s">
        <v>503</v>
      </c>
      <c r="D2337" s="5">
        <v>44923</v>
      </c>
    </row>
    <row r="2338" spans="2:4">
      <c r="B2338" s="6" t="s">
        <v>115</v>
      </c>
      <c r="C2338" s="6" t="s">
        <v>327</v>
      </c>
      <c r="D2338" s="5">
        <v>44923</v>
      </c>
    </row>
    <row r="2339" spans="2:4">
      <c r="B2339" s="6" t="s">
        <v>188</v>
      </c>
      <c r="C2339" s="6" t="s">
        <v>215</v>
      </c>
      <c r="D2339" s="5">
        <v>44923</v>
      </c>
    </row>
    <row r="2340" spans="2:4">
      <c r="B2340" s="6" t="s">
        <v>245</v>
      </c>
      <c r="C2340" s="6" t="s">
        <v>35</v>
      </c>
      <c r="D2340" s="5">
        <v>44923</v>
      </c>
    </row>
    <row r="2341" spans="2:4">
      <c r="B2341" s="6" t="s">
        <v>87</v>
      </c>
      <c r="C2341" s="6" t="s">
        <v>80</v>
      </c>
      <c r="D2341" s="5">
        <v>44923</v>
      </c>
    </row>
    <row r="2342" spans="2:4">
      <c r="B2342" s="6" t="s">
        <v>83</v>
      </c>
      <c r="C2342" s="6" t="s">
        <v>79</v>
      </c>
      <c r="D2342" s="5">
        <v>44923</v>
      </c>
    </row>
    <row r="2343" spans="2:4">
      <c r="B2343" s="6" t="s">
        <v>214</v>
      </c>
      <c r="C2343" s="6" t="s">
        <v>284</v>
      </c>
      <c r="D2343" s="5">
        <v>44923</v>
      </c>
    </row>
    <row r="2344" spans="2:4">
      <c r="B2344" s="6" t="s">
        <v>109</v>
      </c>
      <c r="C2344" s="6" t="s">
        <v>347</v>
      </c>
      <c r="D2344" s="5">
        <v>44923</v>
      </c>
    </row>
    <row r="2345" spans="2:4">
      <c r="B2345" s="6" t="s">
        <v>411</v>
      </c>
      <c r="C2345" s="6" t="s">
        <v>352</v>
      </c>
      <c r="D2345" s="5">
        <v>44923</v>
      </c>
    </row>
    <row r="2346" spans="2:4">
      <c r="B2346" s="6" t="s">
        <v>275</v>
      </c>
      <c r="C2346" s="6" t="s">
        <v>145</v>
      </c>
      <c r="D2346" s="5">
        <v>44923</v>
      </c>
    </row>
    <row r="2347" spans="2:4">
      <c r="B2347" s="6" t="s">
        <v>138</v>
      </c>
      <c r="C2347" s="6" t="s">
        <v>335</v>
      </c>
      <c r="D2347" s="5">
        <v>44923</v>
      </c>
    </row>
    <row r="2348" spans="2:4">
      <c r="B2348" s="6" t="s">
        <v>200</v>
      </c>
      <c r="C2348" s="6" t="s">
        <v>116</v>
      </c>
      <c r="D2348" s="5">
        <v>44923</v>
      </c>
    </row>
    <row r="2349" spans="2:4">
      <c r="B2349" s="6" t="s">
        <v>174</v>
      </c>
      <c r="C2349" s="6" t="s">
        <v>108</v>
      </c>
      <c r="D2349" s="5">
        <v>44923</v>
      </c>
    </row>
    <row r="2350" spans="2:4">
      <c r="B2350" s="6" t="s">
        <v>349</v>
      </c>
      <c r="C2350" s="6" t="s">
        <v>199</v>
      </c>
      <c r="D2350" s="5">
        <v>44923</v>
      </c>
    </row>
    <row r="2351" spans="2:4">
      <c r="B2351" s="6" t="s">
        <v>89</v>
      </c>
      <c r="C2351" s="6" t="s">
        <v>117</v>
      </c>
      <c r="D2351" s="5">
        <v>44923</v>
      </c>
    </row>
    <row r="2352" spans="2:4">
      <c r="B2352" s="6" t="s">
        <v>102</v>
      </c>
      <c r="C2352" s="6" t="s">
        <v>171</v>
      </c>
      <c r="D2352" s="5">
        <v>44923</v>
      </c>
    </row>
    <row r="2353" spans="2:4">
      <c r="B2353" s="6" t="s">
        <v>28</v>
      </c>
      <c r="C2353" s="6" t="s">
        <v>319</v>
      </c>
      <c r="D2353" s="5">
        <v>44923</v>
      </c>
    </row>
    <row r="2354" spans="2:4">
      <c r="B2354" s="6" t="s">
        <v>318</v>
      </c>
      <c r="C2354" s="6" t="s">
        <v>320</v>
      </c>
      <c r="D2354" s="5">
        <v>44923</v>
      </c>
    </row>
    <row r="2355" spans="2:4">
      <c r="B2355" s="6" t="s">
        <v>280</v>
      </c>
      <c r="C2355" s="6" t="s">
        <v>326</v>
      </c>
      <c r="D2355" s="5">
        <v>44923</v>
      </c>
    </row>
    <row r="2356" spans="2:4">
      <c r="B2356" s="6" t="s">
        <v>186</v>
      </c>
      <c r="C2356" s="6" t="s">
        <v>119</v>
      </c>
      <c r="D2356" s="5">
        <v>44923</v>
      </c>
    </row>
    <row r="2357" spans="2:4">
      <c r="B2357" s="6" t="s">
        <v>48</v>
      </c>
      <c r="C2357" s="6" t="s">
        <v>205</v>
      </c>
      <c r="D2357" s="5">
        <v>44923</v>
      </c>
    </row>
    <row r="2358" spans="2:4">
      <c r="B2358" s="6" t="s">
        <v>95</v>
      </c>
      <c r="C2358" s="6" t="s">
        <v>212</v>
      </c>
      <c r="D2358" s="5">
        <v>44923</v>
      </c>
    </row>
    <row r="2359" spans="2:4">
      <c r="B2359" s="6" t="s">
        <v>81</v>
      </c>
      <c r="C2359" s="6" t="s">
        <v>84</v>
      </c>
      <c r="D2359" s="5">
        <v>44923</v>
      </c>
    </row>
    <row r="2360" spans="2:4">
      <c r="B2360" s="6" t="s">
        <v>85</v>
      </c>
      <c r="C2360" s="6" t="s">
        <v>82</v>
      </c>
      <c r="D2360" s="5">
        <v>44923</v>
      </c>
    </row>
    <row r="2361" spans="2:4">
      <c r="B2361" s="6" t="s">
        <v>389</v>
      </c>
      <c r="C2361" s="6" t="s">
        <v>473</v>
      </c>
      <c r="D2361" s="5">
        <v>44923</v>
      </c>
    </row>
    <row r="2362" spans="2:4">
      <c r="B2362" s="6" t="s">
        <v>302</v>
      </c>
      <c r="C2362" s="6" t="s">
        <v>39</v>
      </c>
      <c r="D2362" s="5">
        <v>44923</v>
      </c>
    </row>
    <row r="2363" spans="2:4">
      <c r="B2363" s="6" t="s">
        <v>189</v>
      </c>
      <c r="C2363" s="6" t="s">
        <v>386</v>
      </c>
      <c r="D2363" s="5">
        <v>44923</v>
      </c>
    </row>
    <row r="2364" spans="2:4">
      <c r="B2364" s="6" t="s">
        <v>375</v>
      </c>
      <c r="C2364" s="6" t="s">
        <v>378</v>
      </c>
      <c r="D2364" s="5">
        <v>44923</v>
      </c>
    </row>
    <row r="2365" spans="2:4">
      <c r="B2365" s="6" t="s">
        <v>433</v>
      </c>
      <c r="C2365" s="6" t="s">
        <v>163</v>
      </c>
      <c r="D2365" s="5">
        <v>44923</v>
      </c>
    </row>
    <row r="2366" spans="2:4">
      <c r="B2366" s="6" t="s">
        <v>169</v>
      </c>
      <c r="C2366" s="6" t="s">
        <v>162</v>
      </c>
      <c r="D2366" s="5">
        <v>44923</v>
      </c>
    </row>
    <row r="2367" spans="2:4">
      <c r="B2367" s="6" t="s">
        <v>392</v>
      </c>
      <c r="C2367" s="6" t="s">
        <v>198</v>
      </c>
      <c r="D2367" s="5">
        <v>44923</v>
      </c>
    </row>
    <row r="2368" spans="2:4">
      <c r="B2368" s="6" t="s">
        <v>394</v>
      </c>
      <c r="C2368" s="6" t="s">
        <v>152</v>
      </c>
      <c r="D2368" s="5">
        <v>44923</v>
      </c>
    </row>
    <row r="2369" spans="2:4">
      <c r="B2369" s="6" t="s">
        <v>249</v>
      </c>
      <c r="C2369" s="6" t="s">
        <v>606</v>
      </c>
      <c r="D2369" s="5">
        <v>44924</v>
      </c>
    </row>
    <row r="2370" spans="2:4">
      <c r="B2370" s="6" t="s">
        <v>395</v>
      </c>
      <c r="C2370" s="6" t="s">
        <v>110</v>
      </c>
      <c r="D2370" s="5">
        <v>44924</v>
      </c>
    </row>
    <row r="2371" spans="2:4">
      <c r="B2371" s="6" t="s">
        <v>427</v>
      </c>
      <c r="C2371" s="6" t="s">
        <v>157</v>
      </c>
      <c r="D2371" s="5">
        <v>44924</v>
      </c>
    </row>
    <row r="2372" spans="2:4">
      <c r="B2372" s="6" t="s">
        <v>68</v>
      </c>
      <c r="C2372" s="6" t="s">
        <v>107</v>
      </c>
      <c r="D2372" s="5">
        <v>44924</v>
      </c>
    </row>
    <row r="2373" spans="2:4">
      <c r="B2373" s="6" t="s">
        <v>96</v>
      </c>
      <c r="C2373" s="6" t="s">
        <v>210</v>
      </c>
      <c r="D2373" s="5">
        <v>44924</v>
      </c>
    </row>
    <row r="2374" spans="2:4">
      <c r="B2374" s="6" t="s">
        <v>66</v>
      </c>
      <c r="C2374" s="6" t="s">
        <v>264</v>
      </c>
      <c r="D2374" s="5">
        <v>44924</v>
      </c>
    </row>
    <row r="2375" spans="2:4">
      <c r="B2375" s="6" t="s">
        <v>287</v>
      </c>
      <c r="C2375" s="6" t="s">
        <v>267</v>
      </c>
      <c r="D2375" s="5">
        <v>44924</v>
      </c>
    </row>
    <row r="2376" spans="2:4">
      <c r="B2376" s="6" t="s">
        <v>336</v>
      </c>
      <c r="C2376" s="6" t="s">
        <v>590</v>
      </c>
      <c r="D2376" s="5">
        <v>44924</v>
      </c>
    </row>
    <row r="2377" spans="2:4">
      <c r="B2377" s="6" t="s">
        <v>57</v>
      </c>
      <c r="C2377" s="6" t="s">
        <v>308</v>
      </c>
      <c r="D2377" s="5">
        <v>44924</v>
      </c>
    </row>
    <row r="2378" spans="2:4">
      <c r="B2378" s="6" t="s">
        <v>297</v>
      </c>
      <c r="C2378" s="6" t="s">
        <v>202</v>
      </c>
      <c r="D2378" s="5">
        <v>44924</v>
      </c>
    </row>
    <row r="2379" spans="2:4">
      <c r="B2379" s="6" t="s">
        <v>146</v>
      </c>
      <c r="C2379" s="6" t="s">
        <v>129</v>
      </c>
      <c r="D2379" s="5">
        <v>44924</v>
      </c>
    </row>
    <row r="2380" spans="2:4">
      <c r="B2380" s="6" t="s">
        <v>288</v>
      </c>
      <c r="C2380" s="6" t="s">
        <v>705</v>
      </c>
      <c r="D2380" s="5">
        <v>44924</v>
      </c>
    </row>
    <row r="2381" spans="2:4">
      <c r="B2381" s="6" t="s">
        <v>58</v>
      </c>
      <c r="C2381" s="6" t="s">
        <v>170</v>
      </c>
      <c r="D2381" s="5">
        <v>44924</v>
      </c>
    </row>
    <row r="2382" spans="2:4">
      <c r="B2382" s="6" t="s">
        <v>273</v>
      </c>
      <c r="C2382" s="6" t="s">
        <v>191</v>
      </c>
      <c r="D2382" s="5">
        <v>44924</v>
      </c>
    </row>
    <row r="2383" spans="2:4">
      <c r="B2383" s="6" t="s">
        <v>182</v>
      </c>
      <c r="C2383" s="6" t="s">
        <v>242</v>
      </c>
      <c r="D2383" s="5">
        <v>44924</v>
      </c>
    </row>
    <row r="2384" spans="2:4">
      <c r="B2384" s="6" t="s">
        <v>610</v>
      </c>
      <c r="C2384" s="6" t="s">
        <v>147</v>
      </c>
      <c r="D2384" s="5">
        <v>44924</v>
      </c>
    </row>
    <row r="2385" spans="2:4">
      <c r="B2385" s="6" t="s">
        <v>140</v>
      </c>
      <c r="C2385" s="6" t="s">
        <v>706</v>
      </c>
      <c r="D2385" s="5">
        <v>44924</v>
      </c>
    </row>
    <row r="2386" spans="2:4">
      <c r="B2386" s="6" t="s">
        <v>42</v>
      </c>
      <c r="C2386" s="6" t="s">
        <v>40</v>
      </c>
      <c r="D2386" s="5">
        <v>44924</v>
      </c>
    </row>
    <row r="2387" spans="2:4">
      <c r="B2387" s="6" t="s">
        <v>248</v>
      </c>
      <c r="C2387" s="6" t="s">
        <v>201</v>
      </c>
      <c r="D2387" s="5">
        <v>44924</v>
      </c>
    </row>
    <row r="2388" spans="2:4">
      <c r="B2388" s="6" t="s">
        <v>354</v>
      </c>
      <c r="C2388" s="6" t="s">
        <v>293</v>
      </c>
      <c r="D2388" s="5">
        <v>44924</v>
      </c>
    </row>
    <row r="2389" spans="2:4">
      <c r="B2389" s="6" t="s">
        <v>209</v>
      </c>
      <c r="C2389" s="6" t="s">
        <v>629</v>
      </c>
      <c r="D2389" s="5">
        <v>44924</v>
      </c>
    </row>
    <row r="2390" spans="2:4">
      <c r="B2390" s="6" t="s">
        <v>274</v>
      </c>
      <c r="C2390" s="6" t="s">
        <v>707</v>
      </c>
      <c r="D2390" s="5">
        <v>44924</v>
      </c>
    </row>
    <row r="2391" spans="2:4">
      <c r="B2391" s="6" t="s">
        <v>125</v>
      </c>
      <c r="C2391" s="6" t="s">
        <v>126</v>
      </c>
      <c r="D2391" s="5">
        <v>44924</v>
      </c>
    </row>
    <row r="2392" spans="2:4">
      <c r="B2392" s="6" t="s">
        <v>325</v>
      </c>
      <c r="C2392" s="6" t="s">
        <v>213</v>
      </c>
      <c r="D2392" s="5">
        <v>44924</v>
      </c>
    </row>
    <row r="2393" spans="2:4">
      <c r="B2393" s="6" t="s">
        <v>351</v>
      </c>
      <c r="C2393" s="6" t="s">
        <v>253</v>
      </c>
      <c r="D2393" s="5">
        <v>44924</v>
      </c>
    </row>
    <row r="2394" spans="2:4">
      <c r="B2394" s="6" t="s">
        <v>373</v>
      </c>
      <c r="C2394" s="6" t="s">
        <v>368</v>
      </c>
      <c r="D2394" s="5">
        <v>44924</v>
      </c>
    </row>
    <row r="2395" spans="2:4">
      <c r="B2395" s="6" t="s">
        <v>313</v>
      </c>
      <c r="C2395" s="6" t="s">
        <v>143</v>
      </c>
      <c r="D2395" s="5">
        <v>44924</v>
      </c>
    </row>
    <row r="2396" spans="2:4">
      <c r="B2396" s="6" t="s">
        <v>67</v>
      </c>
      <c r="C2396" s="6" t="s">
        <v>61</v>
      </c>
      <c r="D2396" s="5">
        <v>44924</v>
      </c>
    </row>
    <row r="2397" spans="2:4">
      <c r="B2397" s="6" t="s">
        <v>56</v>
      </c>
      <c r="C2397" s="6" t="s">
        <v>301</v>
      </c>
      <c r="D2397" s="5">
        <v>44924</v>
      </c>
    </row>
    <row r="2398" spans="2:4">
      <c r="B2398" s="6" t="s">
        <v>425</v>
      </c>
      <c r="C2398" s="6" t="s">
        <v>270</v>
      </c>
      <c r="D2398" s="5">
        <v>44924</v>
      </c>
    </row>
    <row r="2399" spans="2:4">
      <c r="B2399" s="6" t="s">
        <v>192</v>
      </c>
      <c r="C2399" s="6" t="s">
        <v>298</v>
      </c>
      <c r="D2399" s="5">
        <v>44924</v>
      </c>
    </row>
    <row r="2400" spans="2:4">
      <c r="B2400" s="6" t="s">
        <v>111</v>
      </c>
      <c r="C2400" s="6" t="s">
        <v>261</v>
      </c>
      <c r="D2400" s="5">
        <v>44924</v>
      </c>
    </row>
    <row r="2401" spans="2:4">
      <c r="B2401" s="6" t="s">
        <v>103</v>
      </c>
      <c r="C2401" s="6" t="s">
        <v>436</v>
      </c>
      <c r="D2401" s="5">
        <v>44924</v>
      </c>
    </row>
    <row r="2402" spans="2:4">
      <c r="B2402" s="6" t="s">
        <v>282</v>
      </c>
      <c r="C2402" s="6" t="s">
        <v>104</v>
      </c>
      <c r="D2402" s="5">
        <v>44924</v>
      </c>
    </row>
    <row r="2403" spans="2:4">
      <c r="B2403" s="6" t="s">
        <v>338</v>
      </c>
      <c r="C2403" s="6" t="s">
        <v>246</v>
      </c>
      <c r="D2403" s="5">
        <v>44924</v>
      </c>
    </row>
    <row r="2404" spans="2:4">
      <c r="B2404" s="6" t="s">
        <v>405</v>
      </c>
      <c r="C2404" s="6" t="s">
        <v>98</v>
      </c>
      <c r="D2404" s="5">
        <v>44924</v>
      </c>
    </row>
    <row r="2405" spans="2:4">
      <c r="B2405" s="6" t="s">
        <v>410</v>
      </c>
      <c r="C2405" s="6" t="s">
        <v>175</v>
      </c>
      <c r="D2405" s="5">
        <v>44924</v>
      </c>
    </row>
    <row r="2406" spans="2:4">
      <c r="B2406" s="6" t="s">
        <v>136</v>
      </c>
      <c r="C2406" s="6" t="s">
        <v>367</v>
      </c>
      <c r="D2406" s="5">
        <v>44924</v>
      </c>
    </row>
    <row r="2407" spans="2:4">
      <c r="B2407" s="6" t="s">
        <v>259</v>
      </c>
      <c r="C2407" s="6" t="s">
        <v>409</v>
      </c>
      <c r="D2407" s="5">
        <v>44924</v>
      </c>
    </row>
    <row r="2408" spans="2:4">
      <c r="B2408" s="6" t="s">
        <v>294</v>
      </c>
      <c r="C2408" s="6" t="s">
        <v>365</v>
      </c>
      <c r="D2408" s="5">
        <v>44924</v>
      </c>
    </row>
    <row r="2409" spans="2:4">
      <c r="B2409" s="6" t="s">
        <v>193</v>
      </c>
      <c r="C2409" s="6" t="s">
        <v>286</v>
      </c>
      <c r="D2409" s="5">
        <v>44924</v>
      </c>
    </row>
    <row r="2410" spans="2:4">
      <c r="B2410" s="6" t="s">
        <v>256</v>
      </c>
      <c r="C2410" s="6" t="s">
        <v>266</v>
      </c>
      <c r="D2410" s="5">
        <v>44924</v>
      </c>
    </row>
    <row r="2411" spans="2:4">
      <c r="B2411" s="6" t="s">
        <v>101</v>
      </c>
      <c r="C2411" s="6" t="s">
        <v>358</v>
      </c>
      <c r="D2411" s="5">
        <v>44924</v>
      </c>
    </row>
    <row r="2412" spans="2:4">
      <c r="B2412" s="6" t="s">
        <v>422</v>
      </c>
      <c r="C2412" s="6" t="s">
        <v>324</v>
      </c>
      <c r="D2412" s="5">
        <v>44924</v>
      </c>
    </row>
    <row r="2413" spans="2:4">
      <c r="B2413" s="6" t="s">
        <v>412</v>
      </c>
      <c r="C2413" s="6" t="s">
        <v>296</v>
      </c>
      <c r="D2413" s="5">
        <v>44924</v>
      </c>
    </row>
    <row r="2414" spans="2:4">
      <c r="B2414" s="6" t="s">
        <v>272</v>
      </c>
      <c r="C2414" s="6" t="s">
        <v>268</v>
      </c>
      <c r="D2414" s="5">
        <v>44924</v>
      </c>
    </row>
    <row r="2415" spans="2:4">
      <c r="B2415" s="6" t="s">
        <v>432</v>
      </c>
      <c r="C2415" s="6" t="s">
        <v>179</v>
      </c>
      <c r="D2415" s="5">
        <v>44924</v>
      </c>
    </row>
    <row r="2416" spans="2:4">
      <c r="B2416" s="6" t="s">
        <v>118</v>
      </c>
      <c r="C2416" s="6" t="s">
        <v>178</v>
      </c>
      <c r="D2416" s="5">
        <v>44924</v>
      </c>
    </row>
    <row r="2417" spans="2:4">
      <c r="B2417" s="6" t="s">
        <v>195</v>
      </c>
      <c r="C2417" s="6" t="s">
        <v>376</v>
      </c>
      <c r="D2417" s="5">
        <v>44924</v>
      </c>
    </row>
    <row r="2418" spans="2:4">
      <c r="B2418" s="6" t="s">
        <v>290</v>
      </c>
      <c r="C2418" s="6" t="s">
        <v>345</v>
      </c>
      <c r="D2418" s="5">
        <v>44924</v>
      </c>
    </row>
    <row r="2419" spans="2:4">
      <c r="B2419" s="6" t="s">
        <v>144</v>
      </c>
      <c r="C2419" s="6" t="s">
        <v>231</v>
      </c>
      <c r="D2419" s="5">
        <v>44924</v>
      </c>
    </row>
    <row r="2420" spans="2:4">
      <c r="B2420" s="6" t="s">
        <v>382</v>
      </c>
      <c r="C2420" s="6" t="s">
        <v>708</v>
      </c>
      <c r="D2420" s="5">
        <v>44924</v>
      </c>
    </row>
    <row r="2421" spans="2:4">
      <c r="B2421" s="6" t="s">
        <v>312</v>
      </c>
      <c r="C2421" s="6" t="s">
        <v>241</v>
      </c>
      <c r="D2421" s="5">
        <v>44924</v>
      </c>
    </row>
    <row r="2422" spans="2:4">
      <c r="B2422" s="6" t="s">
        <v>135</v>
      </c>
      <c r="C2422" s="6" t="s">
        <v>421</v>
      </c>
      <c r="D2422" s="5">
        <v>44924</v>
      </c>
    </row>
    <row r="2423" spans="2:4">
      <c r="B2423" s="6" t="s">
        <v>155</v>
      </c>
      <c r="C2423" s="6" t="s">
        <v>41</v>
      </c>
      <c r="D2423" s="5">
        <v>44924</v>
      </c>
    </row>
    <row r="2424" spans="2:4">
      <c r="B2424" s="6" t="s">
        <v>63</v>
      </c>
      <c r="C2424" s="6" t="s">
        <v>156</v>
      </c>
      <c r="D2424" s="5">
        <v>44924</v>
      </c>
    </row>
    <row r="2425" spans="2:4">
      <c r="B2425" s="6" t="s">
        <v>388</v>
      </c>
      <c r="C2425" s="6" t="s">
        <v>323</v>
      </c>
      <c r="D2425" s="5">
        <v>44924</v>
      </c>
    </row>
    <row r="2426" spans="2:4">
      <c r="B2426" s="6" t="s">
        <v>383</v>
      </c>
      <c r="C2426" s="6" t="s">
        <v>415</v>
      </c>
      <c r="D2426" s="5">
        <v>44924</v>
      </c>
    </row>
    <row r="2427" spans="2:4">
      <c r="B2427" s="6" t="s">
        <v>316</v>
      </c>
      <c r="C2427" s="6" t="s">
        <v>194</v>
      </c>
      <c r="D2427" s="5">
        <v>44924</v>
      </c>
    </row>
    <row r="2428" spans="2:4">
      <c r="B2428" s="6" t="s">
        <v>150</v>
      </c>
      <c r="C2428" s="6" t="s">
        <v>333</v>
      </c>
      <c r="D2428" s="5">
        <v>44924</v>
      </c>
    </row>
    <row r="2429" spans="2:4">
      <c r="B2429" s="6" t="s">
        <v>289</v>
      </c>
      <c r="C2429" s="6" t="s">
        <v>306</v>
      </c>
      <c r="D2429" s="5">
        <v>44924</v>
      </c>
    </row>
    <row r="2430" spans="2:4">
      <c r="B2430" s="6" t="s">
        <v>385</v>
      </c>
      <c r="C2430" s="6" t="s">
        <v>330</v>
      </c>
      <c r="D2430" s="5">
        <v>44924</v>
      </c>
    </row>
    <row r="2431" spans="2:4">
      <c r="B2431" s="6" t="s">
        <v>208</v>
      </c>
      <c r="C2431" s="6" t="s">
        <v>348</v>
      </c>
      <c r="D2431" s="5">
        <v>44924</v>
      </c>
    </row>
    <row r="2432" spans="2:4">
      <c r="B2432" s="6" t="s">
        <v>357</v>
      </c>
      <c r="C2432" s="6" t="s">
        <v>184</v>
      </c>
      <c r="D2432" s="5">
        <v>44924</v>
      </c>
    </row>
    <row r="2433" spans="2:4">
      <c r="B2433" s="6" t="s">
        <v>418</v>
      </c>
      <c r="C2433" s="6" t="s">
        <v>397</v>
      </c>
      <c r="D2433" s="5">
        <v>44924</v>
      </c>
    </row>
    <row r="2434" spans="2:4">
      <c r="B2434" s="6" t="s">
        <v>154</v>
      </c>
      <c r="C2434" s="6" t="s">
        <v>586</v>
      </c>
      <c r="D2434" s="5">
        <v>44924</v>
      </c>
    </row>
    <row r="2435" spans="2:4">
      <c r="B2435" s="6" t="s">
        <v>60</v>
      </c>
      <c r="C2435" s="6" t="s">
        <v>232</v>
      </c>
      <c r="D2435" s="5">
        <v>44924</v>
      </c>
    </row>
    <row r="2436" spans="2:4">
      <c r="B2436" s="6" t="s">
        <v>370</v>
      </c>
      <c r="C2436" s="6" t="s">
        <v>304</v>
      </c>
      <c r="D2436" s="5">
        <v>44924</v>
      </c>
    </row>
    <row r="2437" spans="2:4">
      <c r="B2437" s="6" t="s">
        <v>615</v>
      </c>
      <c r="C2437" s="6" t="s">
        <v>321</v>
      </c>
      <c r="D2437" s="5">
        <v>44924</v>
      </c>
    </row>
    <row r="2438" spans="2:4">
      <c r="B2438" s="6" t="s">
        <v>240</v>
      </c>
      <c r="C2438" s="6" t="s">
        <v>250</v>
      </c>
      <c r="D2438" s="5">
        <v>44924</v>
      </c>
    </row>
    <row r="2439" spans="2:4">
      <c r="B2439" s="6" t="s">
        <v>329</v>
      </c>
      <c r="C2439" s="6" t="s">
        <v>603</v>
      </c>
      <c r="D2439" s="5">
        <v>44924</v>
      </c>
    </row>
    <row r="2440" spans="2:4">
      <c r="B2440" s="6" t="s">
        <v>187</v>
      </c>
      <c r="C2440" s="6" t="s">
        <v>221</v>
      </c>
      <c r="D2440" s="5">
        <v>44924</v>
      </c>
    </row>
    <row r="2441" spans="2:4">
      <c r="B2441" s="6" t="s">
        <v>363</v>
      </c>
      <c r="C2441" s="6" t="s">
        <v>139</v>
      </c>
      <c r="D2441" s="5">
        <v>44924</v>
      </c>
    </row>
    <row r="2442" spans="2:4">
      <c r="B2442" s="6" t="s">
        <v>607</v>
      </c>
      <c r="C2442" s="6" t="s">
        <v>344</v>
      </c>
      <c r="D2442" s="5">
        <v>44924</v>
      </c>
    </row>
    <row r="2443" spans="2:4">
      <c r="B2443" s="6" t="s">
        <v>381</v>
      </c>
      <c r="C2443" s="6" t="s">
        <v>159</v>
      </c>
      <c r="D2443" s="5">
        <v>44924</v>
      </c>
    </row>
    <row r="2444" spans="2:4">
      <c r="B2444" s="6" t="s">
        <v>161</v>
      </c>
      <c r="C2444" s="6" t="s">
        <v>396</v>
      </c>
      <c r="D2444" s="5">
        <v>44924</v>
      </c>
    </row>
    <row r="2445" spans="2:4">
      <c r="B2445" s="6" t="s">
        <v>398</v>
      </c>
      <c r="C2445" s="6" t="s">
        <v>166</v>
      </c>
      <c r="D2445" s="5">
        <v>44924</v>
      </c>
    </row>
    <row r="2446" spans="2:4">
      <c r="B2446" s="6" t="s">
        <v>151</v>
      </c>
      <c r="C2446" s="6" t="s">
        <v>331</v>
      </c>
      <c r="D2446" s="5">
        <v>44924</v>
      </c>
    </row>
    <row r="2447" spans="2:4">
      <c r="B2447" s="6" t="s">
        <v>309</v>
      </c>
      <c r="C2447" s="6" t="s">
        <v>305</v>
      </c>
      <c r="D2447" s="5">
        <v>44924</v>
      </c>
    </row>
    <row r="2448" spans="2:4">
      <c r="B2448" s="6" t="s">
        <v>206</v>
      </c>
      <c r="C2448" s="6" t="s">
        <v>426</v>
      </c>
      <c r="D2448" s="5">
        <v>44924</v>
      </c>
    </row>
    <row r="2449" spans="2:4">
      <c r="B2449" s="6" t="s">
        <v>153</v>
      </c>
      <c r="C2449" s="6" t="s">
        <v>403</v>
      </c>
      <c r="D2449" s="5">
        <v>44924</v>
      </c>
    </row>
    <row r="2450" spans="2:4">
      <c r="B2450" s="6" t="s">
        <v>391</v>
      </c>
      <c r="C2450" s="6" t="s">
        <v>158</v>
      </c>
      <c r="D2450" s="5">
        <v>44924</v>
      </c>
    </row>
    <row r="2451" spans="2:4">
      <c r="B2451" s="6" t="s">
        <v>190</v>
      </c>
      <c r="C2451" s="6" t="s">
        <v>393</v>
      </c>
      <c r="D2451" s="5">
        <v>44924</v>
      </c>
    </row>
    <row r="2452" spans="2:4">
      <c r="B2452" s="6" t="s">
        <v>164</v>
      </c>
      <c r="C2452" s="6" t="s">
        <v>77</v>
      </c>
      <c r="D2452" s="5">
        <v>44924</v>
      </c>
    </row>
    <row r="2453" spans="2:4">
      <c r="B2453" s="6" t="s">
        <v>160</v>
      </c>
      <c r="C2453" s="6" t="s">
        <v>404</v>
      </c>
      <c r="D2453" s="5">
        <v>44924</v>
      </c>
    </row>
    <row r="2454" spans="2:4">
      <c r="B2454" s="6" t="s">
        <v>207</v>
      </c>
      <c r="C2454" s="6" t="s">
        <v>599</v>
      </c>
      <c r="D2454" s="5">
        <v>44924</v>
      </c>
    </row>
    <row r="2455" spans="2:4">
      <c r="B2455" s="6" t="s">
        <v>420</v>
      </c>
      <c r="C2455" s="6" t="s">
        <v>236</v>
      </c>
      <c r="D2455" s="5">
        <v>44924</v>
      </c>
    </row>
    <row r="2456" spans="2:4">
      <c r="B2456" s="6" t="s">
        <v>621</v>
      </c>
      <c r="C2456" s="6" t="s">
        <v>423</v>
      </c>
      <c r="D2456" s="5">
        <v>44924</v>
      </c>
    </row>
    <row r="2457" spans="2:4">
      <c r="B2457" s="6" t="s">
        <v>93</v>
      </c>
      <c r="C2457" s="6" t="s">
        <v>72</v>
      </c>
      <c r="D2457" s="5">
        <v>44924</v>
      </c>
    </row>
    <row r="2458" spans="2:4">
      <c r="B2458" s="6" t="s">
        <v>428</v>
      </c>
      <c r="C2458" s="6" t="s">
        <v>141</v>
      </c>
      <c r="D2458" s="5">
        <v>44924</v>
      </c>
    </row>
    <row r="2459" spans="2:4">
      <c r="B2459" s="6" t="s">
        <v>49</v>
      </c>
      <c r="C2459" s="6" t="s">
        <v>251</v>
      </c>
      <c r="D2459" s="5">
        <v>44925</v>
      </c>
    </row>
    <row r="2460" spans="2:4">
      <c r="B2460" s="6" t="s">
        <v>51</v>
      </c>
      <c r="C2460" s="6" t="s">
        <v>149</v>
      </c>
      <c r="D2460" s="5">
        <v>44925</v>
      </c>
    </row>
    <row r="2461" spans="2:4">
      <c r="B2461" s="6" t="s">
        <v>131</v>
      </c>
      <c r="C2461" s="6" t="s">
        <v>113</v>
      </c>
      <c r="D2461" s="5">
        <v>44925</v>
      </c>
    </row>
    <row r="2462" spans="2:4">
      <c r="B2462" s="6" t="s">
        <v>46</v>
      </c>
      <c r="C2462" s="6" t="s">
        <v>48</v>
      </c>
      <c r="D2462" s="5">
        <v>44925</v>
      </c>
    </row>
    <row r="2463" spans="2:4">
      <c r="B2463" s="6" t="s">
        <v>278</v>
      </c>
      <c r="C2463" s="6" t="s">
        <v>220</v>
      </c>
      <c r="D2463" s="5">
        <v>44925</v>
      </c>
    </row>
    <row r="2464" spans="2:4">
      <c r="B2464" s="6" t="s">
        <v>244</v>
      </c>
      <c r="C2464" s="6" t="s">
        <v>230</v>
      </c>
      <c r="D2464" s="5">
        <v>44925</v>
      </c>
    </row>
    <row r="2465" spans="2:4">
      <c r="B2465" s="6" t="s">
        <v>276</v>
      </c>
      <c r="C2465" s="6" t="s">
        <v>454</v>
      </c>
      <c r="D2465" s="5">
        <v>44925</v>
      </c>
    </row>
    <row r="2466" spans="2:4">
      <c r="B2466" s="6" t="s">
        <v>216</v>
      </c>
      <c r="C2466" s="6" t="s">
        <v>130</v>
      </c>
      <c r="D2466" s="5">
        <v>44925</v>
      </c>
    </row>
    <row r="2467" spans="2:4">
      <c r="B2467" s="6" t="s">
        <v>122</v>
      </c>
      <c r="C2467" s="6" t="s">
        <v>238</v>
      </c>
      <c r="D2467" s="5">
        <v>44925</v>
      </c>
    </row>
    <row r="2468" spans="2:4">
      <c r="B2468" s="6" t="s">
        <v>148</v>
      </c>
      <c r="C2468" s="6" t="s">
        <v>114</v>
      </c>
      <c r="D2468" s="5">
        <v>44925</v>
      </c>
    </row>
    <row r="2469" spans="2:4">
      <c r="B2469" s="6" t="s">
        <v>55</v>
      </c>
      <c r="C2469" s="6" t="s">
        <v>203</v>
      </c>
      <c r="D2469" s="5">
        <v>44925</v>
      </c>
    </row>
    <row r="2470" spans="2:4">
      <c r="B2470" s="6" t="s">
        <v>59</v>
      </c>
      <c r="C2470" s="6" t="s">
        <v>362</v>
      </c>
      <c r="D2470" s="5">
        <v>44925</v>
      </c>
    </row>
    <row r="2471" spans="2:4">
      <c r="B2471" s="6" t="s">
        <v>105</v>
      </c>
      <c r="C2471" s="6" t="s">
        <v>692</v>
      </c>
      <c r="D2471" s="5">
        <v>44925</v>
      </c>
    </row>
    <row r="2472" spans="2:4">
      <c r="B2472" s="6" t="s">
        <v>127</v>
      </c>
      <c r="C2472" s="6" t="s">
        <v>347</v>
      </c>
      <c r="D2472" s="5">
        <v>44925</v>
      </c>
    </row>
    <row r="2473" spans="2:4">
      <c r="B2473" s="6" t="s">
        <v>211</v>
      </c>
      <c r="C2473" s="6" t="s">
        <v>117</v>
      </c>
      <c r="D2473" s="5">
        <v>44925</v>
      </c>
    </row>
    <row r="2474" spans="2:4">
      <c r="B2474" s="6" t="s">
        <v>580</v>
      </c>
      <c r="C2474" s="6" t="s">
        <v>176</v>
      </c>
      <c r="D2474" s="5">
        <v>44925</v>
      </c>
    </row>
    <row r="2475" spans="2:4">
      <c r="B2475" s="6" t="s">
        <v>137</v>
      </c>
      <c r="C2475" s="6" t="s">
        <v>360</v>
      </c>
      <c r="D2475" s="5">
        <v>44925</v>
      </c>
    </row>
    <row r="2476" spans="2:4">
      <c r="B2476" s="6" t="s">
        <v>204</v>
      </c>
      <c r="C2476" s="6" t="s">
        <v>233</v>
      </c>
      <c r="D2476" s="5">
        <v>44925</v>
      </c>
    </row>
    <row r="2477" spans="2:4">
      <c r="B2477" s="6" t="s">
        <v>112</v>
      </c>
      <c r="C2477" s="6" t="s">
        <v>361</v>
      </c>
      <c r="D2477" s="5">
        <v>44925</v>
      </c>
    </row>
    <row r="2478" spans="2:4">
      <c r="B2478" s="6" t="s">
        <v>185</v>
      </c>
      <c r="C2478" s="6" t="s">
        <v>183</v>
      </c>
      <c r="D2478" s="5">
        <v>44925</v>
      </c>
    </row>
    <row r="2479" spans="2:4">
      <c r="B2479" s="6" t="s">
        <v>91</v>
      </c>
      <c r="C2479" s="6" t="s">
        <v>399</v>
      </c>
      <c r="D2479" s="5">
        <v>44925</v>
      </c>
    </row>
    <row r="2480" spans="2:4">
      <c r="B2480" s="6" t="s">
        <v>90</v>
      </c>
      <c r="C2480" s="6" t="s">
        <v>247</v>
      </c>
      <c r="D2480" s="5">
        <v>44925</v>
      </c>
    </row>
    <row r="2481" spans="2:4">
      <c r="B2481" s="6" t="s">
        <v>353</v>
      </c>
      <c r="C2481" s="6" t="s">
        <v>173</v>
      </c>
      <c r="D2481" s="5">
        <v>44925</v>
      </c>
    </row>
    <row r="2482" spans="2:4">
      <c r="B2482" s="6" t="s">
        <v>584</v>
      </c>
      <c r="C2482" s="6" t="s">
        <v>134</v>
      </c>
      <c r="D2482" s="5">
        <v>44925</v>
      </c>
    </row>
    <row r="2483" spans="2:4">
      <c r="B2483" s="6" t="s">
        <v>65</v>
      </c>
      <c r="C2483" s="6" t="s">
        <v>414</v>
      </c>
      <c r="D2483" s="5">
        <v>44925</v>
      </c>
    </row>
    <row r="2484" spans="2:4">
      <c r="B2484" s="6" t="s">
        <v>64</v>
      </c>
      <c r="C2484" s="6" t="s">
        <v>116</v>
      </c>
      <c r="D2484" s="5">
        <v>44925</v>
      </c>
    </row>
    <row r="2485" spans="2:4">
      <c r="B2485" s="6" t="s">
        <v>196</v>
      </c>
      <c r="C2485" s="6" t="s">
        <v>359</v>
      </c>
      <c r="D2485" s="5">
        <v>44925</v>
      </c>
    </row>
    <row r="2486" spans="2:4">
      <c r="B2486" s="6" t="s">
        <v>128</v>
      </c>
      <c r="C2486" s="6" t="s">
        <v>142</v>
      </c>
      <c r="D2486" s="5">
        <v>44925</v>
      </c>
    </row>
    <row r="2487" spans="2:4">
      <c r="B2487" s="6" t="s">
        <v>71</v>
      </c>
      <c r="C2487" s="6" t="s">
        <v>74</v>
      </c>
      <c r="D2487" s="5">
        <v>44925</v>
      </c>
    </row>
    <row r="2488" spans="2:4">
      <c r="B2488" s="6" t="s">
        <v>78</v>
      </c>
      <c r="C2488" s="6" t="s">
        <v>75</v>
      </c>
      <c r="D2488" s="5">
        <v>44925</v>
      </c>
    </row>
    <row r="2489" spans="2:4">
      <c r="B2489" s="6" t="s">
        <v>31</v>
      </c>
      <c r="C2489" s="6" t="s">
        <v>28</v>
      </c>
      <c r="D2489" s="5">
        <v>44926</v>
      </c>
    </row>
    <row r="2490" spans="2:4">
      <c r="B2490" s="6" t="s">
        <v>29</v>
      </c>
      <c r="C2490" s="6" t="s">
        <v>30</v>
      </c>
      <c r="D2490" s="5">
        <v>44926</v>
      </c>
    </row>
    <row r="2491" spans="2:4">
      <c r="B2491" s="6" t="s">
        <v>34</v>
      </c>
      <c r="C2491" s="6" t="s">
        <v>27</v>
      </c>
      <c r="D2491" s="5">
        <v>44926</v>
      </c>
    </row>
    <row r="2492" spans="2:4">
      <c r="B2492" s="6" t="s">
        <v>50</v>
      </c>
      <c r="C2492" s="6" t="s">
        <v>188</v>
      </c>
      <c r="D2492" s="5">
        <v>44926</v>
      </c>
    </row>
    <row r="2493" spans="2:4">
      <c r="B2493" s="6" t="s">
        <v>47</v>
      </c>
      <c r="C2493" s="6" t="s">
        <v>54</v>
      </c>
      <c r="D2493" s="5">
        <v>44926</v>
      </c>
    </row>
    <row r="2494" spans="2:4">
      <c r="B2494" s="6" t="s">
        <v>33</v>
      </c>
      <c r="C2494" s="6" t="s">
        <v>32</v>
      </c>
      <c r="D2494" s="5">
        <v>44926</v>
      </c>
    </row>
    <row r="2495" spans="2:4">
      <c r="B2495" s="6" t="s">
        <v>427</v>
      </c>
      <c r="C2495" s="6" t="s">
        <v>396</v>
      </c>
      <c r="D2495" s="5">
        <v>44926</v>
      </c>
    </row>
    <row r="2496" spans="2:4">
      <c r="B2496" s="6" t="s">
        <v>356</v>
      </c>
      <c r="C2496" s="6" t="s">
        <v>355</v>
      </c>
      <c r="D2496" s="5">
        <v>44926</v>
      </c>
    </row>
    <row r="2497" spans="2:4">
      <c r="B2497" s="6" t="s">
        <v>80</v>
      </c>
      <c r="C2497" s="6" t="s">
        <v>43</v>
      </c>
      <c r="D2497" s="5">
        <v>44926</v>
      </c>
    </row>
    <row r="2498" spans="2:4">
      <c r="B2498" s="6" t="s">
        <v>410</v>
      </c>
      <c r="C2498" s="6" t="s">
        <v>709</v>
      </c>
      <c r="D2498" s="5">
        <v>44926</v>
      </c>
    </row>
    <row r="2499" spans="2:4">
      <c r="B2499" s="6" t="s">
        <v>53</v>
      </c>
      <c r="C2499" s="6" t="s">
        <v>52</v>
      </c>
      <c r="D2499" s="5">
        <v>44926</v>
      </c>
    </row>
    <row r="2500" spans="2:4">
      <c r="B2500" s="6" t="s">
        <v>215</v>
      </c>
      <c r="C2500" s="6" t="s">
        <v>253</v>
      </c>
      <c r="D2500" s="5">
        <v>44926</v>
      </c>
    </row>
    <row r="2501" spans="2:4">
      <c r="B2501" s="6" t="s">
        <v>138</v>
      </c>
      <c r="C2501" s="6" t="s">
        <v>100</v>
      </c>
      <c r="D2501" s="5">
        <v>44926</v>
      </c>
    </row>
    <row r="2502" spans="2:4">
      <c r="B2502" s="6" t="s">
        <v>36</v>
      </c>
      <c r="C2502" s="6" t="s">
        <v>302</v>
      </c>
      <c r="D2502" s="5">
        <v>44926</v>
      </c>
    </row>
    <row r="2503" spans="2:4">
      <c r="B2503" s="6" t="s">
        <v>39</v>
      </c>
      <c r="C2503" s="6" t="s">
        <v>245</v>
      </c>
      <c r="D2503" s="5">
        <v>44926</v>
      </c>
    </row>
    <row r="2504" spans="2:4">
      <c r="B2504" s="6" t="s">
        <v>422</v>
      </c>
      <c r="C2504" s="6" t="s">
        <v>358</v>
      </c>
      <c r="D2504" s="5">
        <v>44926</v>
      </c>
    </row>
    <row r="2505" spans="2:4">
      <c r="B2505" s="6" t="s">
        <v>123</v>
      </c>
      <c r="C2505" s="6" t="s">
        <v>432</v>
      </c>
      <c r="D2505" s="5">
        <v>44926</v>
      </c>
    </row>
    <row r="2506" spans="2:4">
      <c r="B2506" s="6" t="s">
        <v>272</v>
      </c>
      <c r="C2506" s="6" t="s">
        <v>99</v>
      </c>
      <c r="D2506" s="5">
        <v>44926</v>
      </c>
    </row>
    <row r="2507" spans="2:4">
      <c r="B2507" s="6" t="s">
        <v>106</v>
      </c>
      <c r="C2507" s="6" t="s">
        <v>126</v>
      </c>
      <c r="D2507" s="5">
        <v>44926</v>
      </c>
    </row>
    <row r="2508" spans="2:4">
      <c r="B2508" s="6" t="s">
        <v>97</v>
      </c>
      <c r="C2508" s="6" t="s">
        <v>108</v>
      </c>
      <c r="D2508" s="5">
        <v>44926</v>
      </c>
    </row>
    <row r="2509" spans="2:4">
      <c r="B2509" s="6" t="s">
        <v>334</v>
      </c>
      <c r="C2509" s="6" t="s">
        <v>133</v>
      </c>
      <c r="D2509" s="5">
        <v>44926</v>
      </c>
    </row>
    <row r="2510" spans="2:4">
      <c r="B2510" s="6" t="s">
        <v>284</v>
      </c>
      <c r="C2510" s="6" t="s">
        <v>124</v>
      </c>
      <c r="D2510" s="5">
        <v>44926</v>
      </c>
    </row>
    <row r="2511" spans="2:4">
      <c r="B2511" s="6" t="s">
        <v>282</v>
      </c>
      <c r="C2511" s="6" t="s">
        <v>102</v>
      </c>
      <c r="D2511" s="5">
        <v>44926</v>
      </c>
    </row>
    <row r="2512" spans="2:4">
      <c r="B2512" s="6" t="s">
        <v>261</v>
      </c>
      <c r="C2512" s="6" t="s">
        <v>436</v>
      </c>
      <c r="D2512" s="5">
        <v>44926</v>
      </c>
    </row>
    <row r="2513" spans="2:4">
      <c r="B2513" s="6" t="s">
        <v>246</v>
      </c>
      <c r="C2513" s="6" t="s">
        <v>587</v>
      </c>
      <c r="D2513" s="5">
        <v>44926</v>
      </c>
    </row>
    <row r="2514" spans="2:4">
      <c r="B2514" s="6" t="s">
        <v>98</v>
      </c>
      <c r="C2514" s="6" t="s">
        <v>175</v>
      </c>
      <c r="D2514" s="5">
        <v>44926</v>
      </c>
    </row>
    <row r="2515" spans="2:4">
      <c r="B2515" s="6" t="s">
        <v>405</v>
      </c>
      <c r="C2515" s="6" t="s">
        <v>336</v>
      </c>
      <c r="D2515" s="5">
        <v>44926</v>
      </c>
    </row>
    <row r="2516" spans="2:4">
      <c r="B2516" s="6" t="s">
        <v>178</v>
      </c>
      <c r="C2516" s="6" t="s">
        <v>268</v>
      </c>
      <c r="D2516" s="5">
        <v>44926</v>
      </c>
    </row>
    <row r="2517" spans="2:4">
      <c r="B2517" s="6" t="s">
        <v>292</v>
      </c>
      <c r="C2517" s="6" t="s">
        <v>120</v>
      </c>
      <c r="D2517" s="5">
        <v>44926</v>
      </c>
    </row>
    <row r="2518" spans="2:4">
      <c r="B2518" s="6" t="s">
        <v>212</v>
      </c>
      <c r="C2518" s="6" t="s">
        <v>411</v>
      </c>
      <c r="D2518" s="5">
        <v>44926</v>
      </c>
    </row>
    <row r="2519" spans="2:4">
      <c r="B2519" s="6" t="s">
        <v>26</v>
      </c>
      <c r="C2519" s="6" t="s">
        <v>322</v>
      </c>
      <c r="D2519" s="5">
        <v>44926</v>
      </c>
    </row>
    <row r="2520" spans="2:4">
      <c r="B2520" s="6" t="s">
        <v>44</v>
      </c>
      <c r="C2520" s="6" t="s">
        <v>45</v>
      </c>
      <c r="D2520" s="5">
        <v>44926</v>
      </c>
    </row>
    <row r="2521" spans="2:4">
      <c r="B2521" s="6" t="s">
        <v>35</v>
      </c>
      <c r="C2521" s="6" t="s">
        <v>37</v>
      </c>
      <c r="D2521" s="5">
        <v>44926</v>
      </c>
    </row>
    <row r="2522" spans="2:4">
      <c r="B2522" s="6" t="s">
        <v>73</v>
      </c>
      <c r="C2522" s="6" t="s">
        <v>70</v>
      </c>
      <c r="D2522" s="5">
        <v>44926</v>
      </c>
    </row>
    <row r="2523" spans="2:4">
      <c r="B2523" s="6" t="s">
        <v>199</v>
      </c>
      <c r="C2523" s="6" t="s">
        <v>214</v>
      </c>
      <c r="D2523" s="5">
        <v>44926</v>
      </c>
    </row>
    <row r="2524" spans="2:4">
      <c r="B2524" s="6" t="s">
        <v>119</v>
      </c>
      <c r="C2524" s="6" t="s">
        <v>280</v>
      </c>
      <c r="D2524" s="5">
        <v>44926</v>
      </c>
    </row>
    <row r="2525" spans="2:4">
      <c r="B2525" s="6" t="s">
        <v>177</v>
      </c>
      <c r="C2525" s="6" t="s">
        <v>269</v>
      </c>
      <c r="D2525" s="5">
        <v>44926</v>
      </c>
    </row>
    <row r="2526" spans="2:4">
      <c r="B2526" s="6" t="s">
        <v>182</v>
      </c>
      <c r="C2526" s="6" t="s">
        <v>373</v>
      </c>
      <c r="D2526" s="5">
        <v>44926</v>
      </c>
    </row>
    <row r="2527" spans="2:4">
      <c r="B2527" s="6" t="s">
        <v>281</v>
      </c>
      <c r="C2527" s="6" t="s">
        <v>200</v>
      </c>
      <c r="D2527" s="5">
        <v>44926</v>
      </c>
    </row>
    <row r="2528" spans="2:4">
      <c r="B2528" s="6" t="s">
        <v>252</v>
      </c>
      <c r="C2528" s="6" t="s">
        <v>300</v>
      </c>
      <c r="D2528" s="5">
        <v>44926</v>
      </c>
    </row>
    <row r="2529" spans="2:4">
      <c r="B2529" s="6" t="s">
        <v>121</v>
      </c>
      <c r="C2529" s="6" t="s">
        <v>210</v>
      </c>
      <c r="D2529" s="5">
        <v>44926</v>
      </c>
    </row>
    <row r="2530" spans="2:4">
      <c r="B2530" s="6" t="s">
        <v>168</v>
      </c>
      <c r="C2530" s="6" t="s">
        <v>394</v>
      </c>
      <c r="D2530" s="5">
        <v>44926</v>
      </c>
    </row>
    <row r="2531" spans="2:4">
      <c r="B2531" s="6" t="s">
        <v>323</v>
      </c>
      <c r="C2531" s="6" t="s">
        <v>290</v>
      </c>
      <c r="D2531" s="5">
        <v>44926</v>
      </c>
    </row>
    <row r="2532" spans="2:4">
      <c r="B2532" s="6" t="s">
        <v>191</v>
      </c>
      <c r="C2532" s="6" t="s">
        <v>297</v>
      </c>
      <c r="D2532" s="5">
        <v>44926</v>
      </c>
    </row>
    <row r="2533" spans="2:4">
      <c r="B2533" s="6" t="s">
        <v>202</v>
      </c>
      <c r="C2533" s="6" t="s">
        <v>192</v>
      </c>
      <c r="D2533" s="5">
        <v>44926</v>
      </c>
    </row>
    <row r="2534" spans="2:4">
      <c r="B2534" s="6" t="s">
        <v>110</v>
      </c>
      <c r="C2534" s="6" t="s">
        <v>425</v>
      </c>
      <c r="D2534" s="5">
        <v>44926</v>
      </c>
    </row>
    <row r="2535" spans="2:4">
      <c r="B2535" s="6" t="s">
        <v>298</v>
      </c>
      <c r="C2535" s="6" t="s">
        <v>395</v>
      </c>
      <c r="D2535" s="5">
        <v>44926</v>
      </c>
    </row>
    <row r="2536" spans="2:4">
      <c r="B2536" s="6" t="s">
        <v>171</v>
      </c>
      <c r="C2536" s="6" t="s">
        <v>104</v>
      </c>
      <c r="D2536" s="5">
        <v>44926</v>
      </c>
    </row>
    <row r="2537" spans="2:4">
      <c r="B2537" s="6" t="s">
        <v>103</v>
      </c>
      <c r="C2537" s="6" t="s">
        <v>267</v>
      </c>
      <c r="D2537" s="5">
        <v>44926</v>
      </c>
    </row>
    <row r="2538" spans="2:4">
      <c r="B2538" s="6" t="s">
        <v>136</v>
      </c>
      <c r="C2538" s="6" t="s">
        <v>365</v>
      </c>
      <c r="D2538" s="5">
        <v>44926</v>
      </c>
    </row>
    <row r="2539" spans="2:4">
      <c r="B2539" s="6" t="s">
        <v>193</v>
      </c>
      <c r="C2539" s="6" t="s">
        <v>409</v>
      </c>
      <c r="D2539" s="5">
        <v>44926</v>
      </c>
    </row>
    <row r="2540" spans="2:4">
      <c r="B2540" s="6" t="s">
        <v>259</v>
      </c>
      <c r="C2540" s="6" t="s">
        <v>306</v>
      </c>
      <c r="D2540" s="5">
        <v>44926</v>
      </c>
    </row>
    <row r="2541" spans="2:4">
      <c r="B2541" s="6" t="s">
        <v>294</v>
      </c>
      <c r="C2541" s="6" t="s">
        <v>289</v>
      </c>
      <c r="D2541" s="5">
        <v>44926</v>
      </c>
    </row>
    <row r="2542" spans="2:4">
      <c r="B2542" s="6" t="s">
        <v>208</v>
      </c>
      <c r="C2542" s="6" t="s">
        <v>330</v>
      </c>
      <c r="D2542" s="5">
        <v>44926</v>
      </c>
    </row>
    <row r="2543" spans="2:4">
      <c r="B2543" s="6" t="s">
        <v>357</v>
      </c>
      <c r="C2543" s="6" t="s">
        <v>331</v>
      </c>
      <c r="D2543" s="5">
        <v>44926</v>
      </c>
    </row>
    <row r="2544" spans="2:4">
      <c r="B2544" s="6" t="s">
        <v>172</v>
      </c>
      <c r="C2544" s="6" t="s">
        <v>256</v>
      </c>
      <c r="D2544" s="5">
        <v>44926</v>
      </c>
    </row>
    <row r="2545" spans="2:4">
      <c r="B2545" s="6" t="s">
        <v>118</v>
      </c>
      <c r="C2545" s="6" t="s">
        <v>129</v>
      </c>
      <c r="D2545" s="5">
        <v>44926</v>
      </c>
    </row>
    <row r="2546" spans="2:4">
      <c r="B2546" s="6" t="s">
        <v>146</v>
      </c>
      <c r="C2546" s="6" t="s">
        <v>413</v>
      </c>
      <c r="D2546" s="5">
        <v>44926</v>
      </c>
    </row>
    <row r="2547" spans="2:4">
      <c r="B2547" s="6" t="s">
        <v>327</v>
      </c>
      <c r="C2547" s="6" t="s">
        <v>179</v>
      </c>
      <c r="D2547" s="5">
        <v>44926</v>
      </c>
    </row>
    <row r="2548" spans="2:4">
      <c r="B2548" s="6" t="s">
        <v>354</v>
      </c>
      <c r="C2548" s="6" t="s">
        <v>147</v>
      </c>
      <c r="D2548" s="5">
        <v>44926</v>
      </c>
    </row>
    <row r="2549" spans="2:4">
      <c r="B2549" s="6" t="s">
        <v>418</v>
      </c>
      <c r="C2549" s="6" t="s">
        <v>296</v>
      </c>
      <c r="D2549" s="5">
        <v>44926</v>
      </c>
    </row>
    <row r="2550" spans="2:4">
      <c r="B2550" s="6" t="s">
        <v>326</v>
      </c>
      <c r="C2550" s="6" t="s">
        <v>318</v>
      </c>
      <c r="D2550" s="5">
        <v>44926</v>
      </c>
    </row>
    <row r="2551" spans="2:4">
      <c r="B2551" s="6" t="s">
        <v>198</v>
      </c>
      <c r="C2551" s="6" t="s">
        <v>169</v>
      </c>
      <c r="D2551" s="5">
        <v>44926</v>
      </c>
    </row>
    <row r="2552" spans="2:4">
      <c r="B2552" s="6" t="s">
        <v>378</v>
      </c>
      <c r="C2552" s="6" t="s">
        <v>344</v>
      </c>
      <c r="D2552" s="5">
        <v>44926</v>
      </c>
    </row>
    <row r="2553" spans="2:4">
      <c r="B2553" s="6" t="s">
        <v>270</v>
      </c>
      <c r="C2553" s="6" t="s">
        <v>273</v>
      </c>
      <c r="D2553" s="5">
        <v>44926</v>
      </c>
    </row>
    <row r="2554" spans="2:4">
      <c r="B2554" s="6" t="s">
        <v>367</v>
      </c>
      <c r="C2554" s="6" t="s">
        <v>333</v>
      </c>
      <c r="D2554" s="5">
        <v>44926</v>
      </c>
    </row>
    <row r="2555" spans="2:4">
      <c r="B2555" s="6" t="s">
        <v>316</v>
      </c>
      <c r="C2555" s="6" t="s">
        <v>286</v>
      </c>
      <c r="D2555" s="5">
        <v>44926</v>
      </c>
    </row>
    <row r="2556" spans="2:4">
      <c r="B2556" s="6" t="s">
        <v>385</v>
      </c>
      <c r="C2556" s="6" t="s">
        <v>348</v>
      </c>
      <c r="D2556" s="5">
        <v>44926</v>
      </c>
    </row>
    <row r="2557" spans="2:4">
      <c r="B2557" s="6" t="s">
        <v>151</v>
      </c>
      <c r="C2557" s="6" t="s">
        <v>184</v>
      </c>
      <c r="D2557" s="5">
        <v>44926</v>
      </c>
    </row>
    <row r="2558" spans="2:4">
      <c r="B2558" s="6" t="s">
        <v>321</v>
      </c>
      <c r="C2558" s="6" t="s">
        <v>370</v>
      </c>
      <c r="D2558" s="5">
        <v>44926</v>
      </c>
    </row>
    <row r="2559" spans="2:4">
      <c r="B2559" s="6" t="s">
        <v>101</v>
      </c>
      <c r="C2559" s="6" t="s">
        <v>324</v>
      </c>
      <c r="D2559" s="5">
        <v>44926</v>
      </c>
    </row>
    <row r="2560" spans="2:4">
      <c r="B2560" s="6" t="s">
        <v>412</v>
      </c>
      <c r="C2560" s="6" t="s">
        <v>397</v>
      </c>
      <c r="D2560" s="5">
        <v>44926</v>
      </c>
    </row>
    <row r="2561" spans="2:4">
      <c r="B2561" s="6" t="s">
        <v>343</v>
      </c>
      <c r="C2561" s="6" t="s">
        <v>640</v>
      </c>
      <c r="D2561" s="5">
        <v>44926</v>
      </c>
    </row>
    <row r="2562" spans="2:4">
      <c r="B2562" s="6" t="s">
        <v>163</v>
      </c>
      <c r="C2562" s="6" t="s">
        <v>392</v>
      </c>
      <c r="D2562" s="5">
        <v>44926</v>
      </c>
    </row>
    <row r="2563" spans="2:4">
      <c r="B2563" s="6" t="s">
        <v>352</v>
      </c>
      <c r="C2563" s="6" t="s">
        <v>275</v>
      </c>
      <c r="D2563" s="5">
        <v>44926</v>
      </c>
    </row>
    <row r="2564" spans="2:4">
      <c r="B2564" s="6" t="s">
        <v>135</v>
      </c>
      <c r="C2564" s="6" t="s">
        <v>274</v>
      </c>
      <c r="D2564" s="5">
        <v>44926</v>
      </c>
    </row>
    <row r="2565" spans="2:4">
      <c r="B2565" s="6" t="s">
        <v>93</v>
      </c>
      <c r="C2565" s="6" t="s">
        <v>77</v>
      </c>
      <c r="D2565" s="5">
        <v>44926</v>
      </c>
    </row>
    <row r="2566" spans="2:4">
      <c r="B2566" s="6" t="s">
        <v>242</v>
      </c>
      <c r="C2566" s="6" t="s">
        <v>313</v>
      </c>
      <c r="D2566" s="5">
        <v>44926</v>
      </c>
    </row>
    <row r="2567" spans="2:4">
      <c r="B2567" s="6" t="s">
        <v>195</v>
      </c>
      <c r="C2567" s="6" t="s">
        <v>368</v>
      </c>
      <c r="D2567" s="5">
        <v>44926</v>
      </c>
    </row>
    <row r="2568" spans="2:4">
      <c r="B2568" s="6" t="s">
        <v>376</v>
      </c>
      <c r="C2568" s="6" t="s">
        <v>143</v>
      </c>
      <c r="D2568" s="5">
        <v>44926</v>
      </c>
    </row>
    <row r="2569" spans="2:4">
      <c r="B2569" s="6" t="s">
        <v>350</v>
      </c>
      <c r="C2569" s="6" t="s">
        <v>337</v>
      </c>
      <c r="D2569" s="5">
        <v>44926</v>
      </c>
    </row>
    <row r="2570" spans="2:4">
      <c r="B2570" s="6" t="s">
        <v>386</v>
      </c>
      <c r="C2570" s="6" t="s">
        <v>433</v>
      </c>
      <c r="D2570" s="5">
        <v>44926</v>
      </c>
    </row>
    <row r="2571" spans="2:4">
      <c r="B2571" s="6" t="s">
        <v>152</v>
      </c>
      <c r="C2571" s="6" t="s">
        <v>189</v>
      </c>
      <c r="D2571" s="5">
        <v>44926</v>
      </c>
    </row>
    <row r="2572" spans="2:4">
      <c r="B2572" s="6" t="s">
        <v>345</v>
      </c>
      <c r="C2572" s="6" t="s">
        <v>388</v>
      </c>
      <c r="D2572" s="5">
        <v>44926</v>
      </c>
    </row>
    <row r="2573" spans="2:4">
      <c r="B2573" s="6" t="s">
        <v>383</v>
      </c>
      <c r="C2573" s="6" t="s">
        <v>607</v>
      </c>
      <c r="D2573" s="5">
        <v>44926</v>
      </c>
    </row>
    <row r="2574" spans="2:4">
      <c r="B2574" s="6" t="s">
        <v>287</v>
      </c>
      <c r="C2574" s="6" t="s">
        <v>111</v>
      </c>
      <c r="D2574" s="5">
        <v>44926</v>
      </c>
    </row>
    <row r="2575" spans="2:4">
      <c r="B2575" s="6" t="s">
        <v>338</v>
      </c>
      <c r="C2575" s="6" t="s">
        <v>590</v>
      </c>
      <c r="D2575" s="5">
        <v>44926</v>
      </c>
    </row>
    <row r="2576" spans="2:4">
      <c r="B2576" s="6" t="s">
        <v>206</v>
      </c>
      <c r="C2576" s="6" t="s">
        <v>403</v>
      </c>
      <c r="D2576" s="5">
        <v>44926</v>
      </c>
    </row>
    <row r="2577" spans="2:4">
      <c r="B2577" s="6" t="s">
        <v>190</v>
      </c>
      <c r="C2577" s="6" t="s">
        <v>158</v>
      </c>
      <c r="D2577" s="5">
        <v>44926</v>
      </c>
    </row>
    <row r="2578" spans="2:4">
      <c r="B2578" s="6" t="s">
        <v>391</v>
      </c>
      <c r="C2578" s="6" t="s">
        <v>393</v>
      </c>
      <c r="D2578" s="5">
        <v>44926</v>
      </c>
    </row>
    <row r="2579" spans="2:4">
      <c r="B2579" s="6" t="s">
        <v>255</v>
      </c>
      <c r="C2579" s="6" t="s">
        <v>610</v>
      </c>
      <c r="D2579" s="5">
        <v>44926</v>
      </c>
    </row>
    <row r="2580" spans="2:4">
      <c r="B2580" s="6" t="s">
        <v>250</v>
      </c>
      <c r="C2580" s="6" t="s">
        <v>305</v>
      </c>
      <c r="D2580" s="5">
        <v>44926</v>
      </c>
    </row>
    <row r="2581" spans="2:4">
      <c r="B2581" s="6" t="s">
        <v>329</v>
      </c>
      <c r="C2581" s="6" t="s">
        <v>615</v>
      </c>
      <c r="D2581" s="5">
        <v>44926</v>
      </c>
    </row>
    <row r="2582" spans="2:4">
      <c r="B2582" s="6" t="s">
        <v>309</v>
      </c>
      <c r="C2582" s="6" t="s">
        <v>240</v>
      </c>
      <c r="D2582" s="5">
        <v>44926</v>
      </c>
    </row>
    <row r="2583" spans="2:4">
      <c r="B2583" s="6" t="s">
        <v>603</v>
      </c>
      <c r="C2583" s="6" t="s">
        <v>304</v>
      </c>
      <c r="D2583" s="5">
        <v>44926</v>
      </c>
    </row>
    <row r="2584" spans="2:4">
      <c r="B2584" s="6" t="s">
        <v>132</v>
      </c>
      <c r="C2584" s="6" t="s">
        <v>165</v>
      </c>
      <c r="D2584" s="5">
        <v>44926</v>
      </c>
    </row>
    <row r="2585" spans="2:4">
      <c r="B2585" s="6" t="s">
        <v>94</v>
      </c>
      <c r="C2585" s="6" t="s">
        <v>342</v>
      </c>
      <c r="D2585" s="5">
        <v>44926</v>
      </c>
    </row>
    <row r="2586" spans="2:4">
      <c r="B2586" s="6" t="s">
        <v>150</v>
      </c>
      <c r="C2586" s="6" t="s">
        <v>194</v>
      </c>
      <c r="D2586" s="5">
        <v>44926</v>
      </c>
    </row>
    <row r="2587" spans="2:4">
      <c r="B2587" s="6" t="s">
        <v>389</v>
      </c>
      <c r="C2587" s="6" t="s">
        <v>402</v>
      </c>
      <c r="D2587" s="5">
        <v>44926</v>
      </c>
    </row>
    <row r="2588" spans="2:4">
      <c r="B2588" s="6" t="s">
        <v>588</v>
      </c>
      <c r="C2588" s="6" t="s">
        <v>295</v>
      </c>
      <c r="D2588" s="5">
        <v>44926</v>
      </c>
    </row>
    <row r="2589" spans="2:4">
      <c r="B2589" s="6" t="s">
        <v>164</v>
      </c>
      <c r="C2589" s="6" t="s">
        <v>72</v>
      </c>
      <c r="D2589" s="5">
        <v>44926</v>
      </c>
    </row>
    <row r="2590" spans="2:4">
      <c r="B2590" s="6" t="s">
        <v>375</v>
      </c>
      <c r="C2590" s="6" t="s">
        <v>415</v>
      </c>
      <c r="D2590" s="5">
        <v>44926</v>
      </c>
    </row>
    <row r="2591" spans="2:4">
      <c r="B2591" s="6" t="s">
        <v>424</v>
      </c>
      <c r="C2591" s="6" t="s">
        <v>159</v>
      </c>
      <c r="D2591" s="5">
        <v>44926</v>
      </c>
    </row>
    <row r="2592" spans="2:4">
      <c r="B2592" s="6" t="s">
        <v>420</v>
      </c>
      <c r="C2592" s="6" t="s">
        <v>154</v>
      </c>
      <c r="D2592" s="5">
        <v>44926</v>
      </c>
    </row>
    <row r="2593" spans="2:4">
      <c r="B2593" s="6" t="s">
        <v>160</v>
      </c>
      <c r="C2593" s="6" t="s">
        <v>398</v>
      </c>
      <c r="D2593" s="5">
        <v>44926</v>
      </c>
    </row>
    <row r="2594" spans="2:4">
      <c r="B2594" s="6" t="s">
        <v>404</v>
      </c>
      <c r="C2594" s="6" t="s">
        <v>166</v>
      </c>
      <c r="D2594" s="5">
        <v>44926</v>
      </c>
    </row>
    <row r="2595" spans="2:4">
      <c r="B2595" s="6" t="s">
        <v>423</v>
      </c>
      <c r="C2595" s="6" t="s">
        <v>236</v>
      </c>
      <c r="D2595" s="5">
        <v>44926</v>
      </c>
    </row>
    <row r="2596" spans="2:4">
      <c r="B2596" s="6" t="s">
        <v>69</v>
      </c>
      <c r="C2596" s="6" t="s">
        <v>76</v>
      </c>
      <c r="D2596" s="5">
        <v>44926</v>
      </c>
    </row>
    <row r="2597" spans="2:4">
      <c r="B2597" s="6" t="s">
        <v>153</v>
      </c>
      <c r="C2597" s="6" t="s">
        <v>426</v>
      </c>
      <c r="D2597" s="5">
        <v>44926</v>
      </c>
    </row>
    <row r="2598" spans="2:4">
      <c r="B2598" s="6" t="s">
        <v>157</v>
      </c>
      <c r="C2598" s="6" t="s">
        <v>161</v>
      </c>
      <c r="D2598" s="5">
        <v>44926</v>
      </c>
    </row>
    <row r="2599" spans="2:4">
      <c r="B2599" s="6" t="s">
        <v>621</v>
      </c>
      <c r="C2599" s="6" t="s">
        <v>599</v>
      </c>
      <c r="D2599" s="5">
        <v>44926</v>
      </c>
    </row>
    <row r="2600" spans="2:4">
      <c r="B2600" s="6" t="s">
        <v>428</v>
      </c>
      <c r="C2600" s="6" t="s">
        <v>207</v>
      </c>
      <c r="D2600" s="5">
        <v>44926</v>
      </c>
    </row>
    <row r="2601" spans="2:4">
      <c r="B2601" s="6" t="s">
        <v>586</v>
      </c>
      <c r="C2601" s="6" t="s">
        <v>167</v>
      </c>
      <c r="D2601" s="5">
        <v>44926</v>
      </c>
    </row>
    <row r="2602" spans="2:4">
      <c r="B2602" s="6" t="s">
        <v>301</v>
      </c>
      <c r="C2602" s="6" t="s">
        <v>205</v>
      </c>
      <c r="D2602" s="5">
        <v>44927</v>
      </c>
    </row>
    <row r="2603" spans="2:4">
      <c r="B2603" s="6" t="s">
        <v>204</v>
      </c>
      <c r="C2603" s="6" t="s">
        <v>117</v>
      </c>
      <c r="D2603" s="5">
        <v>44927</v>
      </c>
    </row>
    <row r="2604" spans="2:4">
      <c r="B2604" s="6" t="s">
        <v>211</v>
      </c>
      <c r="C2604" s="6" t="s">
        <v>233</v>
      </c>
      <c r="D2604" s="5">
        <v>44927</v>
      </c>
    </row>
    <row r="2605" spans="2:4">
      <c r="B2605" s="6" t="s">
        <v>213</v>
      </c>
      <c r="C2605" s="6" t="s">
        <v>312</v>
      </c>
      <c r="D2605" s="5">
        <v>44927</v>
      </c>
    </row>
    <row r="2606" spans="2:4">
      <c r="B2606" s="6" t="s">
        <v>351</v>
      </c>
      <c r="C2606" s="6" t="s">
        <v>125</v>
      </c>
      <c r="D2606" s="5">
        <v>44927</v>
      </c>
    </row>
    <row r="2607" spans="2:4">
      <c r="B2607" s="6" t="s">
        <v>112</v>
      </c>
      <c r="C2607" s="6" t="s">
        <v>130</v>
      </c>
      <c r="D2607" s="5">
        <v>44927</v>
      </c>
    </row>
    <row r="2608" spans="2:4">
      <c r="B2608" s="6" t="s">
        <v>155</v>
      </c>
      <c r="C2608" s="6" t="s">
        <v>40</v>
      </c>
      <c r="D2608" s="5">
        <v>44927</v>
      </c>
    </row>
    <row r="2609" spans="2:4">
      <c r="B2609" s="6" t="s">
        <v>145</v>
      </c>
      <c r="C2609" s="6" t="s">
        <v>187</v>
      </c>
      <c r="D2609" s="5">
        <v>44927</v>
      </c>
    </row>
    <row r="2610" spans="2:4">
      <c r="B2610" s="6" t="s">
        <v>341</v>
      </c>
      <c r="C2610" s="6" t="s">
        <v>95</v>
      </c>
      <c r="D2610" s="5">
        <v>44927</v>
      </c>
    </row>
    <row r="2611" spans="2:4">
      <c r="B2611" s="6" t="s">
        <v>78</v>
      </c>
      <c r="C2611" s="6" t="s">
        <v>74</v>
      </c>
      <c r="D2611" s="5">
        <v>44927</v>
      </c>
    </row>
    <row r="2612" spans="2:4">
      <c r="B2612" s="6" t="s">
        <v>139</v>
      </c>
      <c r="C2612" s="6" t="s">
        <v>325</v>
      </c>
      <c r="D2612" s="5">
        <v>44927</v>
      </c>
    </row>
    <row r="2613" spans="2:4">
      <c r="B2613" s="6" t="s">
        <v>320</v>
      </c>
      <c r="C2613" s="6" t="s">
        <v>363</v>
      </c>
      <c r="D2613" s="5">
        <v>44927</v>
      </c>
    </row>
    <row r="2614" spans="2:4">
      <c r="B2614" s="6" t="s">
        <v>230</v>
      </c>
      <c r="C2614" s="6" t="s">
        <v>216</v>
      </c>
      <c r="D2614" s="5">
        <v>44927</v>
      </c>
    </row>
    <row r="2615" spans="2:4">
      <c r="B2615" s="6" t="s">
        <v>285</v>
      </c>
      <c r="C2615" s="6" t="s">
        <v>244</v>
      </c>
      <c r="D2615" s="5">
        <v>44927</v>
      </c>
    </row>
    <row r="2616" spans="2:4">
      <c r="B2616" s="6" t="s">
        <v>59</v>
      </c>
      <c r="C2616" s="6" t="s">
        <v>56</v>
      </c>
      <c r="D2616" s="5">
        <v>44927</v>
      </c>
    </row>
    <row r="2617" spans="2:4">
      <c r="B2617" s="6" t="s">
        <v>221</v>
      </c>
      <c r="C2617" s="6" t="s">
        <v>144</v>
      </c>
      <c r="D2617" s="5">
        <v>44927</v>
      </c>
    </row>
    <row r="2618" spans="2:4">
      <c r="B2618" s="6" t="s">
        <v>241</v>
      </c>
      <c r="C2618" s="6" t="s">
        <v>186</v>
      </c>
      <c r="D2618" s="5">
        <v>44927</v>
      </c>
    </row>
    <row r="2619" spans="2:4">
      <c r="B2619" s="6" t="s">
        <v>66</v>
      </c>
      <c r="C2619" s="6" t="s">
        <v>61</v>
      </c>
      <c r="D2619" s="5">
        <v>44927</v>
      </c>
    </row>
    <row r="2620" spans="2:4">
      <c r="B2620" s="6" t="s">
        <v>41</v>
      </c>
      <c r="C2620" s="6" t="s">
        <v>42</v>
      </c>
      <c r="D2620" s="5">
        <v>44927</v>
      </c>
    </row>
    <row r="2621" spans="2:4">
      <c r="B2621" s="6" t="s">
        <v>71</v>
      </c>
      <c r="C2621" s="6" t="s">
        <v>75</v>
      </c>
      <c r="D2621" s="5">
        <v>44927</v>
      </c>
    </row>
    <row r="2622" spans="2:4">
      <c r="B2622" s="6" t="s">
        <v>68</v>
      </c>
      <c r="C2622" s="6" t="s">
        <v>57</v>
      </c>
      <c r="D2622" s="5">
        <v>44927</v>
      </c>
    </row>
    <row r="2623" spans="2:4">
      <c r="B2623" s="6" t="s">
        <v>356</v>
      </c>
      <c r="C2623" s="6" t="s">
        <v>255</v>
      </c>
      <c r="D2623" s="5">
        <v>44928</v>
      </c>
    </row>
    <row r="2624" spans="2:4">
      <c r="B2624" s="6" t="s">
        <v>58</v>
      </c>
      <c r="C2624" s="6" t="s">
        <v>64</v>
      </c>
      <c r="D2624" s="5">
        <v>44928</v>
      </c>
    </row>
    <row r="2625" spans="2:4">
      <c r="B2625" s="6" t="s">
        <v>220</v>
      </c>
      <c r="C2625" s="6" t="s">
        <v>131</v>
      </c>
      <c r="D2625" s="5">
        <v>44928</v>
      </c>
    </row>
    <row r="2626" spans="2:4">
      <c r="B2626" s="6" t="s">
        <v>113</v>
      </c>
      <c r="C2626" s="6" t="s">
        <v>278</v>
      </c>
      <c r="D2626" s="5">
        <v>44928</v>
      </c>
    </row>
    <row r="2627" spans="2:4">
      <c r="B2627" s="6" t="s">
        <v>360</v>
      </c>
      <c r="C2627" s="6" t="s">
        <v>580</v>
      </c>
      <c r="D2627" s="5">
        <v>44928</v>
      </c>
    </row>
    <row r="2628" spans="2:4">
      <c r="B2628" s="6" t="s">
        <v>172</v>
      </c>
      <c r="C2628" s="6" t="s">
        <v>266</v>
      </c>
      <c r="D2628" s="5">
        <v>44928</v>
      </c>
    </row>
    <row r="2629" spans="2:4">
      <c r="B2629" s="6" t="s">
        <v>120</v>
      </c>
      <c r="C2629" s="6" t="s">
        <v>353</v>
      </c>
      <c r="D2629" s="5">
        <v>44928</v>
      </c>
    </row>
    <row r="2630" spans="2:4">
      <c r="B2630" s="6" t="s">
        <v>173</v>
      </c>
      <c r="C2630" s="6" t="s">
        <v>248</v>
      </c>
      <c r="D2630" s="5">
        <v>44928</v>
      </c>
    </row>
    <row r="2631" spans="2:4">
      <c r="B2631" s="6" t="s">
        <v>322</v>
      </c>
      <c r="C2631" s="6" t="s">
        <v>32</v>
      </c>
      <c r="D2631" s="5">
        <v>44928</v>
      </c>
    </row>
    <row r="2632" spans="2:4">
      <c r="B2632" s="6" t="s">
        <v>335</v>
      </c>
      <c r="C2632" s="6" t="s">
        <v>239</v>
      </c>
      <c r="D2632" s="5">
        <v>44928</v>
      </c>
    </row>
    <row r="2633" spans="2:4">
      <c r="B2633" s="6" t="s">
        <v>114</v>
      </c>
      <c r="C2633" s="6" t="s">
        <v>176</v>
      </c>
      <c r="D2633" s="5">
        <v>44928</v>
      </c>
    </row>
    <row r="2634" spans="2:4">
      <c r="B2634" s="6" t="s">
        <v>137</v>
      </c>
      <c r="C2634" s="6" t="s">
        <v>148</v>
      </c>
      <c r="D2634" s="5">
        <v>44928</v>
      </c>
    </row>
    <row r="2635" spans="2:4">
      <c r="B2635" s="6" t="s">
        <v>107</v>
      </c>
      <c r="C2635" s="6" t="s">
        <v>419</v>
      </c>
      <c r="D2635" s="5">
        <v>44928</v>
      </c>
    </row>
    <row r="2636" spans="2:4">
      <c r="B2636" s="6" t="s">
        <v>201</v>
      </c>
      <c r="C2636" s="6" t="s">
        <v>128</v>
      </c>
      <c r="D2636" s="5">
        <v>44928</v>
      </c>
    </row>
    <row r="2637" spans="2:4">
      <c r="B2637" s="6" t="s">
        <v>170</v>
      </c>
      <c r="C2637" s="6" t="s">
        <v>232</v>
      </c>
      <c r="D2637" s="5">
        <v>44928</v>
      </c>
    </row>
    <row r="2638" spans="2:4">
      <c r="B2638" s="6" t="s">
        <v>142</v>
      </c>
      <c r="C2638" s="6" t="s">
        <v>354</v>
      </c>
      <c r="D2638" s="5">
        <v>44928</v>
      </c>
    </row>
    <row r="2639" spans="2:4">
      <c r="B2639" s="6" t="s">
        <v>308</v>
      </c>
      <c r="C2639" s="6" t="s">
        <v>332</v>
      </c>
      <c r="D2639" s="5">
        <v>44928</v>
      </c>
    </row>
    <row r="2640" spans="2:4">
      <c r="B2640" s="6" t="s">
        <v>156</v>
      </c>
      <c r="C2640" s="6" t="s">
        <v>364</v>
      </c>
      <c r="D2640" s="5">
        <v>44928</v>
      </c>
    </row>
    <row r="2641" spans="2:4">
      <c r="B2641" s="6" t="s">
        <v>399</v>
      </c>
      <c r="C2641" s="6" t="s">
        <v>382</v>
      </c>
      <c r="D2641" s="5">
        <v>44928</v>
      </c>
    </row>
    <row r="2642" spans="2:4">
      <c r="B2642" s="6" t="s">
        <v>314</v>
      </c>
      <c r="C2642" s="6" t="s">
        <v>303</v>
      </c>
      <c r="D2642" s="5">
        <v>44928</v>
      </c>
    </row>
    <row r="2643" spans="2:4">
      <c r="B2643" s="6" t="s">
        <v>355</v>
      </c>
      <c r="C2643" s="6" t="s">
        <v>292</v>
      </c>
      <c r="D2643" s="5">
        <v>44928</v>
      </c>
    </row>
    <row r="2644" spans="2:4">
      <c r="B2644" s="6" t="s">
        <v>249</v>
      </c>
      <c r="C2644" s="6" t="s">
        <v>181</v>
      </c>
      <c r="D2644" s="5">
        <v>44928</v>
      </c>
    </row>
    <row r="2645" spans="2:4">
      <c r="B2645" s="6" t="s">
        <v>203</v>
      </c>
      <c r="C2645" s="6" t="s">
        <v>127</v>
      </c>
      <c r="D2645" s="5">
        <v>44929</v>
      </c>
    </row>
    <row r="2646" spans="2:4">
      <c r="B2646" s="6" t="s">
        <v>302</v>
      </c>
      <c r="C2646" s="6" t="s">
        <v>37</v>
      </c>
      <c r="D2646" s="5">
        <v>44929</v>
      </c>
    </row>
    <row r="2647" spans="2:4">
      <c r="B2647" s="6" t="s">
        <v>86</v>
      </c>
      <c r="C2647" s="6" t="s">
        <v>85</v>
      </c>
      <c r="D2647" s="5">
        <v>44929</v>
      </c>
    </row>
    <row r="2648" spans="2:4">
      <c r="B2648" s="6" t="s">
        <v>277</v>
      </c>
      <c r="C2648" s="6" t="s">
        <v>541</v>
      </c>
      <c r="D2648" s="5">
        <v>44929</v>
      </c>
    </row>
    <row r="2649" spans="2:4">
      <c r="B2649" s="6" t="s">
        <v>54</v>
      </c>
      <c r="C2649" s="6" t="s">
        <v>46</v>
      </c>
      <c r="D2649" s="5">
        <v>44929</v>
      </c>
    </row>
    <row r="2650" spans="2:4">
      <c r="B2650" s="6" t="s">
        <v>43</v>
      </c>
      <c r="C2650" s="6" t="s">
        <v>47</v>
      </c>
      <c r="D2650" s="5">
        <v>44929</v>
      </c>
    </row>
    <row r="2651" spans="2:4">
      <c r="B2651" s="6" t="s">
        <v>55</v>
      </c>
      <c r="C2651" s="6" t="s">
        <v>67</v>
      </c>
      <c r="D2651" s="5">
        <v>44929</v>
      </c>
    </row>
    <row r="2652" spans="2:4">
      <c r="B2652" s="6" t="s">
        <v>185</v>
      </c>
      <c r="C2652" s="6" t="s">
        <v>90</v>
      </c>
      <c r="D2652" s="5">
        <v>44929</v>
      </c>
    </row>
    <row r="2653" spans="2:4">
      <c r="B2653" s="6" t="s">
        <v>247</v>
      </c>
      <c r="C2653" s="6" t="s">
        <v>288</v>
      </c>
      <c r="D2653" s="5">
        <v>44929</v>
      </c>
    </row>
    <row r="2654" spans="2:4">
      <c r="B2654" s="6" t="s">
        <v>140</v>
      </c>
      <c r="C2654" s="6" t="s">
        <v>109</v>
      </c>
      <c r="D2654" s="5">
        <v>44929</v>
      </c>
    </row>
    <row r="2655" spans="2:4">
      <c r="B2655" s="6" t="s">
        <v>180</v>
      </c>
      <c r="C2655" s="6" t="s">
        <v>414</v>
      </c>
      <c r="D2655" s="5">
        <v>44929</v>
      </c>
    </row>
    <row r="2656" spans="2:4">
      <c r="B2656" s="6" t="s">
        <v>105</v>
      </c>
      <c r="C2656" s="6" t="s">
        <v>400</v>
      </c>
      <c r="D2656" s="5">
        <v>44929</v>
      </c>
    </row>
    <row r="2657" spans="2:4">
      <c r="B2657" s="6" t="s">
        <v>362</v>
      </c>
      <c r="C2657" s="6" t="s">
        <v>209</v>
      </c>
      <c r="D2657" s="5">
        <v>44929</v>
      </c>
    </row>
    <row r="2658" spans="2:4">
      <c r="B2658" s="6" t="s">
        <v>80</v>
      </c>
      <c r="C2658" s="6" t="s">
        <v>81</v>
      </c>
      <c r="D2658" s="5">
        <v>44929</v>
      </c>
    </row>
    <row r="2659" spans="2:4">
      <c r="B2659" s="6" t="s">
        <v>38</v>
      </c>
      <c r="C2659" s="6" t="s">
        <v>36</v>
      </c>
      <c r="D2659" s="5">
        <v>44929</v>
      </c>
    </row>
    <row r="2660" spans="2:4">
      <c r="B2660" s="6" t="s">
        <v>27</v>
      </c>
      <c r="C2660" s="6" t="s">
        <v>26</v>
      </c>
      <c r="D2660" s="5">
        <v>44929</v>
      </c>
    </row>
    <row r="2661" spans="2:4">
      <c r="B2661" s="6" t="s">
        <v>30</v>
      </c>
      <c r="C2661" s="6" t="s">
        <v>33</v>
      </c>
      <c r="D2661" s="5">
        <v>44929</v>
      </c>
    </row>
    <row r="2662" spans="2:4">
      <c r="B2662" s="6" t="s">
        <v>49</v>
      </c>
      <c r="C2662" s="6" t="s">
        <v>188</v>
      </c>
      <c r="D2662" s="5">
        <v>44929</v>
      </c>
    </row>
    <row r="2663" spans="2:4">
      <c r="B2663" s="6" t="s">
        <v>82</v>
      </c>
      <c r="C2663" s="6" t="s">
        <v>88</v>
      </c>
      <c r="D2663" s="5">
        <v>44929</v>
      </c>
    </row>
    <row r="2664" spans="2:4">
      <c r="B2664" s="6" t="s">
        <v>65</v>
      </c>
      <c r="C2664" s="6" t="s">
        <v>63</v>
      </c>
      <c r="D2664" s="5">
        <v>44929</v>
      </c>
    </row>
    <row r="2665" spans="2:4">
      <c r="B2665" s="6" t="s">
        <v>198</v>
      </c>
      <c r="C2665" s="6" t="s">
        <v>168</v>
      </c>
      <c r="D2665" s="5">
        <v>44929</v>
      </c>
    </row>
    <row r="2666" spans="2:4">
      <c r="B2666" s="6" t="s">
        <v>162</v>
      </c>
      <c r="C2666" s="6" t="s">
        <v>433</v>
      </c>
      <c r="D2666" s="5">
        <v>44929</v>
      </c>
    </row>
    <row r="2667" spans="2:4">
      <c r="B2667" s="6" t="s">
        <v>394</v>
      </c>
      <c r="C2667" s="6" t="s">
        <v>189</v>
      </c>
      <c r="D2667" s="5">
        <v>44929</v>
      </c>
    </row>
    <row r="2668" spans="2:4">
      <c r="B2668" s="6" t="s">
        <v>214</v>
      </c>
      <c r="C2668" s="6" t="s">
        <v>334</v>
      </c>
      <c r="D2668" s="5">
        <v>44930</v>
      </c>
    </row>
    <row r="2669" spans="2:4">
      <c r="B2669" s="6" t="s">
        <v>314</v>
      </c>
      <c r="C2669" s="6" t="s">
        <v>332</v>
      </c>
      <c r="D2669" s="5">
        <v>44930</v>
      </c>
    </row>
    <row r="2670" spans="2:4">
      <c r="B2670" s="6" t="s">
        <v>312</v>
      </c>
      <c r="C2670" s="6" t="s">
        <v>119</v>
      </c>
      <c r="D2670" s="5">
        <v>44930</v>
      </c>
    </row>
    <row r="2671" spans="2:4">
      <c r="B2671" s="6" t="s">
        <v>268</v>
      </c>
      <c r="C2671" s="6" t="s">
        <v>432</v>
      </c>
      <c r="D2671" s="5">
        <v>44930</v>
      </c>
    </row>
    <row r="2672" spans="2:4">
      <c r="B2672" s="6" t="s">
        <v>238</v>
      </c>
      <c r="C2672" s="6" t="s">
        <v>548</v>
      </c>
      <c r="D2672" s="5">
        <v>44930</v>
      </c>
    </row>
    <row r="2673" spans="2:4">
      <c r="B2673" s="6" t="s">
        <v>89</v>
      </c>
      <c r="C2673" s="6" t="s">
        <v>83</v>
      </c>
      <c r="D2673" s="5">
        <v>44930</v>
      </c>
    </row>
    <row r="2674" spans="2:4">
      <c r="B2674" s="6" t="s">
        <v>41</v>
      </c>
      <c r="C2674" s="6" t="s">
        <v>35</v>
      </c>
      <c r="D2674" s="5">
        <v>44930</v>
      </c>
    </row>
    <row r="2675" spans="2:4">
      <c r="B2675" s="6" t="s">
        <v>149</v>
      </c>
      <c r="C2675" s="6" t="s">
        <v>44</v>
      </c>
      <c r="D2675" s="5">
        <v>44930</v>
      </c>
    </row>
    <row r="2676" spans="2:4">
      <c r="B2676" s="6" t="s">
        <v>59</v>
      </c>
      <c r="C2676" s="6" t="s">
        <v>66</v>
      </c>
      <c r="D2676" s="5">
        <v>44930</v>
      </c>
    </row>
    <row r="2677" spans="2:4">
      <c r="B2677" s="6" t="s">
        <v>29</v>
      </c>
      <c r="C2677" s="6" t="s">
        <v>31</v>
      </c>
      <c r="D2677" s="5">
        <v>44930</v>
      </c>
    </row>
    <row r="2678" spans="2:4">
      <c r="B2678" s="6" t="s">
        <v>221</v>
      </c>
      <c r="C2678" s="6" t="s">
        <v>95</v>
      </c>
      <c r="D2678" s="5">
        <v>44930</v>
      </c>
    </row>
    <row r="2679" spans="2:4">
      <c r="B2679" s="6" t="s">
        <v>231</v>
      </c>
      <c r="C2679" s="6" t="s">
        <v>145</v>
      </c>
      <c r="D2679" s="5">
        <v>44930</v>
      </c>
    </row>
    <row r="2680" spans="2:4">
      <c r="B2680" s="6" t="s">
        <v>275</v>
      </c>
      <c r="C2680" s="6" t="s">
        <v>411</v>
      </c>
      <c r="D2680" s="5">
        <v>44930</v>
      </c>
    </row>
    <row r="2681" spans="2:4">
      <c r="B2681" s="6" t="s">
        <v>139</v>
      </c>
      <c r="C2681" s="6" t="s">
        <v>318</v>
      </c>
      <c r="D2681" s="5">
        <v>44930</v>
      </c>
    </row>
    <row r="2682" spans="2:4">
      <c r="B2682" s="6" t="s">
        <v>50</v>
      </c>
      <c r="C2682" s="6" t="s">
        <v>48</v>
      </c>
      <c r="D2682" s="5">
        <v>44930</v>
      </c>
    </row>
    <row r="2683" spans="2:4">
      <c r="B2683" s="6" t="s">
        <v>310</v>
      </c>
      <c r="C2683" s="6" t="s">
        <v>430</v>
      </c>
      <c r="D2683" s="5">
        <v>44930</v>
      </c>
    </row>
    <row r="2684" spans="2:4">
      <c r="B2684" s="6" t="s">
        <v>79</v>
      </c>
      <c r="C2684" s="6" t="s">
        <v>91</v>
      </c>
      <c r="D2684" s="5">
        <v>44930</v>
      </c>
    </row>
    <row r="2685" spans="2:4">
      <c r="B2685" s="6" t="s">
        <v>200</v>
      </c>
      <c r="C2685" s="6" t="s">
        <v>337</v>
      </c>
      <c r="D2685" s="5">
        <v>44930</v>
      </c>
    </row>
    <row r="2686" spans="2:4">
      <c r="B2686" s="6" t="s">
        <v>284</v>
      </c>
      <c r="C2686" s="6" t="s">
        <v>121</v>
      </c>
      <c r="D2686" s="5">
        <v>44930</v>
      </c>
    </row>
    <row r="2687" spans="2:4">
      <c r="B2687" s="6" t="s">
        <v>199</v>
      </c>
      <c r="C2687" s="6" t="s">
        <v>350</v>
      </c>
      <c r="D2687" s="5">
        <v>44930</v>
      </c>
    </row>
    <row r="2688" spans="2:4">
      <c r="B2688" s="6" t="s">
        <v>252</v>
      </c>
      <c r="C2688" s="6" t="s">
        <v>281</v>
      </c>
      <c r="D2688" s="5">
        <v>44930</v>
      </c>
    </row>
    <row r="2689" spans="2:4">
      <c r="B2689" s="6" t="s">
        <v>124</v>
      </c>
      <c r="C2689" s="6" t="s">
        <v>349</v>
      </c>
      <c r="D2689" s="5">
        <v>44930</v>
      </c>
    </row>
    <row r="2690" spans="2:4">
      <c r="B2690" s="6" t="s">
        <v>202</v>
      </c>
      <c r="C2690" s="6" t="s">
        <v>273</v>
      </c>
      <c r="D2690" s="5">
        <v>44930</v>
      </c>
    </row>
    <row r="2691" spans="2:4">
      <c r="B2691" s="6" t="s">
        <v>191</v>
      </c>
      <c r="C2691" s="6" t="s">
        <v>192</v>
      </c>
      <c r="D2691" s="5">
        <v>44930</v>
      </c>
    </row>
    <row r="2692" spans="2:4">
      <c r="B2692" s="6" t="s">
        <v>110</v>
      </c>
      <c r="C2692" s="6" t="s">
        <v>297</v>
      </c>
      <c r="D2692" s="5">
        <v>44930</v>
      </c>
    </row>
    <row r="2693" spans="2:4">
      <c r="B2693" s="6" t="s">
        <v>270</v>
      </c>
      <c r="C2693" s="6" t="s">
        <v>395</v>
      </c>
      <c r="D2693" s="5">
        <v>44930</v>
      </c>
    </row>
    <row r="2694" spans="2:4">
      <c r="B2694" s="6" t="s">
        <v>298</v>
      </c>
      <c r="C2694" s="6" t="s">
        <v>425</v>
      </c>
      <c r="D2694" s="5">
        <v>44930</v>
      </c>
    </row>
    <row r="2695" spans="2:4">
      <c r="B2695" s="6" t="s">
        <v>171</v>
      </c>
      <c r="C2695" s="6" t="s">
        <v>103</v>
      </c>
      <c r="D2695" s="5">
        <v>44930</v>
      </c>
    </row>
    <row r="2696" spans="2:4">
      <c r="B2696" s="6" t="s">
        <v>436</v>
      </c>
      <c r="C2696" s="6" t="s">
        <v>287</v>
      </c>
      <c r="D2696" s="5">
        <v>44930</v>
      </c>
    </row>
    <row r="2697" spans="2:4">
      <c r="B2697" s="6" t="s">
        <v>267</v>
      </c>
      <c r="C2697" s="6" t="s">
        <v>104</v>
      </c>
      <c r="D2697" s="5">
        <v>44930</v>
      </c>
    </row>
    <row r="2698" spans="2:4">
      <c r="B2698" s="6" t="s">
        <v>111</v>
      </c>
      <c r="C2698" s="6" t="s">
        <v>282</v>
      </c>
      <c r="D2698" s="5">
        <v>44930</v>
      </c>
    </row>
    <row r="2699" spans="2:4">
      <c r="B2699" s="6" t="s">
        <v>129</v>
      </c>
      <c r="C2699" s="6" t="s">
        <v>327</v>
      </c>
      <c r="D2699" s="5">
        <v>44930</v>
      </c>
    </row>
    <row r="2700" spans="2:4">
      <c r="B2700" s="6" t="s">
        <v>300</v>
      </c>
      <c r="C2700" s="6" t="s">
        <v>133</v>
      </c>
      <c r="D2700" s="5">
        <v>44930</v>
      </c>
    </row>
    <row r="2701" spans="2:4">
      <c r="B2701" s="6" t="s">
        <v>290</v>
      </c>
      <c r="C2701" s="6" t="s">
        <v>375</v>
      </c>
      <c r="D2701" s="5">
        <v>44930</v>
      </c>
    </row>
    <row r="2702" spans="2:4">
      <c r="B2702" s="6" t="s">
        <v>102</v>
      </c>
      <c r="C2702" s="6" t="s">
        <v>261</v>
      </c>
      <c r="D2702" s="5">
        <v>44930</v>
      </c>
    </row>
    <row r="2703" spans="2:4">
      <c r="B2703" s="6" t="s">
        <v>308</v>
      </c>
      <c r="C2703" s="6" t="s">
        <v>303</v>
      </c>
      <c r="D2703" s="5">
        <v>44930</v>
      </c>
    </row>
    <row r="2704" spans="2:4">
      <c r="B2704" s="6" t="s">
        <v>249</v>
      </c>
      <c r="C2704" s="6" t="s">
        <v>382</v>
      </c>
      <c r="D2704" s="5">
        <v>44930</v>
      </c>
    </row>
    <row r="2705" spans="2:4">
      <c r="B2705" s="6" t="s">
        <v>326</v>
      </c>
      <c r="C2705" s="6" t="s">
        <v>325</v>
      </c>
      <c r="D2705" s="5">
        <v>44930</v>
      </c>
    </row>
    <row r="2706" spans="2:4">
      <c r="B2706" s="6" t="s">
        <v>320</v>
      </c>
      <c r="C2706" s="6" t="s">
        <v>213</v>
      </c>
      <c r="D2706" s="5">
        <v>44930</v>
      </c>
    </row>
    <row r="2707" spans="2:4">
      <c r="B2707" s="6" t="s">
        <v>241</v>
      </c>
      <c r="C2707" s="6" t="s">
        <v>363</v>
      </c>
      <c r="D2707" s="5">
        <v>44930</v>
      </c>
    </row>
    <row r="2708" spans="2:4">
      <c r="B2708" s="6" t="s">
        <v>280</v>
      </c>
      <c r="C2708" s="6" t="s">
        <v>186</v>
      </c>
      <c r="D2708" s="5">
        <v>44930</v>
      </c>
    </row>
    <row r="2709" spans="2:4">
      <c r="B2709" s="6" t="s">
        <v>84</v>
      </c>
      <c r="C2709" s="6" t="s">
        <v>87</v>
      </c>
      <c r="D2709" s="5">
        <v>44930</v>
      </c>
    </row>
    <row r="2710" spans="2:4">
      <c r="B2710" s="6" t="s">
        <v>399</v>
      </c>
      <c r="C2710" s="6" t="s">
        <v>181</v>
      </c>
      <c r="D2710" s="5">
        <v>44930</v>
      </c>
    </row>
    <row r="2711" spans="2:4">
      <c r="B2711" s="6" t="s">
        <v>40</v>
      </c>
      <c r="C2711" s="6" t="s">
        <v>245</v>
      </c>
      <c r="D2711" s="5">
        <v>44930</v>
      </c>
    </row>
    <row r="2712" spans="2:4">
      <c r="B2712" s="6" t="s">
        <v>251</v>
      </c>
      <c r="C2712" s="6" t="s">
        <v>53</v>
      </c>
      <c r="D2712" s="5">
        <v>44930</v>
      </c>
    </row>
    <row r="2713" spans="2:4">
      <c r="B2713" s="6" t="s">
        <v>28</v>
      </c>
      <c r="C2713" s="6" t="s">
        <v>34</v>
      </c>
      <c r="D2713" s="5">
        <v>44930</v>
      </c>
    </row>
    <row r="2714" spans="2:4">
      <c r="B2714" s="6" t="s">
        <v>68</v>
      </c>
      <c r="C2714" s="6" t="s">
        <v>60</v>
      </c>
      <c r="D2714" s="5">
        <v>44930</v>
      </c>
    </row>
    <row r="2715" spans="2:4">
      <c r="B2715" s="6" t="s">
        <v>52</v>
      </c>
      <c r="C2715" s="6" t="s">
        <v>51</v>
      </c>
      <c r="D2715" s="5">
        <v>44930</v>
      </c>
    </row>
    <row r="2716" spans="2:4">
      <c r="B2716" s="6" t="s">
        <v>42</v>
      </c>
      <c r="C2716" s="6" t="s">
        <v>155</v>
      </c>
      <c r="D2716" s="5">
        <v>44930</v>
      </c>
    </row>
    <row r="2717" spans="2:4">
      <c r="B2717" s="6" t="s">
        <v>169</v>
      </c>
      <c r="C2717" s="6" t="s">
        <v>386</v>
      </c>
      <c r="D2717" s="5">
        <v>44930</v>
      </c>
    </row>
    <row r="2718" spans="2:4">
      <c r="B2718" s="6" t="s">
        <v>131</v>
      </c>
      <c r="C2718" s="6" t="s">
        <v>360</v>
      </c>
      <c r="D2718" s="5">
        <v>44931</v>
      </c>
    </row>
    <row r="2719" spans="2:4">
      <c r="B2719" s="6" t="s">
        <v>587</v>
      </c>
      <c r="C2719" s="6" t="s">
        <v>410</v>
      </c>
      <c r="D2719" s="5">
        <v>44931</v>
      </c>
    </row>
    <row r="2720" spans="2:4">
      <c r="B2720" s="6" t="s">
        <v>269</v>
      </c>
      <c r="C2720" s="6" t="s">
        <v>174</v>
      </c>
      <c r="D2720" s="5">
        <v>44931</v>
      </c>
    </row>
    <row r="2721" spans="2:4">
      <c r="B2721" s="6" t="s">
        <v>201</v>
      </c>
      <c r="C2721" s="6" t="s">
        <v>353</v>
      </c>
      <c r="D2721" s="5">
        <v>44931</v>
      </c>
    </row>
    <row r="2722" spans="2:4">
      <c r="B2722" s="6" t="s">
        <v>64</v>
      </c>
      <c r="C2722" s="6" t="s">
        <v>56</v>
      </c>
      <c r="D2722" s="5">
        <v>44931</v>
      </c>
    </row>
    <row r="2723" spans="2:4">
      <c r="B2723" s="6" t="s">
        <v>286</v>
      </c>
      <c r="C2723" s="6" t="s">
        <v>294</v>
      </c>
      <c r="D2723" s="5">
        <v>44931</v>
      </c>
    </row>
    <row r="2724" spans="2:4">
      <c r="B2724" s="6" t="s">
        <v>248</v>
      </c>
      <c r="C2724" s="6" t="s">
        <v>610</v>
      </c>
      <c r="D2724" s="5">
        <v>44931</v>
      </c>
    </row>
    <row r="2725" spans="2:4">
      <c r="B2725" s="6" t="s">
        <v>212</v>
      </c>
      <c r="C2725" s="6" t="s">
        <v>341</v>
      </c>
      <c r="D2725" s="5">
        <v>44931</v>
      </c>
    </row>
    <row r="2726" spans="2:4">
      <c r="B2726" s="6" t="s">
        <v>113</v>
      </c>
      <c r="C2726" s="6" t="s">
        <v>114</v>
      </c>
      <c r="D2726" s="5">
        <v>44931</v>
      </c>
    </row>
    <row r="2727" spans="2:4">
      <c r="B2727" s="6" t="s">
        <v>278</v>
      </c>
      <c r="C2727" s="6" t="s">
        <v>137</v>
      </c>
      <c r="D2727" s="5">
        <v>44931</v>
      </c>
    </row>
    <row r="2728" spans="2:4">
      <c r="B2728" s="6" t="s">
        <v>580</v>
      </c>
      <c r="C2728" s="6" t="s">
        <v>148</v>
      </c>
      <c r="D2728" s="5">
        <v>44931</v>
      </c>
    </row>
    <row r="2729" spans="2:4">
      <c r="B2729" s="6" t="s">
        <v>126</v>
      </c>
      <c r="C2729" s="6" t="s">
        <v>253</v>
      </c>
      <c r="D2729" s="5">
        <v>44931</v>
      </c>
    </row>
    <row r="2730" spans="2:4">
      <c r="B2730" s="6" t="s">
        <v>205</v>
      </c>
      <c r="C2730" s="6" t="s">
        <v>106</v>
      </c>
      <c r="D2730" s="5">
        <v>44931</v>
      </c>
    </row>
    <row r="2731" spans="2:4">
      <c r="B2731" s="6" t="s">
        <v>301</v>
      </c>
      <c r="C2731" s="6" t="s">
        <v>215</v>
      </c>
      <c r="D2731" s="5">
        <v>44931</v>
      </c>
    </row>
    <row r="2732" spans="2:4">
      <c r="B2732" s="6" t="s">
        <v>176</v>
      </c>
      <c r="C2732" s="6" t="s">
        <v>220</v>
      </c>
      <c r="D2732" s="5">
        <v>44931</v>
      </c>
    </row>
    <row r="2733" spans="2:4">
      <c r="B2733" s="6" t="s">
        <v>421</v>
      </c>
      <c r="C2733" s="6" t="s">
        <v>195</v>
      </c>
      <c r="D2733" s="5">
        <v>44931</v>
      </c>
    </row>
    <row r="2734" spans="2:4">
      <c r="B2734" s="6" t="s">
        <v>274</v>
      </c>
      <c r="C2734" s="6" t="s">
        <v>182</v>
      </c>
      <c r="D2734" s="5">
        <v>44931</v>
      </c>
    </row>
    <row r="2735" spans="2:4">
      <c r="B2735" s="6" t="s">
        <v>57</v>
      </c>
      <c r="C2735" s="6" t="s">
        <v>58</v>
      </c>
      <c r="D2735" s="5">
        <v>44931</v>
      </c>
    </row>
    <row r="2736" spans="2:4">
      <c r="B2736" s="6" t="s">
        <v>590</v>
      </c>
      <c r="C2736" s="6" t="s">
        <v>98</v>
      </c>
      <c r="D2736" s="5">
        <v>44931</v>
      </c>
    </row>
    <row r="2737" spans="2:4">
      <c r="B2737" s="6" t="s">
        <v>175</v>
      </c>
      <c r="C2737" s="6" t="s">
        <v>336</v>
      </c>
      <c r="D2737" s="5">
        <v>44931</v>
      </c>
    </row>
    <row r="2738" spans="2:4">
      <c r="B2738" s="6" t="s">
        <v>246</v>
      </c>
      <c r="C2738" s="6" t="s">
        <v>405</v>
      </c>
      <c r="D2738" s="5">
        <v>44931</v>
      </c>
    </row>
    <row r="2739" spans="2:4">
      <c r="B2739" s="6" t="s">
        <v>409</v>
      </c>
      <c r="C2739" s="6" t="s">
        <v>150</v>
      </c>
      <c r="D2739" s="5">
        <v>44931</v>
      </c>
    </row>
    <row r="2740" spans="2:4">
      <c r="B2740" s="6" t="s">
        <v>194</v>
      </c>
      <c r="C2740" s="6" t="s">
        <v>136</v>
      </c>
      <c r="D2740" s="5">
        <v>44931</v>
      </c>
    </row>
    <row r="2741" spans="2:4">
      <c r="B2741" s="6" t="s">
        <v>289</v>
      </c>
      <c r="C2741" s="6" t="s">
        <v>193</v>
      </c>
      <c r="D2741" s="5">
        <v>44931</v>
      </c>
    </row>
    <row r="2742" spans="2:4">
      <c r="B2742" s="6" t="s">
        <v>330</v>
      </c>
      <c r="C2742" s="6" t="s">
        <v>357</v>
      </c>
      <c r="D2742" s="5">
        <v>44931</v>
      </c>
    </row>
    <row r="2743" spans="2:4">
      <c r="B2743" s="6" t="s">
        <v>305</v>
      </c>
      <c r="C2743" s="6" t="s">
        <v>615</v>
      </c>
      <c r="D2743" s="5">
        <v>44931</v>
      </c>
    </row>
    <row r="2744" spans="2:4">
      <c r="B2744" s="6" t="s">
        <v>418</v>
      </c>
      <c r="C2744" s="6" t="s">
        <v>412</v>
      </c>
      <c r="D2744" s="5">
        <v>44931</v>
      </c>
    </row>
    <row r="2745" spans="2:4">
      <c r="B2745" s="6" t="s">
        <v>296</v>
      </c>
      <c r="C2745" s="6" t="s">
        <v>324</v>
      </c>
      <c r="D2745" s="5">
        <v>44931</v>
      </c>
    </row>
    <row r="2746" spans="2:4">
      <c r="B2746" s="6" t="s">
        <v>397</v>
      </c>
      <c r="C2746" s="6" t="s">
        <v>358</v>
      </c>
      <c r="D2746" s="5">
        <v>44931</v>
      </c>
    </row>
    <row r="2747" spans="2:4">
      <c r="B2747" s="6" t="s">
        <v>123</v>
      </c>
      <c r="C2747" s="6" t="s">
        <v>146</v>
      </c>
      <c r="D2747" s="5">
        <v>44931</v>
      </c>
    </row>
    <row r="2748" spans="2:4">
      <c r="B2748" s="6" t="s">
        <v>179</v>
      </c>
      <c r="C2748" s="6" t="s">
        <v>178</v>
      </c>
      <c r="D2748" s="5">
        <v>44931</v>
      </c>
    </row>
    <row r="2749" spans="2:4">
      <c r="B2749" s="6" t="s">
        <v>115</v>
      </c>
      <c r="C2749" s="6" t="s">
        <v>99</v>
      </c>
      <c r="D2749" s="5">
        <v>44931</v>
      </c>
    </row>
    <row r="2750" spans="2:4">
      <c r="B2750" s="6" t="s">
        <v>413</v>
      </c>
      <c r="C2750" s="6" t="s">
        <v>272</v>
      </c>
      <c r="D2750" s="5">
        <v>44931</v>
      </c>
    </row>
    <row r="2751" spans="2:4">
      <c r="B2751" s="6" t="s">
        <v>354</v>
      </c>
      <c r="C2751" s="6" t="s">
        <v>356</v>
      </c>
      <c r="D2751" s="5">
        <v>44931</v>
      </c>
    </row>
    <row r="2752" spans="2:4">
      <c r="B2752" s="6" t="s">
        <v>142</v>
      </c>
      <c r="C2752" s="6" t="s">
        <v>120</v>
      </c>
      <c r="D2752" s="5">
        <v>44931</v>
      </c>
    </row>
    <row r="2753" spans="2:4">
      <c r="B2753" s="6" t="s">
        <v>344</v>
      </c>
      <c r="C2753" s="6" t="s">
        <v>424</v>
      </c>
      <c r="D2753" s="5">
        <v>44931</v>
      </c>
    </row>
    <row r="2754" spans="2:4">
      <c r="B2754" s="6" t="s">
        <v>415</v>
      </c>
      <c r="C2754" s="6" t="s">
        <v>381</v>
      </c>
      <c r="D2754" s="5">
        <v>44931</v>
      </c>
    </row>
    <row r="2755" spans="2:4">
      <c r="B2755" s="6" t="s">
        <v>333</v>
      </c>
      <c r="C2755" s="6" t="s">
        <v>259</v>
      </c>
      <c r="D2755" s="5">
        <v>44931</v>
      </c>
    </row>
    <row r="2756" spans="2:4">
      <c r="B2756" s="6" t="s">
        <v>73</v>
      </c>
      <c r="C2756" s="6" t="s">
        <v>78</v>
      </c>
      <c r="D2756" s="5">
        <v>44931</v>
      </c>
    </row>
    <row r="2757" spans="2:4">
      <c r="B2757" s="6" t="s">
        <v>368</v>
      </c>
      <c r="C2757" s="6" t="s">
        <v>242</v>
      </c>
      <c r="D2757" s="5">
        <v>44931</v>
      </c>
    </row>
    <row r="2758" spans="2:4">
      <c r="B2758" s="6" t="s">
        <v>143</v>
      </c>
      <c r="C2758" s="6" t="s">
        <v>373</v>
      </c>
      <c r="D2758" s="5">
        <v>44931</v>
      </c>
    </row>
    <row r="2759" spans="2:4">
      <c r="B2759" s="6" t="s">
        <v>134</v>
      </c>
      <c r="C2759" s="6" t="s">
        <v>94</v>
      </c>
      <c r="D2759" s="5">
        <v>44931</v>
      </c>
    </row>
    <row r="2760" spans="2:4">
      <c r="B2760" s="6" t="s">
        <v>323</v>
      </c>
      <c r="C2760" s="6" t="s">
        <v>383</v>
      </c>
      <c r="D2760" s="5">
        <v>44931</v>
      </c>
    </row>
    <row r="2761" spans="2:4">
      <c r="B2761" s="6" t="s">
        <v>388</v>
      </c>
      <c r="C2761" s="6" t="s">
        <v>378</v>
      </c>
      <c r="D2761" s="5">
        <v>44931</v>
      </c>
    </row>
    <row r="2762" spans="2:4">
      <c r="B2762" s="6" t="s">
        <v>365</v>
      </c>
      <c r="C2762" s="6" t="s">
        <v>316</v>
      </c>
      <c r="D2762" s="5">
        <v>44931</v>
      </c>
    </row>
    <row r="2763" spans="2:4">
      <c r="B2763" s="6" t="s">
        <v>306</v>
      </c>
      <c r="C2763" s="6" t="s">
        <v>367</v>
      </c>
      <c r="D2763" s="5">
        <v>44931</v>
      </c>
    </row>
    <row r="2764" spans="2:4">
      <c r="B2764" s="6" t="s">
        <v>359</v>
      </c>
      <c r="C2764" s="6" t="s">
        <v>385</v>
      </c>
      <c r="D2764" s="5">
        <v>44931</v>
      </c>
    </row>
    <row r="2765" spans="2:4">
      <c r="B2765" s="6" t="s">
        <v>196</v>
      </c>
      <c r="C2765" s="6" t="s">
        <v>208</v>
      </c>
      <c r="D2765" s="5">
        <v>44931</v>
      </c>
    </row>
    <row r="2766" spans="2:4">
      <c r="B2766" s="6" t="s">
        <v>348</v>
      </c>
      <c r="C2766" s="6" t="s">
        <v>151</v>
      </c>
      <c r="D2766" s="5">
        <v>44931</v>
      </c>
    </row>
    <row r="2767" spans="2:4">
      <c r="B2767" s="6" t="s">
        <v>426</v>
      </c>
      <c r="C2767" s="6" t="s">
        <v>391</v>
      </c>
      <c r="D2767" s="5">
        <v>44931</v>
      </c>
    </row>
    <row r="2768" spans="2:4">
      <c r="B2768" s="6" t="s">
        <v>403</v>
      </c>
      <c r="C2768" s="6" t="s">
        <v>190</v>
      </c>
      <c r="D2768" s="5">
        <v>44931</v>
      </c>
    </row>
    <row r="2769" spans="2:4">
      <c r="B2769" s="6" t="s">
        <v>128</v>
      </c>
      <c r="C2769" s="6" t="s">
        <v>173</v>
      </c>
      <c r="D2769" s="5">
        <v>44931</v>
      </c>
    </row>
    <row r="2770" spans="2:4">
      <c r="B2770" s="6" t="s">
        <v>147</v>
      </c>
      <c r="C2770" s="6" t="s">
        <v>292</v>
      </c>
      <c r="D2770" s="5">
        <v>44931</v>
      </c>
    </row>
    <row r="2771" spans="2:4">
      <c r="B2771" s="6" t="s">
        <v>355</v>
      </c>
      <c r="C2771" s="6" t="s">
        <v>255</v>
      </c>
      <c r="D2771" s="5">
        <v>44931</v>
      </c>
    </row>
    <row r="2772" spans="2:4">
      <c r="B2772" s="6" t="s">
        <v>640</v>
      </c>
      <c r="C2772" s="6" t="s">
        <v>295</v>
      </c>
      <c r="D2772" s="5">
        <v>44931</v>
      </c>
    </row>
    <row r="2773" spans="2:4">
      <c r="B2773" s="6" t="s">
        <v>183</v>
      </c>
      <c r="C2773" s="6" t="s">
        <v>584</v>
      </c>
      <c r="D2773" s="5">
        <v>44931</v>
      </c>
    </row>
    <row r="2774" spans="2:4">
      <c r="B2774" s="6" t="s">
        <v>342</v>
      </c>
      <c r="C2774" s="6" t="s">
        <v>343</v>
      </c>
      <c r="D2774" s="5">
        <v>44931</v>
      </c>
    </row>
    <row r="2775" spans="2:4">
      <c r="B2775" s="6" t="s">
        <v>370</v>
      </c>
      <c r="C2775" s="6" t="s">
        <v>309</v>
      </c>
      <c r="D2775" s="5">
        <v>44931</v>
      </c>
    </row>
    <row r="2776" spans="2:4">
      <c r="B2776" s="6" t="s">
        <v>304</v>
      </c>
      <c r="C2776" s="6" t="s">
        <v>329</v>
      </c>
      <c r="D2776" s="5">
        <v>44931</v>
      </c>
    </row>
    <row r="2777" spans="2:4">
      <c r="B2777" s="6" t="s">
        <v>240</v>
      </c>
      <c r="C2777" s="6" t="s">
        <v>603</v>
      </c>
      <c r="D2777" s="5">
        <v>44931</v>
      </c>
    </row>
    <row r="2778" spans="2:4">
      <c r="B2778" s="6" t="s">
        <v>61</v>
      </c>
      <c r="C2778" s="6" t="s">
        <v>62</v>
      </c>
      <c r="D2778" s="5">
        <v>44931</v>
      </c>
    </row>
    <row r="2779" spans="2:4">
      <c r="B2779" s="6" t="s">
        <v>72</v>
      </c>
      <c r="C2779" s="6" t="s">
        <v>69</v>
      </c>
      <c r="D2779" s="5">
        <v>44931</v>
      </c>
    </row>
    <row r="2780" spans="2:4">
      <c r="B2780" s="6" t="s">
        <v>352</v>
      </c>
      <c r="C2780" s="6" t="s">
        <v>187</v>
      </c>
      <c r="D2780" s="5">
        <v>44931</v>
      </c>
    </row>
    <row r="2781" spans="2:4">
      <c r="B2781" s="6" t="s">
        <v>313</v>
      </c>
      <c r="C2781" s="6" t="s">
        <v>135</v>
      </c>
      <c r="D2781" s="5">
        <v>44931</v>
      </c>
    </row>
    <row r="2782" spans="2:4">
      <c r="B2782" s="6" t="s">
        <v>588</v>
      </c>
      <c r="C2782" s="6" t="s">
        <v>319</v>
      </c>
      <c r="D2782" s="5">
        <v>44931</v>
      </c>
    </row>
    <row r="2783" spans="2:4">
      <c r="B2783" s="6" t="s">
        <v>250</v>
      </c>
      <c r="C2783" s="6" t="s">
        <v>321</v>
      </c>
      <c r="D2783" s="5">
        <v>44931</v>
      </c>
    </row>
    <row r="2784" spans="2:4">
      <c r="B2784" s="6" t="s">
        <v>141</v>
      </c>
      <c r="C2784" s="6" t="s">
        <v>167</v>
      </c>
      <c r="D2784" s="5">
        <v>44931</v>
      </c>
    </row>
    <row r="2785" spans="2:4">
      <c r="B2785" s="6" t="s">
        <v>158</v>
      </c>
      <c r="C2785" s="6" t="s">
        <v>389</v>
      </c>
      <c r="D2785" s="5">
        <v>44931</v>
      </c>
    </row>
    <row r="2786" spans="2:4">
      <c r="B2786" s="6" t="s">
        <v>393</v>
      </c>
      <c r="C2786" s="6" t="s">
        <v>402</v>
      </c>
      <c r="D2786" s="5">
        <v>44931</v>
      </c>
    </row>
    <row r="2787" spans="2:4">
      <c r="B2787" s="6" t="s">
        <v>75</v>
      </c>
      <c r="C2787" s="6" t="s">
        <v>74</v>
      </c>
      <c r="D2787" s="5">
        <v>44931</v>
      </c>
    </row>
    <row r="2788" spans="2:4">
      <c r="B2788" s="6" t="s">
        <v>77</v>
      </c>
      <c r="C2788" s="6" t="s">
        <v>76</v>
      </c>
      <c r="D2788" s="5">
        <v>44931</v>
      </c>
    </row>
    <row r="2789" spans="2:4">
      <c r="B2789" s="6" t="s">
        <v>159</v>
      </c>
      <c r="C2789" s="6" t="s">
        <v>607</v>
      </c>
      <c r="D2789" s="5">
        <v>44931</v>
      </c>
    </row>
    <row r="2790" spans="2:4">
      <c r="B2790" s="6" t="s">
        <v>165</v>
      </c>
      <c r="C2790" s="6" t="s">
        <v>160</v>
      </c>
      <c r="D2790" s="5">
        <v>44931</v>
      </c>
    </row>
    <row r="2791" spans="2:4">
      <c r="B2791" s="6" t="s">
        <v>166</v>
      </c>
      <c r="C2791" s="6" t="s">
        <v>427</v>
      </c>
      <c r="D2791" s="5">
        <v>44931</v>
      </c>
    </row>
    <row r="2792" spans="2:4">
      <c r="B2792" s="6" t="s">
        <v>586</v>
      </c>
      <c r="C2792" s="6" t="s">
        <v>207</v>
      </c>
      <c r="D2792" s="5">
        <v>44931</v>
      </c>
    </row>
    <row r="2793" spans="2:4">
      <c r="B2793" s="6" t="s">
        <v>599</v>
      </c>
      <c r="C2793" s="6" t="s">
        <v>420</v>
      </c>
      <c r="D2793" s="5">
        <v>44931</v>
      </c>
    </row>
    <row r="2794" spans="2:4">
      <c r="B2794" s="6" t="s">
        <v>236</v>
      </c>
      <c r="C2794" s="6" t="s">
        <v>428</v>
      </c>
      <c r="D2794" s="5">
        <v>44931</v>
      </c>
    </row>
    <row r="2795" spans="2:4">
      <c r="B2795" s="6" t="s">
        <v>154</v>
      </c>
      <c r="C2795" s="6" t="s">
        <v>621</v>
      </c>
      <c r="D2795" s="5">
        <v>44931</v>
      </c>
    </row>
    <row r="2796" spans="2:4">
      <c r="B2796" s="6" t="s">
        <v>404</v>
      </c>
      <c r="C2796" s="6" t="s">
        <v>132</v>
      </c>
      <c r="D2796" s="5">
        <v>44931</v>
      </c>
    </row>
    <row r="2797" spans="2:4">
      <c r="B2797" s="6" t="s">
        <v>70</v>
      </c>
      <c r="C2797" s="6" t="s">
        <v>71</v>
      </c>
      <c r="D2797" s="5">
        <v>44931</v>
      </c>
    </row>
    <row r="2798" spans="2:4">
      <c r="B2798" s="6" t="s">
        <v>396</v>
      </c>
      <c r="C2798" s="6" t="s">
        <v>157</v>
      </c>
      <c r="D2798" s="5">
        <v>44931</v>
      </c>
    </row>
    <row r="2799" spans="2:4">
      <c r="B2799" s="6" t="s">
        <v>140</v>
      </c>
      <c r="C2799" s="6" t="s">
        <v>414</v>
      </c>
      <c r="D2799" s="5">
        <v>44932</v>
      </c>
    </row>
    <row r="2800" spans="2:4">
      <c r="B2800" s="6" t="s">
        <v>138</v>
      </c>
      <c r="C2800" s="6" t="s">
        <v>97</v>
      </c>
      <c r="D2800" s="5">
        <v>44932</v>
      </c>
    </row>
    <row r="2801" spans="2:4">
      <c r="B2801" s="6" t="s">
        <v>125</v>
      </c>
      <c r="C2801" s="6" t="s">
        <v>419</v>
      </c>
      <c r="D2801" s="5">
        <v>44932</v>
      </c>
    </row>
    <row r="2802" spans="2:4">
      <c r="B2802" s="6" t="s">
        <v>100</v>
      </c>
      <c r="C2802" s="6" t="s">
        <v>351</v>
      </c>
      <c r="D2802" s="5">
        <v>44932</v>
      </c>
    </row>
    <row r="2803" spans="2:4">
      <c r="B2803" s="6" t="s">
        <v>107</v>
      </c>
      <c r="C2803" s="6" t="s">
        <v>108</v>
      </c>
      <c r="D2803" s="5">
        <v>44932</v>
      </c>
    </row>
    <row r="2804" spans="2:4">
      <c r="B2804" s="6" t="s">
        <v>130</v>
      </c>
      <c r="C2804" s="6" t="s">
        <v>244</v>
      </c>
      <c r="D2804" s="5">
        <v>44932</v>
      </c>
    </row>
    <row r="2805" spans="2:4">
      <c r="B2805" s="6" t="s">
        <v>117</v>
      </c>
      <c r="C2805" s="6" t="s">
        <v>216</v>
      </c>
      <c r="D2805" s="5">
        <v>44932</v>
      </c>
    </row>
    <row r="2806" spans="2:4">
      <c r="B2806" s="6" t="s">
        <v>361</v>
      </c>
      <c r="C2806" s="6" t="s">
        <v>285</v>
      </c>
      <c r="D2806" s="5">
        <v>44932</v>
      </c>
    </row>
    <row r="2807" spans="2:4">
      <c r="B2807" s="6" t="s">
        <v>230</v>
      </c>
      <c r="C2807" s="6" t="s">
        <v>211</v>
      </c>
      <c r="D2807" s="5">
        <v>44932</v>
      </c>
    </row>
    <row r="2808" spans="2:4">
      <c r="B2808" s="6" t="s">
        <v>112</v>
      </c>
      <c r="C2808" s="6" t="s">
        <v>204</v>
      </c>
      <c r="D2808" s="5">
        <v>44932</v>
      </c>
    </row>
    <row r="2809" spans="2:4">
      <c r="B2809" s="6" t="s">
        <v>256</v>
      </c>
      <c r="C2809" s="6" t="s">
        <v>101</v>
      </c>
      <c r="D2809" s="5">
        <v>44932</v>
      </c>
    </row>
    <row r="2810" spans="2:4">
      <c r="B2810" s="6" t="s">
        <v>266</v>
      </c>
      <c r="C2810" s="6" t="s">
        <v>422</v>
      </c>
      <c r="D2810" s="5">
        <v>44932</v>
      </c>
    </row>
    <row r="2811" spans="2:4">
      <c r="B2811" s="6" t="s">
        <v>164</v>
      </c>
      <c r="C2811" s="6" t="s">
        <v>93</v>
      </c>
      <c r="D2811" s="5">
        <v>44932</v>
      </c>
    </row>
    <row r="2812" spans="2:4">
      <c r="B2812" s="6" t="s">
        <v>238</v>
      </c>
      <c r="C2812" s="6" t="s">
        <v>277</v>
      </c>
      <c r="D2812" s="5">
        <v>44933</v>
      </c>
    </row>
    <row r="2813" spans="2:4">
      <c r="B2813" s="6" t="s">
        <v>156</v>
      </c>
      <c r="C2813" s="6" t="s">
        <v>308</v>
      </c>
      <c r="D2813" s="5">
        <v>44933</v>
      </c>
    </row>
    <row r="2814" spans="2:4">
      <c r="B2814" s="6" t="s">
        <v>395</v>
      </c>
      <c r="C2814" s="6" t="s">
        <v>191</v>
      </c>
      <c r="D2814" s="5">
        <v>44933</v>
      </c>
    </row>
    <row r="2815" spans="2:4">
      <c r="B2815" s="6" t="s">
        <v>165</v>
      </c>
      <c r="C2815" s="6" t="s">
        <v>427</v>
      </c>
      <c r="D2815" s="5">
        <v>44933</v>
      </c>
    </row>
    <row r="2816" spans="2:4">
      <c r="B2816" s="6" t="s">
        <v>396</v>
      </c>
      <c r="C2816" s="6" t="s">
        <v>404</v>
      </c>
      <c r="D2816" s="5">
        <v>44933</v>
      </c>
    </row>
    <row r="2817" spans="2:4">
      <c r="B2817" s="6" t="s">
        <v>167</v>
      </c>
      <c r="C2817" s="6" t="s">
        <v>420</v>
      </c>
      <c r="D2817" s="5">
        <v>44933</v>
      </c>
    </row>
    <row r="2818" spans="2:4">
      <c r="B2818" s="6" t="s">
        <v>251</v>
      </c>
      <c r="C2818" s="6" t="s">
        <v>46</v>
      </c>
      <c r="D2818" s="5">
        <v>44933</v>
      </c>
    </row>
    <row r="2819" spans="2:4">
      <c r="B2819" s="6" t="s">
        <v>245</v>
      </c>
      <c r="C2819" s="6" t="s">
        <v>38</v>
      </c>
      <c r="D2819" s="5">
        <v>44933</v>
      </c>
    </row>
    <row r="2820" spans="2:4">
      <c r="B2820" s="6" t="s">
        <v>322</v>
      </c>
      <c r="C2820" s="6" t="s">
        <v>30</v>
      </c>
      <c r="D2820" s="5">
        <v>44933</v>
      </c>
    </row>
    <row r="2821" spans="2:4">
      <c r="B2821" s="6" t="s">
        <v>40</v>
      </c>
      <c r="C2821" s="6" t="s">
        <v>302</v>
      </c>
      <c r="D2821" s="5">
        <v>44933</v>
      </c>
    </row>
    <row r="2822" spans="2:4">
      <c r="B2822" s="6" t="s">
        <v>63</v>
      </c>
      <c r="C2822" s="6" t="s">
        <v>67</v>
      </c>
      <c r="D2822" s="5">
        <v>44933</v>
      </c>
    </row>
    <row r="2823" spans="2:4">
      <c r="B2823" s="6" t="s">
        <v>87</v>
      </c>
      <c r="C2823" s="6" t="s">
        <v>185</v>
      </c>
      <c r="D2823" s="5">
        <v>44933</v>
      </c>
    </row>
    <row r="2824" spans="2:4">
      <c r="B2824" s="6" t="s">
        <v>121</v>
      </c>
      <c r="C2824" s="6" t="s">
        <v>199</v>
      </c>
      <c r="D2824" s="5">
        <v>44933</v>
      </c>
    </row>
    <row r="2825" spans="2:4">
      <c r="B2825" s="6" t="s">
        <v>203</v>
      </c>
      <c r="C2825" s="6" t="s">
        <v>400</v>
      </c>
      <c r="D2825" s="5">
        <v>44933</v>
      </c>
    </row>
    <row r="2826" spans="2:4">
      <c r="B2826" s="6" t="s">
        <v>82</v>
      </c>
      <c r="C2826" s="6" t="s">
        <v>80</v>
      </c>
      <c r="D2826" s="5">
        <v>44933</v>
      </c>
    </row>
    <row r="2827" spans="2:4">
      <c r="B2827" s="6" t="s">
        <v>54</v>
      </c>
      <c r="C2827" s="6" t="s">
        <v>44</v>
      </c>
      <c r="D2827" s="5">
        <v>44933</v>
      </c>
    </row>
    <row r="2828" spans="2:4">
      <c r="B2828" s="6" t="s">
        <v>45</v>
      </c>
      <c r="C2828" s="6" t="s">
        <v>50</v>
      </c>
      <c r="D2828" s="5">
        <v>44933</v>
      </c>
    </row>
    <row r="2829" spans="2:4">
      <c r="B2829" s="6" t="s">
        <v>79</v>
      </c>
      <c r="C2829" s="6" t="s">
        <v>89</v>
      </c>
      <c r="D2829" s="5">
        <v>44933</v>
      </c>
    </row>
    <row r="2830" spans="2:4">
      <c r="B2830" s="6" t="s">
        <v>410</v>
      </c>
      <c r="C2830" s="6" t="s">
        <v>405</v>
      </c>
      <c r="D2830" s="5">
        <v>44933</v>
      </c>
    </row>
    <row r="2831" spans="2:4">
      <c r="B2831" s="6" t="s">
        <v>296</v>
      </c>
      <c r="C2831" s="6" t="s">
        <v>358</v>
      </c>
      <c r="D2831" s="5">
        <v>44933</v>
      </c>
    </row>
    <row r="2832" spans="2:4">
      <c r="B2832" s="6" t="s">
        <v>60</v>
      </c>
      <c r="C2832" s="6" t="s">
        <v>65</v>
      </c>
      <c r="D2832" s="5">
        <v>44933</v>
      </c>
    </row>
    <row r="2833" spans="2:4">
      <c r="B2833" s="6" t="s">
        <v>34</v>
      </c>
      <c r="C2833" s="6" t="s">
        <v>31</v>
      </c>
      <c r="D2833" s="5">
        <v>44933</v>
      </c>
    </row>
    <row r="2834" spans="2:4">
      <c r="B2834" s="6" t="s">
        <v>145</v>
      </c>
      <c r="C2834" s="6" t="s">
        <v>221</v>
      </c>
      <c r="D2834" s="5">
        <v>44933</v>
      </c>
    </row>
    <row r="2835" spans="2:4">
      <c r="B2835" s="6" t="s">
        <v>144</v>
      </c>
      <c r="C2835" s="6" t="s">
        <v>275</v>
      </c>
      <c r="D2835" s="5">
        <v>44933</v>
      </c>
    </row>
    <row r="2836" spans="2:4">
      <c r="B2836" s="6" t="s">
        <v>336</v>
      </c>
      <c r="C2836" s="6" t="s">
        <v>122</v>
      </c>
      <c r="D2836" s="5">
        <v>44933</v>
      </c>
    </row>
    <row r="2837" spans="2:4">
      <c r="B2837" s="6" t="s">
        <v>325</v>
      </c>
      <c r="C2837" s="6" t="s">
        <v>280</v>
      </c>
      <c r="D2837" s="5">
        <v>44933</v>
      </c>
    </row>
    <row r="2838" spans="2:4">
      <c r="B2838" s="6" t="s">
        <v>213</v>
      </c>
      <c r="C2838" s="6" t="s">
        <v>326</v>
      </c>
      <c r="D2838" s="5">
        <v>44933</v>
      </c>
    </row>
    <row r="2839" spans="2:4">
      <c r="B2839" s="6" t="s">
        <v>421</v>
      </c>
      <c r="C2839" s="6" t="s">
        <v>182</v>
      </c>
      <c r="D2839" s="5">
        <v>44933</v>
      </c>
    </row>
    <row r="2840" spans="2:4">
      <c r="B2840" s="6" t="s">
        <v>37</v>
      </c>
      <c r="C2840" s="6" t="s">
        <v>41</v>
      </c>
      <c r="D2840" s="5">
        <v>44933</v>
      </c>
    </row>
    <row r="2841" spans="2:4">
      <c r="B2841" s="6" t="s">
        <v>85</v>
      </c>
      <c r="C2841" s="6" t="s">
        <v>88</v>
      </c>
      <c r="D2841" s="5">
        <v>44933</v>
      </c>
    </row>
    <row r="2842" spans="2:4">
      <c r="B2842" s="6" t="s">
        <v>349</v>
      </c>
      <c r="C2842" s="6" t="s">
        <v>334</v>
      </c>
      <c r="D2842" s="5">
        <v>44933</v>
      </c>
    </row>
    <row r="2843" spans="2:4">
      <c r="B2843" s="6" t="s">
        <v>210</v>
      </c>
      <c r="C2843" s="6" t="s">
        <v>124</v>
      </c>
      <c r="D2843" s="5">
        <v>44933</v>
      </c>
    </row>
    <row r="2844" spans="2:4">
      <c r="B2844" s="6" t="s">
        <v>281</v>
      </c>
      <c r="C2844" s="6" t="s">
        <v>350</v>
      </c>
      <c r="D2844" s="5">
        <v>44933</v>
      </c>
    </row>
    <row r="2845" spans="2:4">
      <c r="B2845" s="6" t="s">
        <v>337</v>
      </c>
      <c r="C2845" s="6" t="s">
        <v>300</v>
      </c>
      <c r="D2845" s="5">
        <v>44933</v>
      </c>
    </row>
    <row r="2846" spans="2:4">
      <c r="B2846" s="6" t="s">
        <v>425</v>
      </c>
      <c r="C2846" s="6" t="s">
        <v>202</v>
      </c>
      <c r="D2846" s="5">
        <v>44933</v>
      </c>
    </row>
    <row r="2847" spans="2:4">
      <c r="B2847" s="6" t="s">
        <v>192</v>
      </c>
      <c r="C2847" s="6" t="s">
        <v>270</v>
      </c>
      <c r="D2847" s="5">
        <v>44933</v>
      </c>
    </row>
    <row r="2848" spans="2:4">
      <c r="B2848" s="6" t="s">
        <v>297</v>
      </c>
      <c r="C2848" s="6" t="s">
        <v>298</v>
      </c>
      <c r="D2848" s="5">
        <v>44933</v>
      </c>
    </row>
    <row r="2849" spans="2:4">
      <c r="B2849" s="6" t="s">
        <v>104</v>
      </c>
      <c r="C2849" s="6" t="s">
        <v>261</v>
      </c>
      <c r="D2849" s="5">
        <v>44933</v>
      </c>
    </row>
    <row r="2850" spans="2:4">
      <c r="B2850" s="6" t="s">
        <v>247</v>
      </c>
      <c r="C2850" s="6" t="s">
        <v>362</v>
      </c>
      <c r="D2850" s="5">
        <v>44933</v>
      </c>
    </row>
    <row r="2851" spans="2:4">
      <c r="B2851" s="6" t="s">
        <v>590</v>
      </c>
      <c r="C2851" s="6" t="s">
        <v>246</v>
      </c>
      <c r="D2851" s="5">
        <v>44933</v>
      </c>
    </row>
    <row r="2852" spans="2:4">
      <c r="B2852" s="6" t="s">
        <v>359</v>
      </c>
      <c r="C2852" s="6" t="s">
        <v>208</v>
      </c>
      <c r="D2852" s="5">
        <v>44933</v>
      </c>
    </row>
    <row r="2853" spans="2:4">
      <c r="B2853" s="6" t="s">
        <v>196</v>
      </c>
      <c r="C2853" s="6" t="s">
        <v>385</v>
      </c>
      <c r="D2853" s="5">
        <v>44933</v>
      </c>
    </row>
    <row r="2854" spans="2:4">
      <c r="B2854" s="6" t="s">
        <v>418</v>
      </c>
      <c r="C2854" s="6" t="s">
        <v>172</v>
      </c>
      <c r="D2854" s="5">
        <v>44933</v>
      </c>
    </row>
    <row r="2855" spans="2:4">
      <c r="B2855" s="6" t="s">
        <v>268</v>
      </c>
      <c r="C2855" s="6" t="s">
        <v>327</v>
      </c>
      <c r="D2855" s="5">
        <v>44933</v>
      </c>
    </row>
    <row r="2856" spans="2:4">
      <c r="B2856" s="6" t="s">
        <v>146</v>
      </c>
      <c r="C2856" s="6" t="s">
        <v>115</v>
      </c>
      <c r="D2856" s="5">
        <v>44933</v>
      </c>
    </row>
    <row r="2857" spans="2:4">
      <c r="B2857" s="6" t="s">
        <v>413</v>
      </c>
      <c r="C2857" s="6" t="s">
        <v>178</v>
      </c>
      <c r="D2857" s="5">
        <v>44933</v>
      </c>
    </row>
    <row r="2858" spans="2:4">
      <c r="B2858" s="6" t="s">
        <v>55</v>
      </c>
      <c r="C2858" s="6" t="s">
        <v>59</v>
      </c>
      <c r="D2858" s="5">
        <v>44933</v>
      </c>
    </row>
    <row r="2859" spans="2:4">
      <c r="B2859" s="6" t="s">
        <v>43</v>
      </c>
      <c r="C2859" s="6" t="s">
        <v>53</v>
      </c>
      <c r="D2859" s="5">
        <v>44933</v>
      </c>
    </row>
    <row r="2860" spans="2:4">
      <c r="B2860" s="6" t="s">
        <v>373</v>
      </c>
      <c r="C2860" s="6" t="s">
        <v>376</v>
      </c>
      <c r="D2860" s="5">
        <v>44933</v>
      </c>
    </row>
    <row r="2861" spans="2:4">
      <c r="B2861" s="6" t="s">
        <v>133</v>
      </c>
      <c r="C2861" s="6" t="s">
        <v>252</v>
      </c>
      <c r="D2861" s="5">
        <v>44933</v>
      </c>
    </row>
    <row r="2862" spans="2:4">
      <c r="B2862" s="6" t="s">
        <v>290</v>
      </c>
      <c r="C2862" s="6" t="s">
        <v>381</v>
      </c>
      <c r="D2862" s="5">
        <v>44933</v>
      </c>
    </row>
    <row r="2863" spans="2:4">
      <c r="B2863" s="6" t="s">
        <v>323</v>
      </c>
      <c r="C2863" s="6" t="s">
        <v>424</v>
      </c>
      <c r="D2863" s="5">
        <v>44933</v>
      </c>
    </row>
    <row r="2864" spans="2:4">
      <c r="B2864" s="6" t="s">
        <v>273</v>
      </c>
      <c r="C2864" s="6" t="s">
        <v>110</v>
      </c>
      <c r="D2864" s="5">
        <v>44933</v>
      </c>
    </row>
    <row r="2865" spans="2:4">
      <c r="B2865" s="6" t="s">
        <v>175</v>
      </c>
      <c r="C2865" s="6" t="s">
        <v>587</v>
      </c>
      <c r="D2865" s="5">
        <v>44933</v>
      </c>
    </row>
    <row r="2866" spans="2:4">
      <c r="B2866" s="6" t="s">
        <v>333</v>
      </c>
      <c r="C2866" s="6" t="s">
        <v>316</v>
      </c>
      <c r="D2866" s="5">
        <v>44933</v>
      </c>
    </row>
    <row r="2867" spans="2:4">
      <c r="B2867" s="6" t="s">
        <v>289</v>
      </c>
      <c r="C2867" s="6" t="s">
        <v>136</v>
      </c>
      <c r="D2867" s="5">
        <v>44933</v>
      </c>
    </row>
    <row r="2868" spans="2:4">
      <c r="B2868" s="6" t="s">
        <v>330</v>
      </c>
      <c r="C2868" s="6" t="s">
        <v>151</v>
      </c>
      <c r="D2868" s="5">
        <v>44933</v>
      </c>
    </row>
    <row r="2869" spans="2:4">
      <c r="B2869" s="6" t="s">
        <v>305</v>
      </c>
      <c r="C2869" s="6" t="s">
        <v>329</v>
      </c>
      <c r="D2869" s="5">
        <v>44933</v>
      </c>
    </row>
    <row r="2870" spans="2:4">
      <c r="B2870" s="6" t="s">
        <v>397</v>
      </c>
      <c r="C2870" s="6" t="s">
        <v>324</v>
      </c>
      <c r="D2870" s="5">
        <v>44933</v>
      </c>
    </row>
    <row r="2871" spans="2:4">
      <c r="B2871" s="6" t="s">
        <v>90</v>
      </c>
      <c r="C2871" s="6" t="s">
        <v>86</v>
      </c>
      <c r="D2871" s="5">
        <v>44933</v>
      </c>
    </row>
    <row r="2872" spans="2:4">
      <c r="B2872" s="6" t="s">
        <v>209</v>
      </c>
      <c r="C2872" s="6" t="s">
        <v>180</v>
      </c>
      <c r="D2872" s="5">
        <v>44933</v>
      </c>
    </row>
    <row r="2873" spans="2:4">
      <c r="B2873" s="6" t="s">
        <v>193</v>
      </c>
      <c r="C2873" s="6" t="s">
        <v>294</v>
      </c>
      <c r="D2873" s="5">
        <v>44933</v>
      </c>
    </row>
    <row r="2874" spans="2:4">
      <c r="B2874" s="6" t="s">
        <v>152</v>
      </c>
      <c r="C2874" s="6" t="s">
        <v>392</v>
      </c>
      <c r="D2874" s="5">
        <v>44933</v>
      </c>
    </row>
    <row r="2875" spans="2:4">
      <c r="B2875" s="6" t="s">
        <v>96</v>
      </c>
      <c r="C2875" s="6" t="s">
        <v>264</v>
      </c>
      <c r="D2875" s="5">
        <v>44933</v>
      </c>
    </row>
    <row r="2876" spans="2:4">
      <c r="B2876" s="6" t="s">
        <v>116</v>
      </c>
      <c r="C2876" s="6" t="s">
        <v>276</v>
      </c>
      <c r="D2876" s="5">
        <v>44933</v>
      </c>
    </row>
    <row r="2877" spans="2:4">
      <c r="B2877" s="6" t="s">
        <v>49</v>
      </c>
      <c r="C2877" s="6" t="s">
        <v>51</v>
      </c>
      <c r="D2877" s="5">
        <v>44933</v>
      </c>
    </row>
    <row r="2878" spans="2:4">
      <c r="B2878" s="6" t="s">
        <v>368</v>
      </c>
      <c r="C2878" s="6" t="s">
        <v>313</v>
      </c>
      <c r="D2878" s="5">
        <v>44933</v>
      </c>
    </row>
    <row r="2879" spans="2:4">
      <c r="B2879" s="6" t="s">
        <v>310</v>
      </c>
      <c r="C2879" s="6" t="s">
        <v>335</v>
      </c>
      <c r="D2879" s="5">
        <v>44933</v>
      </c>
    </row>
    <row r="2880" spans="2:4">
      <c r="B2880" s="6" t="s">
        <v>436</v>
      </c>
      <c r="C2880" s="6" t="s">
        <v>111</v>
      </c>
      <c r="D2880" s="5">
        <v>44933</v>
      </c>
    </row>
    <row r="2881" spans="2:4">
      <c r="B2881" s="6" t="s">
        <v>267</v>
      </c>
      <c r="C2881" s="6" t="s">
        <v>102</v>
      </c>
      <c r="D2881" s="5">
        <v>44933</v>
      </c>
    </row>
    <row r="2882" spans="2:4">
      <c r="B2882" s="6" t="s">
        <v>287</v>
      </c>
      <c r="C2882" s="6" t="s">
        <v>171</v>
      </c>
      <c r="D2882" s="5">
        <v>44933</v>
      </c>
    </row>
    <row r="2883" spans="2:4">
      <c r="B2883" s="6" t="s">
        <v>98</v>
      </c>
      <c r="C2883" s="6" t="s">
        <v>338</v>
      </c>
      <c r="D2883" s="5">
        <v>44933</v>
      </c>
    </row>
    <row r="2884" spans="2:4">
      <c r="B2884" s="6" t="s">
        <v>306</v>
      </c>
      <c r="C2884" s="6" t="s">
        <v>150</v>
      </c>
      <c r="D2884" s="5">
        <v>44933</v>
      </c>
    </row>
    <row r="2885" spans="2:4">
      <c r="B2885" s="6" t="s">
        <v>409</v>
      </c>
      <c r="C2885" s="6" t="s">
        <v>286</v>
      </c>
      <c r="D2885" s="5">
        <v>44933</v>
      </c>
    </row>
    <row r="2886" spans="2:4">
      <c r="B2886" s="6" t="s">
        <v>179</v>
      </c>
      <c r="C2886" s="6" t="s">
        <v>272</v>
      </c>
      <c r="D2886" s="5">
        <v>44933</v>
      </c>
    </row>
    <row r="2887" spans="2:4">
      <c r="B2887" s="6" t="s">
        <v>403</v>
      </c>
      <c r="C2887" s="6" t="s">
        <v>391</v>
      </c>
      <c r="D2887" s="5">
        <v>44933</v>
      </c>
    </row>
    <row r="2888" spans="2:4">
      <c r="B2888" s="6" t="s">
        <v>35</v>
      </c>
      <c r="C2888" s="6" t="s">
        <v>39</v>
      </c>
      <c r="D2888" s="5">
        <v>44933</v>
      </c>
    </row>
    <row r="2889" spans="2:4">
      <c r="B2889" s="6" t="s">
        <v>332</v>
      </c>
      <c r="C2889" s="6" t="s">
        <v>249</v>
      </c>
      <c r="D2889" s="5">
        <v>44933</v>
      </c>
    </row>
    <row r="2890" spans="2:4">
      <c r="B2890" s="6" t="s">
        <v>183</v>
      </c>
      <c r="C2890" s="6" t="s">
        <v>94</v>
      </c>
      <c r="D2890" s="5">
        <v>44933</v>
      </c>
    </row>
    <row r="2891" spans="2:4">
      <c r="B2891" s="6" t="s">
        <v>343</v>
      </c>
      <c r="C2891" s="6" t="s">
        <v>319</v>
      </c>
      <c r="D2891" s="5">
        <v>44933</v>
      </c>
    </row>
    <row r="2892" spans="2:4">
      <c r="B2892" s="6" t="s">
        <v>342</v>
      </c>
      <c r="C2892" s="6" t="s">
        <v>588</v>
      </c>
      <c r="D2892" s="5">
        <v>44933</v>
      </c>
    </row>
    <row r="2893" spans="2:4">
      <c r="B2893" s="6" t="s">
        <v>386</v>
      </c>
      <c r="C2893" s="6" t="s">
        <v>394</v>
      </c>
      <c r="D2893" s="5">
        <v>44933</v>
      </c>
    </row>
    <row r="2894" spans="2:4">
      <c r="B2894" s="6" t="s">
        <v>250</v>
      </c>
      <c r="C2894" s="6" t="s">
        <v>304</v>
      </c>
      <c r="D2894" s="5">
        <v>44933</v>
      </c>
    </row>
    <row r="2895" spans="2:4">
      <c r="B2895" s="6" t="s">
        <v>240</v>
      </c>
      <c r="C2895" s="6" t="s">
        <v>321</v>
      </c>
      <c r="D2895" s="5">
        <v>44933</v>
      </c>
    </row>
    <row r="2896" spans="2:4">
      <c r="B2896" s="6" t="s">
        <v>603</v>
      </c>
      <c r="C2896" s="6" t="s">
        <v>309</v>
      </c>
      <c r="D2896" s="5">
        <v>44933</v>
      </c>
    </row>
    <row r="2897" spans="2:4">
      <c r="B2897" s="6" t="s">
        <v>70</v>
      </c>
      <c r="C2897" s="6" t="s">
        <v>78</v>
      </c>
      <c r="D2897" s="5">
        <v>44933</v>
      </c>
    </row>
    <row r="2898" spans="2:4">
      <c r="B2898" s="6" t="s">
        <v>188</v>
      </c>
      <c r="C2898" s="6" t="s">
        <v>47</v>
      </c>
      <c r="D2898" s="5">
        <v>44933</v>
      </c>
    </row>
    <row r="2899" spans="2:4">
      <c r="B2899" s="6" t="s">
        <v>186</v>
      </c>
      <c r="C2899" s="6" t="s">
        <v>320</v>
      </c>
      <c r="D2899" s="5">
        <v>44933</v>
      </c>
    </row>
    <row r="2900" spans="2:4">
      <c r="B2900" s="6" t="s">
        <v>134</v>
      </c>
      <c r="C2900" s="6" t="s">
        <v>584</v>
      </c>
      <c r="D2900" s="5">
        <v>44933</v>
      </c>
    </row>
    <row r="2901" spans="2:4">
      <c r="B2901" s="6" t="s">
        <v>295</v>
      </c>
      <c r="C2901" s="6" t="s">
        <v>640</v>
      </c>
      <c r="D2901" s="5">
        <v>44933</v>
      </c>
    </row>
    <row r="2902" spans="2:4">
      <c r="B2902" s="6" t="s">
        <v>288</v>
      </c>
      <c r="C2902" s="6" t="s">
        <v>127</v>
      </c>
      <c r="D2902" s="5">
        <v>44933</v>
      </c>
    </row>
    <row r="2903" spans="2:4">
      <c r="B2903" s="6" t="s">
        <v>194</v>
      </c>
      <c r="C2903" s="6" t="s">
        <v>367</v>
      </c>
      <c r="D2903" s="5">
        <v>44933</v>
      </c>
    </row>
    <row r="2904" spans="2:4">
      <c r="B2904" s="6" t="s">
        <v>432</v>
      </c>
      <c r="C2904" s="6" t="s">
        <v>118</v>
      </c>
      <c r="D2904" s="5">
        <v>44933</v>
      </c>
    </row>
    <row r="2905" spans="2:4">
      <c r="B2905" s="6" t="s">
        <v>158</v>
      </c>
      <c r="C2905" s="6" t="s">
        <v>402</v>
      </c>
      <c r="D2905" s="5">
        <v>44933</v>
      </c>
    </row>
    <row r="2906" spans="2:4">
      <c r="B2906" s="6" t="s">
        <v>393</v>
      </c>
      <c r="C2906" s="6" t="s">
        <v>389</v>
      </c>
      <c r="D2906" s="5">
        <v>44933</v>
      </c>
    </row>
    <row r="2907" spans="2:4">
      <c r="B2907" s="6" t="s">
        <v>415</v>
      </c>
      <c r="C2907" s="6" t="s">
        <v>388</v>
      </c>
      <c r="D2907" s="5">
        <v>44933</v>
      </c>
    </row>
    <row r="2908" spans="2:4">
      <c r="B2908" s="6" t="s">
        <v>147</v>
      </c>
      <c r="C2908" s="6" t="s">
        <v>355</v>
      </c>
      <c r="D2908" s="5">
        <v>44933</v>
      </c>
    </row>
    <row r="2909" spans="2:4">
      <c r="B2909" s="6" t="s">
        <v>32</v>
      </c>
      <c r="C2909" s="6" t="s">
        <v>26</v>
      </c>
      <c r="D2909" s="5">
        <v>44933</v>
      </c>
    </row>
    <row r="2910" spans="2:4">
      <c r="B2910" s="6" t="s">
        <v>28</v>
      </c>
      <c r="C2910" s="6" t="s">
        <v>33</v>
      </c>
      <c r="D2910" s="5">
        <v>44933</v>
      </c>
    </row>
    <row r="2911" spans="2:4">
      <c r="B2911" s="6" t="s">
        <v>125</v>
      </c>
      <c r="C2911" s="6" t="s">
        <v>97</v>
      </c>
      <c r="D2911" s="5">
        <v>44933</v>
      </c>
    </row>
    <row r="2912" spans="2:4">
      <c r="B2912" s="6" t="s">
        <v>318</v>
      </c>
      <c r="C2912" s="6" t="s">
        <v>241</v>
      </c>
      <c r="D2912" s="5">
        <v>44933</v>
      </c>
    </row>
    <row r="2913" spans="2:4">
      <c r="B2913" s="6" t="s">
        <v>363</v>
      </c>
      <c r="C2913" s="6" t="s">
        <v>312</v>
      </c>
      <c r="D2913" s="5">
        <v>44933</v>
      </c>
    </row>
    <row r="2914" spans="2:4">
      <c r="B2914" s="6" t="s">
        <v>119</v>
      </c>
      <c r="C2914" s="6" t="s">
        <v>139</v>
      </c>
      <c r="D2914" s="5">
        <v>44933</v>
      </c>
    </row>
    <row r="2915" spans="2:4">
      <c r="B2915" s="6" t="s">
        <v>242</v>
      </c>
      <c r="C2915" s="6" t="s">
        <v>135</v>
      </c>
      <c r="D2915" s="5">
        <v>44933</v>
      </c>
    </row>
    <row r="2916" spans="2:4">
      <c r="B2916" s="6" t="s">
        <v>107</v>
      </c>
      <c r="C2916" s="6" t="s">
        <v>351</v>
      </c>
      <c r="D2916" s="5">
        <v>44933</v>
      </c>
    </row>
    <row r="2917" spans="2:4">
      <c r="B2917" s="6" t="s">
        <v>91</v>
      </c>
      <c r="C2917" s="6" t="s">
        <v>81</v>
      </c>
      <c r="D2917" s="5">
        <v>44933</v>
      </c>
    </row>
    <row r="2918" spans="2:4">
      <c r="B2918" s="6" t="s">
        <v>200</v>
      </c>
      <c r="C2918" s="6" t="s">
        <v>284</v>
      </c>
      <c r="D2918" s="5">
        <v>44933</v>
      </c>
    </row>
    <row r="2919" spans="2:4">
      <c r="B2919" s="6" t="s">
        <v>120</v>
      </c>
      <c r="C2919" s="6" t="s">
        <v>128</v>
      </c>
      <c r="D2919" s="5">
        <v>44933</v>
      </c>
    </row>
    <row r="2920" spans="2:4">
      <c r="B2920" s="6" t="s">
        <v>181</v>
      </c>
      <c r="C2920" s="6" t="s">
        <v>170</v>
      </c>
      <c r="D2920" s="5">
        <v>44933</v>
      </c>
    </row>
    <row r="2921" spans="2:4">
      <c r="B2921" s="6" t="s">
        <v>382</v>
      </c>
      <c r="C2921" s="6" t="s">
        <v>232</v>
      </c>
      <c r="D2921" s="5">
        <v>44933</v>
      </c>
    </row>
    <row r="2922" spans="2:4">
      <c r="B2922" s="6" t="s">
        <v>364</v>
      </c>
      <c r="C2922" s="6" t="s">
        <v>314</v>
      </c>
      <c r="D2922" s="5">
        <v>44933</v>
      </c>
    </row>
    <row r="2923" spans="2:4">
      <c r="B2923" s="6" t="s">
        <v>162</v>
      </c>
      <c r="C2923" s="6" t="s">
        <v>168</v>
      </c>
      <c r="D2923" s="5">
        <v>44933</v>
      </c>
    </row>
    <row r="2924" spans="2:4">
      <c r="B2924" s="6" t="s">
        <v>99</v>
      </c>
      <c r="C2924" s="6" t="s">
        <v>123</v>
      </c>
      <c r="D2924" s="5">
        <v>44933</v>
      </c>
    </row>
    <row r="2925" spans="2:4">
      <c r="B2925" s="6" t="s">
        <v>77</v>
      </c>
      <c r="C2925" s="6" t="s">
        <v>69</v>
      </c>
      <c r="D2925" s="5">
        <v>44933</v>
      </c>
    </row>
    <row r="2926" spans="2:4">
      <c r="B2926" s="6" t="s">
        <v>27</v>
      </c>
      <c r="C2926" s="6" t="s">
        <v>29</v>
      </c>
      <c r="D2926" s="5">
        <v>44933</v>
      </c>
    </row>
    <row r="2927" spans="2:4">
      <c r="B2927" s="6" t="s">
        <v>303</v>
      </c>
      <c r="C2927" s="6" t="s">
        <v>399</v>
      </c>
      <c r="D2927" s="5">
        <v>44933</v>
      </c>
    </row>
    <row r="2928" spans="2:4">
      <c r="B2928" s="6" t="s">
        <v>138</v>
      </c>
      <c r="C2928" s="6" t="s">
        <v>419</v>
      </c>
      <c r="D2928" s="5">
        <v>44933</v>
      </c>
    </row>
    <row r="2929" spans="2:4">
      <c r="B2929" s="6" t="s">
        <v>100</v>
      </c>
      <c r="C2929" s="6" t="s">
        <v>108</v>
      </c>
      <c r="D2929" s="5">
        <v>44933</v>
      </c>
    </row>
    <row r="2930" spans="2:4">
      <c r="B2930" s="6" t="s">
        <v>274</v>
      </c>
      <c r="C2930" s="6" t="s">
        <v>195</v>
      </c>
      <c r="D2930" s="5">
        <v>44933</v>
      </c>
    </row>
    <row r="2931" spans="2:4">
      <c r="B2931" s="6" t="s">
        <v>345</v>
      </c>
      <c r="C2931" s="6" t="s">
        <v>378</v>
      </c>
      <c r="D2931" s="5">
        <v>44933</v>
      </c>
    </row>
    <row r="2932" spans="2:4">
      <c r="B2932" s="6" t="s">
        <v>103</v>
      </c>
      <c r="C2932" s="6" t="s">
        <v>282</v>
      </c>
      <c r="D2932" s="5">
        <v>44933</v>
      </c>
    </row>
    <row r="2933" spans="2:4">
      <c r="B2933" s="6" t="s">
        <v>292</v>
      </c>
      <c r="C2933" s="6" t="s">
        <v>354</v>
      </c>
      <c r="D2933" s="5">
        <v>44933</v>
      </c>
    </row>
    <row r="2934" spans="2:4">
      <c r="B2934" s="6" t="s">
        <v>52</v>
      </c>
      <c r="C2934" s="6" t="s">
        <v>149</v>
      </c>
      <c r="D2934" s="5">
        <v>44933</v>
      </c>
    </row>
    <row r="2935" spans="2:4">
      <c r="B2935" s="6" t="s">
        <v>344</v>
      </c>
      <c r="C2935" s="6" t="s">
        <v>383</v>
      </c>
      <c r="D2935" s="5">
        <v>44933</v>
      </c>
    </row>
    <row r="2936" spans="2:4">
      <c r="B2936" s="6" t="s">
        <v>365</v>
      </c>
      <c r="C2936" s="6" t="s">
        <v>259</v>
      </c>
      <c r="D2936" s="5">
        <v>44933</v>
      </c>
    </row>
    <row r="2937" spans="2:4">
      <c r="B2937" s="6" t="s">
        <v>348</v>
      </c>
      <c r="C2937" s="6" t="s">
        <v>357</v>
      </c>
      <c r="D2937" s="5">
        <v>44933</v>
      </c>
    </row>
    <row r="2938" spans="2:4">
      <c r="B2938" s="6" t="s">
        <v>184</v>
      </c>
      <c r="C2938" s="6" t="s">
        <v>331</v>
      </c>
      <c r="D2938" s="5">
        <v>44933</v>
      </c>
    </row>
    <row r="2939" spans="2:4">
      <c r="B2939" s="6" t="s">
        <v>154</v>
      </c>
      <c r="C2939" s="6" t="s">
        <v>599</v>
      </c>
      <c r="D2939" s="5">
        <v>44933</v>
      </c>
    </row>
    <row r="2940" spans="2:4">
      <c r="B2940" s="6" t="s">
        <v>141</v>
      </c>
      <c r="C2940" s="6" t="s">
        <v>586</v>
      </c>
      <c r="D2940" s="5">
        <v>44933</v>
      </c>
    </row>
    <row r="2941" spans="2:4">
      <c r="B2941" s="6" t="s">
        <v>426</v>
      </c>
      <c r="C2941" s="6" t="s">
        <v>190</v>
      </c>
      <c r="D2941" s="5">
        <v>44933</v>
      </c>
    </row>
    <row r="2942" spans="2:4">
      <c r="B2942" s="6" t="s">
        <v>353</v>
      </c>
      <c r="C2942" s="6" t="s">
        <v>248</v>
      </c>
      <c r="D2942" s="5">
        <v>44933</v>
      </c>
    </row>
    <row r="2943" spans="2:4">
      <c r="B2943" s="6" t="s">
        <v>610</v>
      </c>
      <c r="C2943" s="6" t="s">
        <v>356</v>
      </c>
      <c r="D2943" s="5">
        <v>44933</v>
      </c>
    </row>
    <row r="2944" spans="2:4">
      <c r="B2944" s="6" t="s">
        <v>173</v>
      </c>
      <c r="C2944" s="6" t="s">
        <v>142</v>
      </c>
      <c r="D2944" s="5">
        <v>44933</v>
      </c>
    </row>
    <row r="2945" spans="2:4">
      <c r="B2945" s="6" t="s">
        <v>83</v>
      </c>
      <c r="C2945" s="6" t="s">
        <v>84</v>
      </c>
      <c r="D2945" s="5">
        <v>44933</v>
      </c>
    </row>
    <row r="2946" spans="2:4">
      <c r="B2946" s="6" t="s">
        <v>36</v>
      </c>
      <c r="C2946" s="6" t="s">
        <v>42</v>
      </c>
      <c r="D2946" s="5">
        <v>44933</v>
      </c>
    </row>
    <row r="2947" spans="2:4">
      <c r="B2947" s="6" t="s">
        <v>109</v>
      </c>
      <c r="C2947" s="6" t="s">
        <v>105</v>
      </c>
      <c r="D2947" s="5">
        <v>44933</v>
      </c>
    </row>
    <row r="2948" spans="2:4">
      <c r="B2948" s="6" t="s">
        <v>615</v>
      </c>
      <c r="C2948" s="6" t="s">
        <v>370</v>
      </c>
      <c r="D2948" s="5">
        <v>44933</v>
      </c>
    </row>
    <row r="2949" spans="2:4">
      <c r="B2949" s="6" t="s">
        <v>375</v>
      </c>
      <c r="C2949" s="6" t="s">
        <v>159</v>
      </c>
      <c r="D2949" s="5">
        <v>44933</v>
      </c>
    </row>
    <row r="2950" spans="2:4">
      <c r="B2950" s="6" t="s">
        <v>398</v>
      </c>
      <c r="C2950" s="6" t="s">
        <v>161</v>
      </c>
      <c r="D2950" s="5">
        <v>44933</v>
      </c>
    </row>
    <row r="2951" spans="2:4">
      <c r="B2951" s="6" t="s">
        <v>621</v>
      </c>
      <c r="C2951" s="6" t="s">
        <v>428</v>
      </c>
      <c r="D2951" s="5">
        <v>44933</v>
      </c>
    </row>
    <row r="2952" spans="2:4">
      <c r="B2952" s="6" t="s">
        <v>206</v>
      </c>
      <c r="C2952" s="6" t="s">
        <v>153</v>
      </c>
      <c r="D2952" s="5">
        <v>44933</v>
      </c>
    </row>
    <row r="2953" spans="2:4">
      <c r="B2953" s="6" t="s">
        <v>72</v>
      </c>
      <c r="C2953" s="6" t="s">
        <v>76</v>
      </c>
      <c r="D2953" s="5">
        <v>44933</v>
      </c>
    </row>
    <row r="2954" spans="2:4">
      <c r="B2954" s="6" t="s">
        <v>189</v>
      </c>
      <c r="C2954" s="6" t="s">
        <v>163</v>
      </c>
      <c r="D2954" s="5">
        <v>44933</v>
      </c>
    </row>
    <row r="2955" spans="2:4">
      <c r="B2955" s="6" t="s">
        <v>160</v>
      </c>
      <c r="C2955" s="6" t="s">
        <v>132</v>
      </c>
      <c r="D2955" s="5">
        <v>44933</v>
      </c>
    </row>
    <row r="2956" spans="2:4">
      <c r="B2956" s="6" t="s">
        <v>433</v>
      </c>
      <c r="C2956" s="6" t="s">
        <v>169</v>
      </c>
      <c r="D2956" s="5">
        <v>44933</v>
      </c>
    </row>
    <row r="2957" spans="2:4">
      <c r="B2957" s="6" t="s">
        <v>166</v>
      </c>
      <c r="C2957" s="6" t="s">
        <v>157</v>
      </c>
      <c r="D2957" s="5">
        <v>44933</v>
      </c>
    </row>
    <row r="2958" spans="2:4">
      <c r="B2958" s="6" t="s">
        <v>207</v>
      </c>
      <c r="C2958" s="6" t="s">
        <v>423</v>
      </c>
      <c r="D2958" s="5">
        <v>44933</v>
      </c>
    </row>
    <row r="2959" spans="2:4">
      <c r="B2959" s="6" t="s">
        <v>62</v>
      </c>
      <c r="C2959" s="6" t="s">
        <v>68</v>
      </c>
      <c r="D2959" s="5">
        <v>44934</v>
      </c>
    </row>
    <row r="2960" spans="2:4">
      <c r="B2960" s="6" t="s">
        <v>131</v>
      </c>
      <c r="C2960" s="6" t="s">
        <v>580</v>
      </c>
      <c r="D2960" s="5">
        <v>44934</v>
      </c>
    </row>
    <row r="2961" spans="2:4">
      <c r="B2961" s="6" t="s">
        <v>253</v>
      </c>
      <c r="C2961" s="6" t="s">
        <v>205</v>
      </c>
      <c r="D2961" s="5">
        <v>44934</v>
      </c>
    </row>
    <row r="2962" spans="2:4">
      <c r="B2962" s="6" t="s">
        <v>64</v>
      </c>
      <c r="C2962" s="6" t="s">
        <v>61</v>
      </c>
      <c r="D2962" s="5">
        <v>44934</v>
      </c>
    </row>
    <row r="2963" spans="2:4">
      <c r="B2963" s="6" t="s">
        <v>137</v>
      </c>
      <c r="C2963" s="6" t="s">
        <v>113</v>
      </c>
      <c r="D2963" s="5">
        <v>44934</v>
      </c>
    </row>
    <row r="2964" spans="2:4">
      <c r="B2964" s="6" t="s">
        <v>231</v>
      </c>
      <c r="C2964" s="6" t="s">
        <v>352</v>
      </c>
      <c r="D2964" s="5">
        <v>44934</v>
      </c>
    </row>
    <row r="2965" spans="2:4">
      <c r="B2965" s="6" t="s">
        <v>106</v>
      </c>
      <c r="C2965" s="6" t="s">
        <v>301</v>
      </c>
      <c r="D2965" s="5">
        <v>44934</v>
      </c>
    </row>
    <row r="2966" spans="2:4">
      <c r="B2966" s="6" t="s">
        <v>56</v>
      </c>
      <c r="C2966" s="6" t="s">
        <v>57</v>
      </c>
      <c r="D2966" s="5">
        <v>44934</v>
      </c>
    </row>
    <row r="2967" spans="2:4">
      <c r="B2967" s="6" t="s">
        <v>266</v>
      </c>
      <c r="C2967" s="6" t="s">
        <v>101</v>
      </c>
      <c r="D2967" s="5">
        <v>44934</v>
      </c>
    </row>
    <row r="2968" spans="2:4">
      <c r="B2968" s="6" t="s">
        <v>255</v>
      </c>
      <c r="C2968" s="6" t="s">
        <v>201</v>
      </c>
      <c r="D2968" s="5">
        <v>44934</v>
      </c>
    </row>
    <row r="2969" spans="2:4">
      <c r="B2969" s="6" t="s">
        <v>411</v>
      </c>
      <c r="C2969" s="6" t="s">
        <v>341</v>
      </c>
      <c r="D2969" s="5">
        <v>44934</v>
      </c>
    </row>
    <row r="2970" spans="2:4">
      <c r="B2970" s="6" t="s">
        <v>360</v>
      </c>
      <c r="C2970" s="6" t="s">
        <v>278</v>
      </c>
      <c r="D2970" s="5">
        <v>44934</v>
      </c>
    </row>
    <row r="2971" spans="2:4">
      <c r="B2971" s="6" t="s">
        <v>174</v>
      </c>
      <c r="C2971" s="6" t="s">
        <v>177</v>
      </c>
      <c r="D2971" s="5">
        <v>44934</v>
      </c>
    </row>
    <row r="2972" spans="2:4">
      <c r="B2972" s="6" t="s">
        <v>220</v>
      </c>
      <c r="C2972" s="6" t="s">
        <v>114</v>
      </c>
      <c r="D2972" s="5">
        <v>44934</v>
      </c>
    </row>
    <row r="2973" spans="2:4">
      <c r="B2973" s="6" t="s">
        <v>130</v>
      </c>
      <c r="C2973" s="6" t="s">
        <v>117</v>
      </c>
      <c r="D2973" s="5">
        <v>44934</v>
      </c>
    </row>
    <row r="2974" spans="2:4">
      <c r="B2974" s="6" t="s">
        <v>244</v>
      </c>
      <c r="C2974" s="6" t="s">
        <v>211</v>
      </c>
      <c r="D2974" s="5">
        <v>44934</v>
      </c>
    </row>
    <row r="2975" spans="2:4">
      <c r="B2975" s="6" t="s">
        <v>216</v>
      </c>
      <c r="C2975" s="6" t="s">
        <v>285</v>
      </c>
      <c r="D2975" s="5">
        <v>44934</v>
      </c>
    </row>
    <row r="2976" spans="2:4">
      <c r="B2976" s="6" t="s">
        <v>361</v>
      </c>
      <c r="C2976" s="6" t="s">
        <v>233</v>
      </c>
      <c r="D2976" s="5">
        <v>44934</v>
      </c>
    </row>
    <row r="2977" spans="2:4">
      <c r="B2977" s="6" t="s">
        <v>230</v>
      </c>
      <c r="C2977" s="6" t="s">
        <v>204</v>
      </c>
      <c r="D2977" s="5">
        <v>44934</v>
      </c>
    </row>
    <row r="2978" spans="2:4">
      <c r="B2978" s="6" t="s">
        <v>256</v>
      </c>
      <c r="C2978" s="6" t="s">
        <v>422</v>
      </c>
      <c r="D2978" s="5">
        <v>44934</v>
      </c>
    </row>
    <row r="2979" spans="2:4">
      <c r="B2979" s="6" t="s">
        <v>187</v>
      </c>
      <c r="C2979" s="6" t="s">
        <v>212</v>
      </c>
      <c r="D2979" s="5">
        <v>44934</v>
      </c>
    </row>
    <row r="2980" spans="2:4">
      <c r="B2980" s="6" t="s">
        <v>215</v>
      </c>
      <c r="C2980" s="6" t="s">
        <v>269</v>
      </c>
      <c r="D2980" s="5">
        <v>44934</v>
      </c>
    </row>
    <row r="2981" spans="2:4">
      <c r="B2981" s="6" t="s">
        <v>73</v>
      </c>
      <c r="C2981" s="6" t="s">
        <v>71</v>
      </c>
      <c r="D2981" s="5">
        <v>44934</v>
      </c>
    </row>
    <row r="2982" spans="2:4">
      <c r="B2982" s="6" t="s">
        <v>66</v>
      </c>
      <c r="C2982" s="6" t="s">
        <v>58</v>
      </c>
      <c r="D2982" s="5">
        <v>44934</v>
      </c>
    </row>
    <row r="2983" spans="2:4">
      <c r="B2983" s="6" t="s">
        <v>156</v>
      </c>
      <c r="C2983" s="6" t="s">
        <v>314</v>
      </c>
      <c r="D2983" s="5">
        <v>44935</v>
      </c>
    </row>
    <row r="2984" spans="2:4">
      <c r="B2984" s="6" t="s">
        <v>332</v>
      </c>
      <c r="C2984" s="6" t="s">
        <v>399</v>
      </c>
      <c r="D2984" s="5">
        <v>44935</v>
      </c>
    </row>
    <row r="2985" spans="2:4">
      <c r="B2985" s="6" t="s">
        <v>148</v>
      </c>
      <c r="C2985" s="6" t="s">
        <v>176</v>
      </c>
      <c r="D2985" s="5">
        <v>44935</v>
      </c>
    </row>
    <row r="2986" spans="2:4">
      <c r="B2986" s="6" t="s">
        <v>412</v>
      </c>
      <c r="C2986" s="6" t="s">
        <v>172</v>
      </c>
      <c r="D2986" s="5">
        <v>44935</v>
      </c>
    </row>
    <row r="2987" spans="2:4">
      <c r="B2987" s="6" t="s">
        <v>238</v>
      </c>
      <c r="C2987" s="6" t="s">
        <v>276</v>
      </c>
      <c r="D2987" s="5">
        <v>44935</v>
      </c>
    </row>
    <row r="2988" spans="2:4">
      <c r="B2988" s="6" t="s">
        <v>335</v>
      </c>
      <c r="C2988" s="6" t="s">
        <v>96</v>
      </c>
      <c r="D2988" s="5">
        <v>44935</v>
      </c>
    </row>
    <row r="2989" spans="2:4">
      <c r="B2989" s="6" t="s">
        <v>116</v>
      </c>
      <c r="C2989" s="6" t="s">
        <v>277</v>
      </c>
      <c r="D2989" s="5">
        <v>44935</v>
      </c>
    </row>
    <row r="2990" spans="2:4">
      <c r="B2990" s="6" t="s">
        <v>264</v>
      </c>
      <c r="C2990" s="6" t="s">
        <v>310</v>
      </c>
      <c r="D2990" s="5">
        <v>44935</v>
      </c>
    </row>
    <row r="2991" spans="2:4">
      <c r="B2991" s="6" t="s">
        <v>347</v>
      </c>
      <c r="C2991" s="6" t="s">
        <v>515</v>
      </c>
      <c r="D2991" s="5">
        <v>44935</v>
      </c>
    </row>
    <row r="2992" spans="2:4">
      <c r="B2992" s="6" t="s">
        <v>382</v>
      </c>
      <c r="C2992" s="6" t="s">
        <v>170</v>
      </c>
      <c r="D2992" s="5">
        <v>44935</v>
      </c>
    </row>
    <row r="2993" spans="2:4">
      <c r="B2993" s="6" t="s">
        <v>364</v>
      </c>
      <c r="C2993" s="6" t="s">
        <v>308</v>
      </c>
      <c r="D2993" s="5">
        <v>44935</v>
      </c>
    </row>
    <row r="2994" spans="2:4">
      <c r="B2994" s="6" t="s">
        <v>303</v>
      </c>
      <c r="C2994" s="6" t="s">
        <v>249</v>
      </c>
      <c r="D2994" s="5">
        <v>44935</v>
      </c>
    </row>
    <row r="2995" spans="2:4">
      <c r="B2995" s="6" t="s">
        <v>181</v>
      </c>
      <c r="C2995" s="6" t="s">
        <v>232</v>
      </c>
      <c r="D2995" s="5">
        <v>44935</v>
      </c>
    </row>
    <row r="2996" spans="2:4">
      <c r="B2996" s="6" t="s">
        <v>433</v>
      </c>
      <c r="C2996" s="6" t="s">
        <v>394</v>
      </c>
      <c r="D2996" s="5">
        <v>44936</v>
      </c>
    </row>
    <row r="2997" spans="2:4">
      <c r="B2997" s="6" t="s">
        <v>302</v>
      </c>
      <c r="C2997" s="6" t="s">
        <v>42</v>
      </c>
      <c r="D2997" s="5">
        <v>44936</v>
      </c>
    </row>
    <row r="2998" spans="2:4">
      <c r="B2998" s="6" t="s">
        <v>80</v>
      </c>
      <c r="C2998" s="6" t="s">
        <v>90</v>
      </c>
      <c r="D2998" s="5">
        <v>44936</v>
      </c>
    </row>
    <row r="2999" spans="2:4">
      <c r="B2999" s="6" t="s">
        <v>349</v>
      </c>
      <c r="C2999" s="6" t="s">
        <v>214</v>
      </c>
      <c r="D2999" s="5">
        <v>44936</v>
      </c>
    </row>
    <row r="3000" spans="2:4">
      <c r="B3000" s="6" t="s">
        <v>587</v>
      </c>
      <c r="C3000" s="6" t="s">
        <v>122</v>
      </c>
      <c r="D3000" s="5">
        <v>44936</v>
      </c>
    </row>
    <row r="3001" spans="2:4">
      <c r="B3001" s="6" t="s">
        <v>33</v>
      </c>
      <c r="C3001" s="6" t="s">
        <v>322</v>
      </c>
      <c r="D3001" s="5">
        <v>44936</v>
      </c>
    </row>
    <row r="3002" spans="2:4">
      <c r="B3002" s="6" t="s">
        <v>139</v>
      </c>
      <c r="C3002" s="6" t="s">
        <v>186</v>
      </c>
      <c r="D3002" s="5">
        <v>44936</v>
      </c>
    </row>
    <row r="3003" spans="2:4">
      <c r="B3003" s="6" t="s">
        <v>46</v>
      </c>
      <c r="C3003" s="6" t="s">
        <v>50</v>
      </c>
      <c r="D3003" s="5">
        <v>44936</v>
      </c>
    </row>
    <row r="3004" spans="2:4">
      <c r="B3004" s="6" t="s">
        <v>65</v>
      </c>
      <c r="C3004" s="6" t="s">
        <v>55</v>
      </c>
      <c r="D3004" s="5">
        <v>44936</v>
      </c>
    </row>
    <row r="3005" spans="2:4">
      <c r="B3005" s="6" t="s">
        <v>81</v>
      </c>
      <c r="C3005" s="6" t="s">
        <v>79</v>
      </c>
      <c r="D3005" s="5">
        <v>44936</v>
      </c>
    </row>
    <row r="3006" spans="2:4">
      <c r="B3006" s="6" t="s">
        <v>350</v>
      </c>
      <c r="C3006" s="6" t="s">
        <v>121</v>
      </c>
      <c r="D3006" s="5">
        <v>44936</v>
      </c>
    </row>
    <row r="3007" spans="2:4">
      <c r="B3007" s="6" t="s">
        <v>180</v>
      </c>
      <c r="C3007" s="6" t="s">
        <v>140</v>
      </c>
      <c r="D3007" s="5">
        <v>44936</v>
      </c>
    </row>
    <row r="3008" spans="2:4">
      <c r="B3008" s="6" t="s">
        <v>288</v>
      </c>
      <c r="C3008" s="6" t="s">
        <v>105</v>
      </c>
      <c r="D3008" s="5">
        <v>44936</v>
      </c>
    </row>
    <row r="3009" spans="2:4">
      <c r="B3009" s="6" t="s">
        <v>209</v>
      </c>
      <c r="C3009" s="6" t="s">
        <v>203</v>
      </c>
      <c r="D3009" s="5">
        <v>44936</v>
      </c>
    </row>
    <row r="3010" spans="2:4">
      <c r="B3010" s="6" t="s">
        <v>414</v>
      </c>
      <c r="C3010" s="6" t="s">
        <v>247</v>
      </c>
      <c r="D3010" s="5">
        <v>44936</v>
      </c>
    </row>
    <row r="3011" spans="2:4">
      <c r="B3011" s="6" t="s">
        <v>127</v>
      </c>
      <c r="C3011" s="6" t="s">
        <v>109</v>
      </c>
      <c r="D3011" s="5">
        <v>44936</v>
      </c>
    </row>
    <row r="3012" spans="2:4">
      <c r="B3012" s="6" t="s">
        <v>31</v>
      </c>
      <c r="C3012" s="6" t="s">
        <v>27</v>
      </c>
      <c r="D3012" s="5">
        <v>44936</v>
      </c>
    </row>
    <row r="3013" spans="2:4">
      <c r="B3013" s="6" t="s">
        <v>95</v>
      </c>
      <c r="C3013" s="6" t="s">
        <v>145</v>
      </c>
      <c r="D3013" s="5">
        <v>44936</v>
      </c>
    </row>
    <row r="3014" spans="2:4">
      <c r="B3014" s="6" t="s">
        <v>280</v>
      </c>
      <c r="C3014" s="6" t="s">
        <v>363</v>
      </c>
      <c r="D3014" s="5">
        <v>44936</v>
      </c>
    </row>
    <row r="3015" spans="2:4">
      <c r="B3015" s="6" t="s">
        <v>318</v>
      </c>
      <c r="C3015" s="6" t="s">
        <v>312</v>
      </c>
      <c r="D3015" s="5">
        <v>44936</v>
      </c>
    </row>
    <row r="3016" spans="2:4">
      <c r="B3016" s="6" t="s">
        <v>400</v>
      </c>
      <c r="C3016" s="6" t="s">
        <v>362</v>
      </c>
      <c r="D3016" s="5">
        <v>44936</v>
      </c>
    </row>
    <row r="3017" spans="2:4">
      <c r="B3017" s="6" t="s">
        <v>41</v>
      </c>
      <c r="C3017" s="6" t="s">
        <v>36</v>
      </c>
      <c r="D3017" s="5">
        <v>44936</v>
      </c>
    </row>
    <row r="3018" spans="2:4">
      <c r="B3018" s="6" t="s">
        <v>188</v>
      </c>
      <c r="C3018" s="6" t="s">
        <v>251</v>
      </c>
      <c r="D3018" s="5">
        <v>44936</v>
      </c>
    </row>
    <row r="3019" spans="2:4">
      <c r="B3019" s="6" t="s">
        <v>26</v>
      </c>
      <c r="C3019" s="6" t="s">
        <v>29</v>
      </c>
      <c r="D3019" s="5">
        <v>44936</v>
      </c>
    </row>
    <row r="3020" spans="2:4">
      <c r="B3020" s="6" t="s">
        <v>86</v>
      </c>
      <c r="C3020" s="6" t="s">
        <v>185</v>
      </c>
      <c r="D3020" s="5">
        <v>44936</v>
      </c>
    </row>
    <row r="3021" spans="2:4">
      <c r="B3021" s="6" t="s">
        <v>88</v>
      </c>
      <c r="C3021" s="6" t="s">
        <v>83</v>
      </c>
      <c r="D3021" s="5">
        <v>44936</v>
      </c>
    </row>
    <row r="3022" spans="2:4">
      <c r="B3022" s="6" t="s">
        <v>155</v>
      </c>
      <c r="C3022" s="6" t="s">
        <v>35</v>
      </c>
      <c r="D3022" s="5">
        <v>44936</v>
      </c>
    </row>
    <row r="3023" spans="2:4">
      <c r="B3023" s="6" t="s">
        <v>67</v>
      </c>
      <c r="C3023" s="6" t="s">
        <v>60</v>
      </c>
      <c r="D3023" s="5">
        <v>44936</v>
      </c>
    </row>
    <row r="3024" spans="2:4">
      <c r="B3024" s="6" t="s">
        <v>386</v>
      </c>
      <c r="C3024" s="6" t="s">
        <v>198</v>
      </c>
      <c r="D3024" s="5">
        <v>44936</v>
      </c>
    </row>
    <row r="3025" spans="2:4">
      <c r="B3025" s="6" t="s">
        <v>168</v>
      </c>
      <c r="C3025" s="6" t="s">
        <v>152</v>
      </c>
      <c r="D3025" s="5">
        <v>44936</v>
      </c>
    </row>
    <row r="3026" spans="2:4">
      <c r="B3026" s="6" t="s">
        <v>392</v>
      </c>
      <c r="C3026" s="6" t="s">
        <v>169</v>
      </c>
      <c r="D3026" s="5">
        <v>44936</v>
      </c>
    </row>
    <row r="3027" spans="2:4">
      <c r="B3027" s="6" t="s">
        <v>167</v>
      </c>
      <c r="C3027" s="6" t="s">
        <v>621</v>
      </c>
      <c r="D3027" s="5">
        <v>44937</v>
      </c>
    </row>
    <row r="3028" spans="2:4">
      <c r="B3028" s="6" t="s">
        <v>148</v>
      </c>
      <c r="C3028" s="6" t="s">
        <v>360</v>
      </c>
      <c r="D3028" s="5">
        <v>44937</v>
      </c>
    </row>
    <row r="3029" spans="2:4">
      <c r="B3029" s="6" t="s">
        <v>269</v>
      </c>
      <c r="C3029" s="6" t="s">
        <v>205</v>
      </c>
      <c r="D3029" s="5">
        <v>44937</v>
      </c>
    </row>
    <row r="3030" spans="2:4">
      <c r="B3030" s="6" t="s">
        <v>89</v>
      </c>
      <c r="C3030" s="6" t="s">
        <v>85</v>
      </c>
      <c r="D3030" s="5">
        <v>44937</v>
      </c>
    </row>
    <row r="3031" spans="2:4">
      <c r="B3031" s="6" t="s">
        <v>297</v>
      </c>
      <c r="C3031" s="6" t="s">
        <v>395</v>
      </c>
      <c r="D3031" s="5">
        <v>44937</v>
      </c>
    </row>
    <row r="3032" spans="2:4">
      <c r="B3032" s="6" t="s">
        <v>32</v>
      </c>
      <c r="C3032" s="6" t="s">
        <v>28</v>
      </c>
      <c r="D3032" s="5">
        <v>44937</v>
      </c>
    </row>
    <row r="3033" spans="2:4">
      <c r="B3033" s="6" t="s">
        <v>44</v>
      </c>
      <c r="C3033" s="6" t="s">
        <v>49</v>
      </c>
      <c r="D3033" s="5">
        <v>44937</v>
      </c>
    </row>
    <row r="3034" spans="2:4">
      <c r="B3034" s="6" t="s">
        <v>39</v>
      </c>
      <c r="C3034" s="6" t="s">
        <v>38</v>
      </c>
      <c r="D3034" s="5">
        <v>44937</v>
      </c>
    </row>
    <row r="3035" spans="2:4">
      <c r="B3035" s="6" t="s">
        <v>84</v>
      </c>
      <c r="C3035" s="6" t="s">
        <v>82</v>
      </c>
      <c r="D3035" s="5">
        <v>44937</v>
      </c>
    </row>
    <row r="3036" spans="2:4">
      <c r="B3036" s="6" t="s">
        <v>66</v>
      </c>
      <c r="C3036" s="6" t="s">
        <v>62</v>
      </c>
      <c r="D3036" s="5">
        <v>44937</v>
      </c>
    </row>
    <row r="3037" spans="2:4">
      <c r="B3037" s="6" t="s">
        <v>411</v>
      </c>
      <c r="C3037" s="6" t="s">
        <v>144</v>
      </c>
      <c r="D3037" s="5">
        <v>44937</v>
      </c>
    </row>
    <row r="3038" spans="2:4">
      <c r="B3038" s="6" t="s">
        <v>176</v>
      </c>
      <c r="C3038" s="6" t="s">
        <v>278</v>
      </c>
      <c r="D3038" s="5">
        <v>44937</v>
      </c>
    </row>
    <row r="3039" spans="2:4">
      <c r="B3039" s="6" t="s">
        <v>114</v>
      </c>
      <c r="C3039" s="6" t="s">
        <v>131</v>
      </c>
      <c r="D3039" s="5">
        <v>44937</v>
      </c>
    </row>
    <row r="3040" spans="2:4">
      <c r="B3040" s="6" t="s">
        <v>113</v>
      </c>
      <c r="C3040" s="6" t="s">
        <v>580</v>
      </c>
      <c r="D3040" s="5">
        <v>44937</v>
      </c>
    </row>
    <row r="3041" spans="2:4">
      <c r="B3041" s="6" t="s">
        <v>325</v>
      </c>
      <c r="C3041" s="6" t="s">
        <v>241</v>
      </c>
      <c r="D3041" s="5">
        <v>44937</v>
      </c>
    </row>
    <row r="3042" spans="2:4">
      <c r="B3042" s="6" t="s">
        <v>47</v>
      </c>
      <c r="C3042" s="6" t="s">
        <v>52</v>
      </c>
      <c r="D3042" s="5">
        <v>44937</v>
      </c>
    </row>
    <row r="3043" spans="2:4">
      <c r="B3043" s="6" t="s">
        <v>48</v>
      </c>
      <c r="C3043" s="6" t="s">
        <v>54</v>
      </c>
      <c r="D3043" s="5">
        <v>44937</v>
      </c>
    </row>
    <row r="3044" spans="2:4">
      <c r="B3044" s="6" t="s">
        <v>174</v>
      </c>
      <c r="C3044" s="6" t="s">
        <v>253</v>
      </c>
      <c r="D3044" s="5">
        <v>44937</v>
      </c>
    </row>
    <row r="3045" spans="2:4">
      <c r="B3045" s="6" t="s">
        <v>177</v>
      </c>
      <c r="C3045" s="6" t="s">
        <v>126</v>
      </c>
      <c r="D3045" s="5">
        <v>44937</v>
      </c>
    </row>
    <row r="3046" spans="2:4">
      <c r="B3046" s="6" t="s">
        <v>106</v>
      </c>
      <c r="C3046" s="6" t="s">
        <v>215</v>
      </c>
      <c r="D3046" s="5">
        <v>44937</v>
      </c>
    </row>
    <row r="3047" spans="2:4">
      <c r="B3047" s="6" t="s">
        <v>220</v>
      </c>
      <c r="C3047" s="6" t="s">
        <v>137</v>
      </c>
      <c r="D3047" s="5">
        <v>44937</v>
      </c>
    </row>
    <row r="3048" spans="2:4">
      <c r="B3048" s="6" t="s">
        <v>37</v>
      </c>
      <c r="C3048" s="6" t="s">
        <v>245</v>
      </c>
      <c r="D3048" s="5">
        <v>44937</v>
      </c>
    </row>
    <row r="3049" spans="2:4">
      <c r="B3049" s="6" t="s">
        <v>124</v>
      </c>
      <c r="C3049" s="6" t="s">
        <v>252</v>
      </c>
      <c r="D3049" s="5">
        <v>44937</v>
      </c>
    </row>
    <row r="3050" spans="2:4">
      <c r="B3050" s="6" t="s">
        <v>199</v>
      </c>
      <c r="C3050" s="6" t="s">
        <v>200</v>
      </c>
      <c r="D3050" s="5">
        <v>44937</v>
      </c>
    </row>
    <row r="3051" spans="2:4">
      <c r="B3051" s="6" t="s">
        <v>300</v>
      </c>
      <c r="C3051" s="6" t="s">
        <v>210</v>
      </c>
      <c r="D3051" s="5">
        <v>44937</v>
      </c>
    </row>
    <row r="3052" spans="2:4">
      <c r="B3052" s="6" t="s">
        <v>334</v>
      </c>
      <c r="C3052" s="6" t="s">
        <v>284</v>
      </c>
      <c r="D3052" s="5">
        <v>44937</v>
      </c>
    </row>
    <row r="3053" spans="2:4">
      <c r="B3053" s="6" t="s">
        <v>191</v>
      </c>
      <c r="C3053" s="6" t="s">
        <v>202</v>
      </c>
      <c r="D3053" s="5">
        <v>44937</v>
      </c>
    </row>
    <row r="3054" spans="2:4">
      <c r="B3054" s="6" t="s">
        <v>192</v>
      </c>
      <c r="C3054" s="6" t="s">
        <v>425</v>
      </c>
      <c r="D3054" s="5">
        <v>44937</v>
      </c>
    </row>
    <row r="3055" spans="2:4">
      <c r="B3055" s="6" t="s">
        <v>270</v>
      </c>
      <c r="C3055" s="6" t="s">
        <v>110</v>
      </c>
      <c r="D3055" s="5">
        <v>44937</v>
      </c>
    </row>
    <row r="3056" spans="2:4">
      <c r="B3056" s="6" t="s">
        <v>273</v>
      </c>
      <c r="C3056" s="6" t="s">
        <v>298</v>
      </c>
      <c r="D3056" s="5">
        <v>44937</v>
      </c>
    </row>
    <row r="3057" spans="2:4">
      <c r="B3057" s="6" t="s">
        <v>261</v>
      </c>
      <c r="C3057" s="6" t="s">
        <v>267</v>
      </c>
      <c r="D3057" s="5">
        <v>44937</v>
      </c>
    </row>
    <row r="3058" spans="2:4">
      <c r="B3058" s="6" t="s">
        <v>171</v>
      </c>
      <c r="C3058" s="6" t="s">
        <v>111</v>
      </c>
      <c r="D3058" s="5">
        <v>44937</v>
      </c>
    </row>
    <row r="3059" spans="2:4">
      <c r="B3059" s="6" t="s">
        <v>104</v>
      </c>
      <c r="C3059" s="6" t="s">
        <v>287</v>
      </c>
      <c r="D3059" s="5">
        <v>44937</v>
      </c>
    </row>
    <row r="3060" spans="2:4">
      <c r="B3060" s="6" t="s">
        <v>282</v>
      </c>
      <c r="C3060" s="6" t="s">
        <v>436</v>
      </c>
      <c r="D3060" s="5">
        <v>44937</v>
      </c>
    </row>
    <row r="3061" spans="2:4">
      <c r="B3061" s="6" t="s">
        <v>327</v>
      </c>
      <c r="C3061" s="6" t="s">
        <v>432</v>
      </c>
      <c r="D3061" s="5">
        <v>44937</v>
      </c>
    </row>
    <row r="3062" spans="2:4">
      <c r="B3062" s="6" t="s">
        <v>129</v>
      </c>
      <c r="C3062" s="6" t="s">
        <v>268</v>
      </c>
      <c r="D3062" s="5">
        <v>44937</v>
      </c>
    </row>
    <row r="3063" spans="2:4">
      <c r="B3063" s="6" t="s">
        <v>413</v>
      </c>
      <c r="C3063" s="6" t="s">
        <v>179</v>
      </c>
      <c r="D3063" s="5">
        <v>44937</v>
      </c>
    </row>
    <row r="3064" spans="2:4">
      <c r="B3064" s="6" t="s">
        <v>118</v>
      </c>
      <c r="C3064" s="6" t="s">
        <v>123</v>
      </c>
      <c r="D3064" s="5">
        <v>44937</v>
      </c>
    </row>
    <row r="3065" spans="2:4">
      <c r="B3065" s="6" t="s">
        <v>178</v>
      </c>
      <c r="C3065" s="6" t="s">
        <v>115</v>
      </c>
      <c r="D3065" s="5">
        <v>44937</v>
      </c>
    </row>
    <row r="3066" spans="2:4">
      <c r="B3066" s="6" t="s">
        <v>274</v>
      </c>
      <c r="C3066" s="6" t="s">
        <v>421</v>
      </c>
      <c r="D3066" s="5">
        <v>44937</v>
      </c>
    </row>
    <row r="3067" spans="2:4">
      <c r="B3067" s="6" t="s">
        <v>344</v>
      </c>
      <c r="C3067" s="6" t="s">
        <v>345</v>
      </c>
      <c r="D3067" s="5">
        <v>44937</v>
      </c>
    </row>
    <row r="3068" spans="2:4">
      <c r="B3068" s="6" t="s">
        <v>212</v>
      </c>
      <c r="C3068" s="6" t="s">
        <v>231</v>
      </c>
      <c r="D3068" s="5">
        <v>44937</v>
      </c>
    </row>
    <row r="3069" spans="2:4">
      <c r="B3069" s="6" t="s">
        <v>388</v>
      </c>
      <c r="C3069" s="6" t="s">
        <v>347</v>
      </c>
      <c r="D3069" s="5">
        <v>44937</v>
      </c>
    </row>
    <row r="3070" spans="2:4">
      <c r="B3070" s="6" t="s">
        <v>341</v>
      </c>
      <c r="C3070" s="6" t="s">
        <v>221</v>
      </c>
      <c r="D3070" s="5">
        <v>44937</v>
      </c>
    </row>
    <row r="3071" spans="2:4">
      <c r="B3071" s="6" t="s">
        <v>135</v>
      </c>
      <c r="C3071" s="6" t="s">
        <v>373</v>
      </c>
      <c r="D3071" s="5">
        <v>44937</v>
      </c>
    </row>
    <row r="3072" spans="2:4">
      <c r="B3072" s="6" t="s">
        <v>326</v>
      </c>
      <c r="C3072" s="6" t="s">
        <v>320</v>
      </c>
      <c r="D3072" s="5">
        <v>44937</v>
      </c>
    </row>
    <row r="3073" spans="2:4">
      <c r="B3073" s="6" t="s">
        <v>119</v>
      </c>
      <c r="C3073" s="6" t="s">
        <v>213</v>
      </c>
      <c r="D3073" s="5">
        <v>44937</v>
      </c>
    </row>
    <row r="3074" spans="2:4">
      <c r="B3074" s="6" t="s">
        <v>143</v>
      </c>
      <c r="C3074" s="6" t="s">
        <v>242</v>
      </c>
      <c r="D3074" s="5">
        <v>44937</v>
      </c>
    </row>
    <row r="3075" spans="2:4">
      <c r="B3075" s="6" t="s">
        <v>133</v>
      </c>
      <c r="C3075" s="6" t="s">
        <v>281</v>
      </c>
      <c r="D3075" s="5">
        <v>44937</v>
      </c>
    </row>
    <row r="3076" spans="2:4">
      <c r="B3076" s="6" t="s">
        <v>102</v>
      </c>
      <c r="C3076" s="6" t="s">
        <v>103</v>
      </c>
      <c r="D3076" s="5">
        <v>44937</v>
      </c>
    </row>
    <row r="3077" spans="2:4">
      <c r="B3077" s="6" t="s">
        <v>91</v>
      </c>
      <c r="C3077" s="6" t="s">
        <v>87</v>
      </c>
      <c r="D3077" s="5">
        <v>44937</v>
      </c>
    </row>
    <row r="3078" spans="2:4">
      <c r="B3078" s="6" t="s">
        <v>30</v>
      </c>
      <c r="C3078" s="6" t="s">
        <v>34</v>
      </c>
      <c r="D3078" s="5">
        <v>44937</v>
      </c>
    </row>
    <row r="3079" spans="2:4">
      <c r="B3079" s="6" t="s">
        <v>187</v>
      </c>
      <c r="C3079" s="6" t="s">
        <v>275</v>
      </c>
      <c r="D3079" s="5">
        <v>44937</v>
      </c>
    </row>
    <row r="3080" spans="2:4">
      <c r="B3080" s="6" t="s">
        <v>51</v>
      </c>
      <c r="C3080" s="6" t="s">
        <v>43</v>
      </c>
      <c r="D3080" s="5">
        <v>44937</v>
      </c>
    </row>
    <row r="3081" spans="2:4">
      <c r="B3081" s="6" t="s">
        <v>53</v>
      </c>
      <c r="C3081" s="6" t="s">
        <v>45</v>
      </c>
      <c r="D3081" s="5">
        <v>44937</v>
      </c>
    </row>
    <row r="3082" spans="2:4">
      <c r="B3082" s="6" t="s">
        <v>376</v>
      </c>
      <c r="C3082" s="6" t="s">
        <v>368</v>
      </c>
      <c r="D3082" s="5">
        <v>44937</v>
      </c>
    </row>
    <row r="3083" spans="2:4">
      <c r="B3083" s="6" t="s">
        <v>195</v>
      </c>
      <c r="C3083" s="6" t="s">
        <v>313</v>
      </c>
      <c r="D3083" s="5">
        <v>44937</v>
      </c>
    </row>
    <row r="3084" spans="2:4">
      <c r="B3084" s="6" t="s">
        <v>68</v>
      </c>
      <c r="C3084" s="6" t="s">
        <v>64</v>
      </c>
      <c r="D3084" s="5">
        <v>44937</v>
      </c>
    </row>
    <row r="3085" spans="2:4">
      <c r="B3085" s="6" t="s">
        <v>159</v>
      </c>
      <c r="C3085" s="6" t="s">
        <v>383</v>
      </c>
      <c r="D3085" s="5">
        <v>44937</v>
      </c>
    </row>
    <row r="3086" spans="2:4">
      <c r="B3086" s="6" t="s">
        <v>420</v>
      </c>
      <c r="C3086" s="6" t="s">
        <v>207</v>
      </c>
      <c r="D3086" s="5">
        <v>44937</v>
      </c>
    </row>
    <row r="3087" spans="2:4">
      <c r="B3087" s="6" t="s">
        <v>599</v>
      </c>
      <c r="C3087" s="6" t="s">
        <v>141</v>
      </c>
      <c r="D3087" s="5">
        <v>44937</v>
      </c>
    </row>
    <row r="3088" spans="2:4">
      <c r="B3088" s="6" t="s">
        <v>236</v>
      </c>
      <c r="C3088" s="6" t="s">
        <v>154</v>
      </c>
      <c r="D3088" s="5">
        <v>44937</v>
      </c>
    </row>
    <row r="3089" spans="2:4">
      <c r="B3089" s="6" t="s">
        <v>586</v>
      </c>
      <c r="C3089" s="6" t="s">
        <v>423</v>
      </c>
      <c r="D3089" s="5">
        <v>44937</v>
      </c>
    </row>
    <row r="3090" spans="2:4">
      <c r="B3090" s="6" t="s">
        <v>78</v>
      </c>
      <c r="C3090" s="6" t="s">
        <v>164</v>
      </c>
      <c r="D3090" s="5">
        <v>44937</v>
      </c>
    </row>
    <row r="3091" spans="2:4">
      <c r="B3091" s="6" t="s">
        <v>163</v>
      </c>
      <c r="C3091" s="6" t="s">
        <v>162</v>
      </c>
      <c r="D3091" s="5">
        <v>44937</v>
      </c>
    </row>
    <row r="3092" spans="2:4">
      <c r="B3092" s="6" t="s">
        <v>136</v>
      </c>
      <c r="C3092" s="6" t="s">
        <v>294</v>
      </c>
      <c r="D3092" s="5">
        <v>44938</v>
      </c>
    </row>
    <row r="3093" spans="2:4">
      <c r="B3093" s="6" t="s">
        <v>306</v>
      </c>
      <c r="C3093" s="6" t="s">
        <v>409</v>
      </c>
      <c r="D3093" s="5">
        <v>44938</v>
      </c>
    </row>
    <row r="3094" spans="2:4">
      <c r="B3094" s="6" t="s">
        <v>353</v>
      </c>
      <c r="C3094" s="6" t="s">
        <v>354</v>
      </c>
      <c r="D3094" s="5">
        <v>44938</v>
      </c>
    </row>
    <row r="3095" spans="2:4">
      <c r="B3095" s="6" t="s">
        <v>57</v>
      </c>
      <c r="C3095" s="6" t="s">
        <v>63</v>
      </c>
      <c r="D3095" s="5">
        <v>44938</v>
      </c>
    </row>
    <row r="3096" spans="2:4">
      <c r="B3096" s="6" t="s">
        <v>286</v>
      </c>
      <c r="C3096" s="6" t="s">
        <v>289</v>
      </c>
      <c r="D3096" s="5">
        <v>44938</v>
      </c>
    </row>
    <row r="3097" spans="2:4">
      <c r="B3097" s="6" t="s">
        <v>248</v>
      </c>
      <c r="C3097" s="6" t="s">
        <v>142</v>
      </c>
      <c r="D3097" s="5">
        <v>44938</v>
      </c>
    </row>
    <row r="3098" spans="2:4">
      <c r="B3098" s="6" t="s">
        <v>61</v>
      </c>
      <c r="C3098" s="6" t="s">
        <v>59</v>
      </c>
      <c r="D3098" s="5">
        <v>44938</v>
      </c>
    </row>
    <row r="3099" spans="2:4">
      <c r="B3099" s="6" t="s">
        <v>193</v>
      </c>
      <c r="C3099" s="6" t="s">
        <v>316</v>
      </c>
      <c r="D3099" s="5">
        <v>44938</v>
      </c>
    </row>
    <row r="3100" spans="2:4">
      <c r="B3100" s="6" t="s">
        <v>259</v>
      </c>
      <c r="C3100" s="6" t="s">
        <v>194</v>
      </c>
      <c r="D3100" s="5">
        <v>44938</v>
      </c>
    </row>
    <row r="3101" spans="2:4">
      <c r="B3101" s="6" t="s">
        <v>422</v>
      </c>
      <c r="C3101" s="6" t="s">
        <v>418</v>
      </c>
      <c r="D3101" s="5">
        <v>44938</v>
      </c>
    </row>
    <row r="3102" spans="2:4">
      <c r="B3102" s="6" t="s">
        <v>101</v>
      </c>
      <c r="C3102" s="6" t="s">
        <v>412</v>
      </c>
      <c r="D3102" s="5">
        <v>44938</v>
      </c>
    </row>
    <row r="3103" spans="2:4">
      <c r="B3103" s="6" t="s">
        <v>172</v>
      </c>
      <c r="C3103" s="6" t="s">
        <v>296</v>
      </c>
      <c r="D3103" s="5">
        <v>44938</v>
      </c>
    </row>
    <row r="3104" spans="2:4">
      <c r="B3104" s="6" t="s">
        <v>99</v>
      </c>
      <c r="C3104" s="6" t="s">
        <v>146</v>
      </c>
      <c r="D3104" s="5">
        <v>44938</v>
      </c>
    </row>
    <row r="3105" spans="2:4">
      <c r="B3105" s="6" t="s">
        <v>201</v>
      </c>
      <c r="C3105" s="6" t="s">
        <v>173</v>
      </c>
      <c r="D3105" s="5">
        <v>44938</v>
      </c>
    </row>
    <row r="3106" spans="2:4">
      <c r="B3106" s="6" t="s">
        <v>610</v>
      </c>
      <c r="C3106" s="6" t="s">
        <v>355</v>
      </c>
      <c r="D3106" s="5">
        <v>44938</v>
      </c>
    </row>
    <row r="3107" spans="2:4">
      <c r="B3107" s="6" t="s">
        <v>356</v>
      </c>
      <c r="C3107" s="6" t="s">
        <v>120</v>
      </c>
      <c r="D3107" s="5">
        <v>44938</v>
      </c>
    </row>
    <row r="3108" spans="2:4">
      <c r="B3108" s="6" t="s">
        <v>255</v>
      </c>
      <c r="C3108" s="6" t="s">
        <v>292</v>
      </c>
      <c r="D3108" s="5">
        <v>44938</v>
      </c>
    </row>
    <row r="3109" spans="2:4">
      <c r="B3109" s="6" t="s">
        <v>333</v>
      </c>
      <c r="C3109" s="6" t="s">
        <v>365</v>
      </c>
      <c r="D3109" s="5">
        <v>44938</v>
      </c>
    </row>
    <row r="3110" spans="2:4">
      <c r="B3110" s="6" t="s">
        <v>94</v>
      </c>
      <c r="C3110" s="6" t="s">
        <v>319</v>
      </c>
      <c r="D3110" s="5">
        <v>44938</v>
      </c>
    </row>
    <row r="3111" spans="2:4">
      <c r="B3111" s="6" t="s">
        <v>584</v>
      </c>
      <c r="C3111" s="6" t="s">
        <v>588</v>
      </c>
      <c r="D3111" s="5">
        <v>44938</v>
      </c>
    </row>
    <row r="3112" spans="2:4">
      <c r="B3112" s="6" t="s">
        <v>367</v>
      </c>
      <c r="C3112" s="6" t="s">
        <v>150</v>
      </c>
      <c r="D3112" s="5">
        <v>44938</v>
      </c>
    </row>
    <row r="3113" spans="2:4">
      <c r="B3113" s="6" t="s">
        <v>331</v>
      </c>
      <c r="C3113" s="6" t="s">
        <v>348</v>
      </c>
      <c r="D3113" s="5">
        <v>44938</v>
      </c>
    </row>
    <row r="3114" spans="2:4">
      <c r="B3114" s="6" t="s">
        <v>184</v>
      </c>
      <c r="C3114" s="6" t="s">
        <v>330</v>
      </c>
      <c r="D3114" s="5">
        <v>44938</v>
      </c>
    </row>
    <row r="3115" spans="2:4">
      <c r="B3115" s="6" t="s">
        <v>357</v>
      </c>
      <c r="C3115" s="6" t="s">
        <v>196</v>
      </c>
      <c r="D3115" s="5">
        <v>44938</v>
      </c>
    </row>
    <row r="3116" spans="2:4">
      <c r="B3116" s="6" t="s">
        <v>321</v>
      </c>
      <c r="C3116" s="6" t="s">
        <v>603</v>
      </c>
      <c r="D3116" s="5">
        <v>44938</v>
      </c>
    </row>
    <row r="3117" spans="2:4">
      <c r="B3117" s="6" t="s">
        <v>324</v>
      </c>
      <c r="C3117" s="6" t="s">
        <v>266</v>
      </c>
      <c r="D3117" s="5">
        <v>44938</v>
      </c>
    </row>
    <row r="3118" spans="2:4">
      <c r="B3118" s="6" t="s">
        <v>358</v>
      </c>
      <c r="C3118" s="6" t="s">
        <v>256</v>
      </c>
      <c r="D3118" s="5">
        <v>44938</v>
      </c>
    </row>
    <row r="3119" spans="2:4">
      <c r="B3119" s="6" t="s">
        <v>640</v>
      </c>
      <c r="C3119" s="6" t="s">
        <v>183</v>
      </c>
      <c r="D3119" s="5">
        <v>44938</v>
      </c>
    </row>
    <row r="3120" spans="2:4">
      <c r="B3120" s="6" t="s">
        <v>295</v>
      </c>
      <c r="C3120" s="6" t="s">
        <v>134</v>
      </c>
      <c r="D3120" s="5">
        <v>44938</v>
      </c>
    </row>
    <row r="3121" spans="2:4">
      <c r="B3121" s="6" t="s">
        <v>304</v>
      </c>
      <c r="C3121" s="6" t="s">
        <v>305</v>
      </c>
      <c r="D3121" s="5">
        <v>44938</v>
      </c>
    </row>
    <row r="3122" spans="2:4">
      <c r="B3122" s="6" t="s">
        <v>329</v>
      </c>
      <c r="C3122" s="6" t="s">
        <v>370</v>
      </c>
      <c r="D3122" s="5">
        <v>44938</v>
      </c>
    </row>
    <row r="3123" spans="2:4">
      <c r="B3123" s="6" t="s">
        <v>615</v>
      </c>
      <c r="C3123" s="6" t="s">
        <v>240</v>
      </c>
      <c r="D3123" s="5">
        <v>44938</v>
      </c>
    </row>
    <row r="3124" spans="2:4">
      <c r="B3124" s="6" t="s">
        <v>69</v>
      </c>
      <c r="C3124" s="6" t="s">
        <v>73</v>
      </c>
      <c r="D3124" s="5">
        <v>44938</v>
      </c>
    </row>
    <row r="3125" spans="2:4">
      <c r="B3125" s="6" t="s">
        <v>74</v>
      </c>
      <c r="C3125" s="6" t="s">
        <v>72</v>
      </c>
      <c r="D3125" s="5">
        <v>44938</v>
      </c>
    </row>
    <row r="3126" spans="2:4">
      <c r="B3126" s="6" t="s">
        <v>343</v>
      </c>
      <c r="C3126" s="6" t="s">
        <v>342</v>
      </c>
      <c r="D3126" s="5">
        <v>44938</v>
      </c>
    </row>
    <row r="3127" spans="2:4">
      <c r="B3127" s="6" t="s">
        <v>381</v>
      </c>
      <c r="C3127" s="6" t="s">
        <v>323</v>
      </c>
      <c r="D3127" s="5">
        <v>44938</v>
      </c>
    </row>
    <row r="3128" spans="2:4">
      <c r="B3128" s="6" t="s">
        <v>378</v>
      </c>
      <c r="C3128" s="6" t="s">
        <v>415</v>
      </c>
      <c r="D3128" s="5">
        <v>44938</v>
      </c>
    </row>
    <row r="3129" spans="2:4">
      <c r="B3129" s="6" t="s">
        <v>607</v>
      </c>
      <c r="C3129" s="6" t="s">
        <v>290</v>
      </c>
      <c r="D3129" s="5">
        <v>44938</v>
      </c>
    </row>
    <row r="3130" spans="2:4">
      <c r="B3130" s="6" t="s">
        <v>398</v>
      </c>
      <c r="C3130" s="6" t="s">
        <v>396</v>
      </c>
      <c r="D3130" s="5">
        <v>44938</v>
      </c>
    </row>
    <row r="3131" spans="2:4">
      <c r="B3131" s="6" t="s">
        <v>151</v>
      </c>
      <c r="C3131" s="6" t="s">
        <v>359</v>
      </c>
      <c r="D3131" s="5">
        <v>44938</v>
      </c>
    </row>
    <row r="3132" spans="2:4">
      <c r="B3132" s="6" t="s">
        <v>309</v>
      </c>
      <c r="C3132" s="6" t="s">
        <v>250</v>
      </c>
      <c r="D3132" s="5">
        <v>44938</v>
      </c>
    </row>
    <row r="3133" spans="2:4">
      <c r="B3133" s="6" t="s">
        <v>190</v>
      </c>
      <c r="C3133" s="6" t="s">
        <v>206</v>
      </c>
      <c r="D3133" s="5">
        <v>44938</v>
      </c>
    </row>
    <row r="3134" spans="2:4">
      <c r="B3134" s="6" t="s">
        <v>391</v>
      </c>
      <c r="C3134" s="6" t="s">
        <v>153</v>
      </c>
      <c r="D3134" s="5">
        <v>44938</v>
      </c>
    </row>
    <row r="3135" spans="2:4">
      <c r="B3135" s="6" t="s">
        <v>147</v>
      </c>
      <c r="C3135" s="6" t="s">
        <v>128</v>
      </c>
      <c r="D3135" s="5">
        <v>44938</v>
      </c>
    </row>
    <row r="3136" spans="2:4">
      <c r="B3136" s="6" t="s">
        <v>157</v>
      </c>
      <c r="C3136" s="6" t="s">
        <v>132</v>
      </c>
      <c r="D3136" s="5">
        <v>44938</v>
      </c>
    </row>
    <row r="3137" spans="2:4">
      <c r="B3137" s="6" t="s">
        <v>424</v>
      </c>
      <c r="C3137" s="6" t="s">
        <v>375</v>
      </c>
      <c r="D3137" s="5">
        <v>44938</v>
      </c>
    </row>
    <row r="3138" spans="2:4">
      <c r="B3138" s="6" t="s">
        <v>166</v>
      </c>
      <c r="C3138" s="6" t="s">
        <v>165</v>
      </c>
      <c r="D3138" s="5">
        <v>44938</v>
      </c>
    </row>
    <row r="3139" spans="2:4">
      <c r="B3139" s="6" t="s">
        <v>389</v>
      </c>
      <c r="C3139" s="6" t="s">
        <v>426</v>
      </c>
      <c r="D3139" s="5">
        <v>44938</v>
      </c>
    </row>
    <row r="3140" spans="2:4">
      <c r="B3140" s="6" t="s">
        <v>402</v>
      </c>
      <c r="C3140" s="6" t="s">
        <v>403</v>
      </c>
      <c r="D3140" s="5">
        <v>44938</v>
      </c>
    </row>
    <row r="3141" spans="2:4">
      <c r="B3141" s="6" t="s">
        <v>75</v>
      </c>
      <c r="C3141" s="6" t="s">
        <v>77</v>
      </c>
      <c r="D3141" s="5">
        <v>44938</v>
      </c>
    </row>
    <row r="3142" spans="2:4">
      <c r="B3142" s="6" t="s">
        <v>76</v>
      </c>
      <c r="C3142" s="6" t="s">
        <v>70</v>
      </c>
      <c r="D3142" s="5">
        <v>44938</v>
      </c>
    </row>
    <row r="3143" spans="2:4">
      <c r="B3143" s="6" t="s">
        <v>71</v>
      </c>
      <c r="C3143" s="6" t="s">
        <v>93</v>
      </c>
      <c r="D3143" s="5">
        <v>44938</v>
      </c>
    </row>
    <row r="3144" spans="2:4">
      <c r="B3144" s="6" t="s">
        <v>161</v>
      </c>
      <c r="C3144" s="6" t="s">
        <v>404</v>
      </c>
      <c r="D3144" s="5">
        <v>44938</v>
      </c>
    </row>
    <row r="3145" spans="2:4">
      <c r="B3145" s="6" t="s">
        <v>125</v>
      </c>
      <c r="C3145" s="6" t="s">
        <v>100</v>
      </c>
      <c r="D3145" s="5">
        <v>44939</v>
      </c>
    </row>
    <row r="3146" spans="2:4">
      <c r="B3146" s="6" t="s">
        <v>127</v>
      </c>
      <c r="C3146" s="6" t="s">
        <v>180</v>
      </c>
      <c r="D3146" s="5">
        <v>44939</v>
      </c>
    </row>
    <row r="3147" spans="2:4">
      <c r="B3147" s="6" t="s">
        <v>42</v>
      </c>
      <c r="C3147" s="6" t="s">
        <v>35</v>
      </c>
      <c r="D3147" s="5">
        <v>44939</v>
      </c>
    </row>
    <row r="3148" spans="2:4">
      <c r="B3148" s="6" t="s">
        <v>216</v>
      </c>
      <c r="C3148" s="6" t="s">
        <v>244</v>
      </c>
      <c r="D3148" s="5">
        <v>44939</v>
      </c>
    </row>
    <row r="3149" spans="2:4">
      <c r="B3149" s="6" t="s">
        <v>204</v>
      </c>
      <c r="C3149" s="6" t="s">
        <v>130</v>
      </c>
      <c r="D3149" s="5">
        <v>44939</v>
      </c>
    </row>
    <row r="3150" spans="2:4">
      <c r="B3150" s="6" t="s">
        <v>233</v>
      </c>
      <c r="C3150" s="6" t="s">
        <v>230</v>
      </c>
      <c r="D3150" s="5">
        <v>44939</v>
      </c>
    </row>
    <row r="3151" spans="2:4">
      <c r="B3151" s="6" t="s">
        <v>285</v>
      </c>
      <c r="C3151" s="6" t="s">
        <v>112</v>
      </c>
      <c r="D3151" s="5">
        <v>44939</v>
      </c>
    </row>
    <row r="3152" spans="2:4">
      <c r="B3152" s="6" t="s">
        <v>211</v>
      </c>
      <c r="C3152" s="6" t="s">
        <v>361</v>
      </c>
      <c r="D3152" s="5">
        <v>44939</v>
      </c>
    </row>
    <row r="3153" spans="2:4">
      <c r="B3153" s="6" t="s">
        <v>58</v>
      </c>
      <c r="C3153" s="6" t="s">
        <v>67</v>
      </c>
      <c r="D3153" s="5">
        <v>44939</v>
      </c>
    </row>
    <row r="3154" spans="2:4">
      <c r="B3154" s="6" t="s">
        <v>105</v>
      </c>
      <c r="C3154" s="6" t="s">
        <v>247</v>
      </c>
      <c r="D3154" s="5">
        <v>44939</v>
      </c>
    </row>
    <row r="3155" spans="2:4">
      <c r="B3155" s="6" t="s">
        <v>60</v>
      </c>
      <c r="C3155" s="6" t="s">
        <v>55</v>
      </c>
      <c r="D3155" s="5">
        <v>44939</v>
      </c>
    </row>
    <row r="3156" spans="2:4">
      <c r="B3156" s="6" t="s">
        <v>214</v>
      </c>
      <c r="C3156" s="6" t="s">
        <v>121</v>
      </c>
      <c r="D3156" s="5">
        <v>44939</v>
      </c>
    </row>
    <row r="3157" spans="2:4">
      <c r="B3157" s="6" t="s">
        <v>169</v>
      </c>
      <c r="C3157" s="6" t="s">
        <v>168</v>
      </c>
      <c r="D3157" s="5">
        <v>44939</v>
      </c>
    </row>
    <row r="3158" spans="2:4">
      <c r="B3158" s="6" t="s">
        <v>75</v>
      </c>
      <c r="C3158" s="6" t="s">
        <v>72</v>
      </c>
      <c r="D3158" s="5">
        <v>44940</v>
      </c>
    </row>
    <row r="3159" spans="2:4">
      <c r="B3159" s="6" t="s">
        <v>249</v>
      </c>
      <c r="C3159" s="6" t="s">
        <v>156</v>
      </c>
      <c r="D3159" s="5">
        <v>44940</v>
      </c>
    </row>
    <row r="3160" spans="2:4">
      <c r="B3160" s="6" t="s">
        <v>395</v>
      </c>
      <c r="C3160" s="6" t="s">
        <v>273</v>
      </c>
      <c r="D3160" s="5">
        <v>44940</v>
      </c>
    </row>
    <row r="3161" spans="2:4">
      <c r="B3161" s="6" t="s">
        <v>362</v>
      </c>
      <c r="C3161" s="6" t="s">
        <v>203</v>
      </c>
      <c r="D3161" s="5">
        <v>44940</v>
      </c>
    </row>
    <row r="3162" spans="2:4">
      <c r="B3162" s="6" t="s">
        <v>396</v>
      </c>
      <c r="C3162" s="6" t="s">
        <v>166</v>
      </c>
      <c r="D3162" s="5">
        <v>44940</v>
      </c>
    </row>
    <row r="3163" spans="2:4">
      <c r="B3163" s="6" t="s">
        <v>393</v>
      </c>
      <c r="C3163" s="6" t="s">
        <v>158</v>
      </c>
      <c r="D3163" s="5">
        <v>44940</v>
      </c>
    </row>
    <row r="3164" spans="2:4">
      <c r="B3164" s="6" t="s">
        <v>86</v>
      </c>
      <c r="C3164" s="6" t="s">
        <v>80</v>
      </c>
      <c r="D3164" s="5">
        <v>44940</v>
      </c>
    </row>
    <row r="3165" spans="2:4">
      <c r="B3165" s="6" t="s">
        <v>29</v>
      </c>
      <c r="C3165" s="6" t="s">
        <v>32</v>
      </c>
      <c r="D3165" s="5">
        <v>44940</v>
      </c>
    </row>
    <row r="3166" spans="2:4">
      <c r="B3166" s="6" t="s">
        <v>149</v>
      </c>
      <c r="C3166" s="6" t="s">
        <v>48</v>
      </c>
      <c r="D3166" s="5">
        <v>44940</v>
      </c>
    </row>
    <row r="3167" spans="2:4">
      <c r="B3167" s="6" t="s">
        <v>155</v>
      </c>
      <c r="C3167" s="6" t="s">
        <v>36</v>
      </c>
      <c r="D3167" s="5">
        <v>44940</v>
      </c>
    </row>
    <row r="3168" spans="2:4">
      <c r="B3168" s="6" t="s">
        <v>281</v>
      </c>
      <c r="C3168" s="6" t="s">
        <v>199</v>
      </c>
      <c r="D3168" s="5">
        <v>44940</v>
      </c>
    </row>
    <row r="3169" spans="2:4">
      <c r="B3169" s="6" t="s">
        <v>172</v>
      </c>
      <c r="C3169" s="6" t="s">
        <v>397</v>
      </c>
      <c r="D3169" s="5">
        <v>44940</v>
      </c>
    </row>
    <row r="3170" spans="2:4">
      <c r="B3170" s="6" t="s">
        <v>272</v>
      </c>
      <c r="C3170" s="6" t="s">
        <v>146</v>
      </c>
      <c r="D3170" s="5">
        <v>44940</v>
      </c>
    </row>
    <row r="3171" spans="2:4">
      <c r="B3171" s="6" t="s">
        <v>334</v>
      </c>
      <c r="C3171" s="6" t="s">
        <v>350</v>
      </c>
      <c r="D3171" s="5">
        <v>44940</v>
      </c>
    </row>
    <row r="3172" spans="2:4">
      <c r="B3172" s="6" t="s">
        <v>62</v>
      </c>
      <c r="C3172" s="6" t="s">
        <v>65</v>
      </c>
      <c r="D3172" s="5">
        <v>44940</v>
      </c>
    </row>
    <row r="3173" spans="2:4">
      <c r="B3173" s="6" t="s">
        <v>137</v>
      </c>
      <c r="C3173" s="6" t="s">
        <v>131</v>
      </c>
      <c r="D3173" s="5">
        <v>44940</v>
      </c>
    </row>
    <row r="3174" spans="2:4">
      <c r="B3174" s="6" t="s">
        <v>278</v>
      </c>
      <c r="C3174" s="6" t="s">
        <v>148</v>
      </c>
      <c r="D3174" s="5">
        <v>44940</v>
      </c>
    </row>
    <row r="3175" spans="2:4">
      <c r="B3175" s="6" t="s">
        <v>301</v>
      </c>
      <c r="C3175" s="6" t="s">
        <v>174</v>
      </c>
      <c r="D3175" s="5">
        <v>44940</v>
      </c>
    </row>
    <row r="3176" spans="2:4">
      <c r="B3176" s="6" t="s">
        <v>253</v>
      </c>
      <c r="C3176" s="6" t="s">
        <v>106</v>
      </c>
      <c r="D3176" s="5">
        <v>44940</v>
      </c>
    </row>
    <row r="3177" spans="2:4">
      <c r="B3177" s="6" t="s">
        <v>108</v>
      </c>
      <c r="C3177" s="6" t="s">
        <v>138</v>
      </c>
      <c r="D3177" s="5">
        <v>44940</v>
      </c>
    </row>
    <row r="3178" spans="2:4">
      <c r="B3178" s="6" t="s">
        <v>88</v>
      </c>
      <c r="C3178" s="6" t="s">
        <v>89</v>
      </c>
      <c r="D3178" s="5">
        <v>44940</v>
      </c>
    </row>
    <row r="3179" spans="2:4">
      <c r="B3179" s="6" t="s">
        <v>282</v>
      </c>
      <c r="C3179" s="6" t="s">
        <v>287</v>
      </c>
      <c r="D3179" s="5">
        <v>44940</v>
      </c>
    </row>
    <row r="3180" spans="2:4">
      <c r="B3180" s="6" t="s">
        <v>414</v>
      </c>
      <c r="C3180" s="6" t="s">
        <v>288</v>
      </c>
      <c r="D3180" s="5">
        <v>44940</v>
      </c>
    </row>
    <row r="3181" spans="2:4">
      <c r="B3181" s="6" t="s">
        <v>587</v>
      </c>
      <c r="C3181" s="6" t="s">
        <v>336</v>
      </c>
      <c r="D3181" s="5">
        <v>44940</v>
      </c>
    </row>
    <row r="3182" spans="2:4">
      <c r="B3182" s="6" t="s">
        <v>246</v>
      </c>
      <c r="C3182" s="6" t="s">
        <v>410</v>
      </c>
      <c r="D3182" s="5">
        <v>44940</v>
      </c>
    </row>
    <row r="3183" spans="2:4">
      <c r="B3183" s="6" t="s">
        <v>357</v>
      </c>
      <c r="C3183" s="6" t="s">
        <v>359</v>
      </c>
      <c r="D3183" s="5">
        <v>44940</v>
      </c>
    </row>
    <row r="3184" spans="2:4">
      <c r="B3184" s="6" t="s">
        <v>422</v>
      </c>
      <c r="C3184" s="6" t="s">
        <v>412</v>
      </c>
      <c r="D3184" s="5">
        <v>44940</v>
      </c>
    </row>
    <row r="3185" spans="2:4">
      <c r="B3185" s="6" t="s">
        <v>610</v>
      </c>
      <c r="C3185" s="6" t="s">
        <v>173</v>
      </c>
      <c r="D3185" s="5">
        <v>44940</v>
      </c>
    </row>
    <row r="3186" spans="2:4">
      <c r="B3186" s="6" t="s">
        <v>43</v>
      </c>
      <c r="C3186" s="6" t="s">
        <v>251</v>
      </c>
      <c r="D3186" s="5">
        <v>44940</v>
      </c>
    </row>
    <row r="3187" spans="2:4">
      <c r="B3187" s="6" t="s">
        <v>38</v>
      </c>
      <c r="C3187" s="6" t="s">
        <v>40</v>
      </c>
      <c r="D3187" s="5">
        <v>44940</v>
      </c>
    </row>
    <row r="3188" spans="2:4">
      <c r="B3188" s="6" t="s">
        <v>185</v>
      </c>
      <c r="C3188" s="6" t="s">
        <v>84</v>
      </c>
      <c r="D3188" s="5">
        <v>44940</v>
      </c>
    </row>
    <row r="3189" spans="2:4">
      <c r="B3189" s="6" t="s">
        <v>34</v>
      </c>
      <c r="C3189" s="6" t="s">
        <v>33</v>
      </c>
      <c r="D3189" s="5">
        <v>44940</v>
      </c>
    </row>
    <row r="3190" spans="2:4">
      <c r="B3190" s="6" t="s">
        <v>221</v>
      </c>
      <c r="C3190" s="6" t="s">
        <v>411</v>
      </c>
      <c r="D3190" s="5">
        <v>44940</v>
      </c>
    </row>
    <row r="3191" spans="2:4">
      <c r="B3191" s="6" t="s">
        <v>176</v>
      </c>
      <c r="C3191" s="6" t="s">
        <v>113</v>
      </c>
      <c r="D3191" s="5">
        <v>44940</v>
      </c>
    </row>
    <row r="3192" spans="2:4">
      <c r="B3192" s="6" t="s">
        <v>114</v>
      </c>
      <c r="C3192" s="6" t="s">
        <v>360</v>
      </c>
      <c r="D3192" s="5">
        <v>44940</v>
      </c>
    </row>
    <row r="3193" spans="2:4">
      <c r="B3193" s="6" t="s">
        <v>421</v>
      </c>
      <c r="C3193" s="6" t="s">
        <v>135</v>
      </c>
      <c r="D3193" s="5">
        <v>44940</v>
      </c>
    </row>
    <row r="3194" spans="2:4">
      <c r="B3194" s="6" t="s">
        <v>126</v>
      </c>
      <c r="C3194" s="6" t="s">
        <v>269</v>
      </c>
      <c r="D3194" s="5">
        <v>44940</v>
      </c>
    </row>
    <row r="3195" spans="2:4">
      <c r="B3195" s="6" t="s">
        <v>351</v>
      </c>
      <c r="C3195" s="6" t="s">
        <v>419</v>
      </c>
      <c r="D3195" s="5">
        <v>44940</v>
      </c>
    </row>
    <row r="3196" spans="2:4">
      <c r="B3196" s="6" t="s">
        <v>107</v>
      </c>
      <c r="C3196" s="6" t="s">
        <v>97</v>
      </c>
      <c r="D3196" s="5">
        <v>44940</v>
      </c>
    </row>
    <row r="3197" spans="2:4">
      <c r="B3197" s="6" t="s">
        <v>182</v>
      </c>
      <c r="C3197" s="6" t="s">
        <v>368</v>
      </c>
      <c r="D3197" s="5">
        <v>44940</v>
      </c>
    </row>
    <row r="3198" spans="2:4">
      <c r="B3198" s="6" t="s">
        <v>425</v>
      </c>
      <c r="C3198" s="6" t="s">
        <v>297</v>
      </c>
      <c r="D3198" s="5">
        <v>44940</v>
      </c>
    </row>
    <row r="3199" spans="2:4">
      <c r="B3199" s="6" t="s">
        <v>202</v>
      </c>
      <c r="C3199" s="6" t="s">
        <v>270</v>
      </c>
      <c r="D3199" s="5">
        <v>44940</v>
      </c>
    </row>
    <row r="3200" spans="2:4">
      <c r="B3200" s="6" t="s">
        <v>298</v>
      </c>
      <c r="C3200" s="6" t="s">
        <v>191</v>
      </c>
      <c r="D3200" s="5">
        <v>44940</v>
      </c>
    </row>
    <row r="3201" spans="2:4">
      <c r="B3201" s="6" t="s">
        <v>109</v>
      </c>
      <c r="C3201" s="6" t="s">
        <v>209</v>
      </c>
      <c r="D3201" s="5">
        <v>44940</v>
      </c>
    </row>
    <row r="3202" spans="2:4">
      <c r="B3202" s="6" t="s">
        <v>590</v>
      </c>
      <c r="C3202" s="6" t="s">
        <v>175</v>
      </c>
      <c r="D3202" s="5">
        <v>44940</v>
      </c>
    </row>
    <row r="3203" spans="2:4">
      <c r="B3203" s="6" t="s">
        <v>259</v>
      </c>
      <c r="C3203" s="6" t="s">
        <v>294</v>
      </c>
      <c r="D3203" s="5">
        <v>44940</v>
      </c>
    </row>
    <row r="3204" spans="2:4">
      <c r="B3204" s="6" t="s">
        <v>178</v>
      </c>
      <c r="C3204" s="6" t="s">
        <v>118</v>
      </c>
      <c r="D3204" s="5">
        <v>44940</v>
      </c>
    </row>
    <row r="3205" spans="2:4">
      <c r="B3205" s="6" t="s">
        <v>268</v>
      </c>
      <c r="C3205" s="6" t="s">
        <v>99</v>
      </c>
      <c r="D3205" s="5">
        <v>44940</v>
      </c>
    </row>
    <row r="3206" spans="2:4">
      <c r="B3206" s="6" t="s">
        <v>252</v>
      </c>
      <c r="C3206" s="6" t="s">
        <v>200</v>
      </c>
      <c r="D3206" s="5">
        <v>44940</v>
      </c>
    </row>
    <row r="3207" spans="2:4">
      <c r="B3207" s="6" t="s">
        <v>50</v>
      </c>
      <c r="C3207" s="6" t="s">
        <v>49</v>
      </c>
      <c r="D3207" s="5">
        <v>44940</v>
      </c>
    </row>
    <row r="3208" spans="2:4">
      <c r="B3208" s="6" t="s">
        <v>143</v>
      </c>
      <c r="C3208" s="6" t="s">
        <v>376</v>
      </c>
      <c r="D3208" s="5">
        <v>44940</v>
      </c>
    </row>
    <row r="3209" spans="2:4">
      <c r="B3209" s="6" t="s">
        <v>210</v>
      </c>
      <c r="C3209" s="6" t="s">
        <v>349</v>
      </c>
      <c r="D3209" s="5">
        <v>44940</v>
      </c>
    </row>
    <row r="3210" spans="2:4">
      <c r="B3210" s="6" t="s">
        <v>378</v>
      </c>
      <c r="C3210" s="6" t="s">
        <v>290</v>
      </c>
      <c r="D3210" s="5">
        <v>44940</v>
      </c>
    </row>
    <row r="3211" spans="2:4">
      <c r="B3211" s="6" t="s">
        <v>367</v>
      </c>
      <c r="C3211" s="6" t="s">
        <v>316</v>
      </c>
      <c r="D3211" s="5">
        <v>44940</v>
      </c>
    </row>
    <row r="3212" spans="2:4">
      <c r="B3212" s="6" t="s">
        <v>333</v>
      </c>
      <c r="C3212" s="6" t="s">
        <v>150</v>
      </c>
      <c r="D3212" s="5">
        <v>44940</v>
      </c>
    </row>
    <row r="3213" spans="2:4">
      <c r="B3213" s="6" t="s">
        <v>151</v>
      </c>
      <c r="C3213" s="6" t="s">
        <v>196</v>
      </c>
      <c r="D3213" s="5">
        <v>44940</v>
      </c>
    </row>
    <row r="3214" spans="2:4">
      <c r="B3214" s="6" t="s">
        <v>305</v>
      </c>
      <c r="C3214" s="6" t="s">
        <v>321</v>
      </c>
      <c r="D3214" s="5">
        <v>44940</v>
      </c>
    </row>
    <row r="3215" spans="2:4">
      <c r="B3215" s="6" t="s">
        <v>101</v>
      </c>
      <c r="C3215" s="6" t="s">
        <v>418</v>
      </c>
      <c r="D3215" s="5">
        <v>44940</v>
      </c>
    </row>
    <row r="3216" spans="2:4">
      <c r="B3216" s="6" t="s">
        <v>123</v>
      </c>
      <c r="C3216" s="6" t="s">
        <v>115</v>
      </c>
      <c r="D3216" s="5">
        <v>44940</v>
      </c>
    </row>
    <row r="3217" spans="2:4">
      <c r="B3217" s="6" t="s">
        <v>255</v>
      </c>
      <c r="C3217" s="6" t="s">
        <v>142</v>
      </c>
      <c r="D3217" s="5">
        <v>44940</v>
      </c>
    </row>
    <row r="3218" spans="2:4">
      <c r="B3218" s="6" t="s">
        <v>79</v>
      </c>
      <c r="C3218" s="6" t="s">
        <v>87</v>
      </c>
      <c r="D3218" s="5">
        <v>44940</v>
      </c>
    </row>
    <row r="3219" spans="2:4">
      <c r="B3219" s="6" t="s">
        <v>26</v>
      </c>
      <c r="C3219" s="6" t="s">
        <v>31</v>
      </c>
      <c r="D3219" s="5">
        <v>44940</v>
      </c>
    </row>
    <row r="3220" spans="2:4">
      <c r="B3220" s="6" t="s">
        <v>45</v>
      </c>
      <c r="C3220" s="6" t="s">
        <v>188</v>
      </c>
      <c r="D3220" s="5">
        <v>44940</v>
      </c>
    </row>
    <row r="3221" spans="2:4">
      <c r="B3221" s="6" t="s">
        <v>82</v>
      </c>
      <c r="C3221" s="6" t="s">
        <v>81</v>
      </c>
      <c r="D3221" s="5">
        <v>44940</v>
      </c>
    </row>
    <row r="3222" spans="2:4">
      <c r="B3222" s="6" t="s">
        <v>277</v>
      </c>
      <c r="C3222" s="6" t="s">
        <v>276</v>
      </c>
      <c r="D3222" s="5">
        <v>44940</v>
      </c>
    </row>
    <row r="3223" spans="2:4">
      <c r="B3223" s="6" t="s">
        <v>170</v>
      </c>
      <c r="C3223" s="6" t="s">
        <v>332</v>
      </c>
      <c r="D3223" s="5">
        <v>44940</v>
      </c>
    </row>
    <row r="3224" spans="2:4">
      <c r="B3224" s="6" t="s">
        <v>352</v>
      </c>
      <c r="C3224" s="6" t="s">
        <v>95</v>
      </c>
      <c r="D3224" s="5">
        <v>44940</v>
      </c>
    </row>
    <row r="3225" spans="2:4">
      <c r="B3225" s="6" t="s">
        <v>341</v>
      </c>
      <c r="C3225" s="6" t="s">
        <v>187</v>
      </c>
      <c r="D3225" s="5">
        <v>44940</v>
      </c>
    </row>
    <row r="3226" spans="2:4">
      <c r="B3226" s="6" t="s">
        <v>232</v>
      </c>
      <c r="C3226" s="6" t="s">
        <v>303</v>
      </c>
      <c r="D3226" s="5">
        <v>44940</v>
      </c>
    </row>
    <row r="3227" spans="2:4">
      <c r="B3227" s="6" t="s">
        <v>335</v>
      </c>
      <c r="C3227" s="6" t="s">
        <v>264</v>
      </c>
      <c r="D3227" s="5">
        <v>44940</v>
      </c>
    </row>
    <row r="3228" spans="2:4">
      <c r="B3228" s="6" t="s">
        <v>116</v>
      </c>
      <c r="C3228" s="6" t="s">
        <v>238</v>
      </c>
      <c r="D3228" s="5">
        <v>44940</v>
      </c>
    </row>
    <row r="3229" spans="2:4">
      <c r="B3229" s="6" t="s">
        <v>76</v>
      </c>
      <c r="C3229" s="6" t="s">
        <v>73</v>
      </c>
      <c r="D3229" s="5">
        <v>44940</v>
      </c>
    </row>
    <row r="3230" spans="2:4">
      <c r="B3230" s="6" t="s">
        <v>213</v>
      </c>
      <c r="C3230" s="6" t="s">
        <v>139</v>
      </c>
      <c r="D3230" s="5">
        <v>44940</v>
      </c>
    </row>
    <row r="3231" spans="2:4">
      <c r="B3231" s="6" t="s">
        <v>373</v>
      </c>
      <c r="C3231" s="6" t="s">
        <v>195</v>
      </c>
      <c r="D3231" s="5">
        <v>44940</v>
      </c>
    </row>
    <row r="3232" spans="2:4">
      <c r="B3232" s="6" t="s">
        <v>310</v>
      </c>
      <c r="C3232" s="6" t="s">
        <v>96</v>
      </c>
      <c r="D3232" s="5">
        <v>44940</v>
      </c>
    </row>
    <row r="3233" spans="2:4">
      <c r="B3233" s="6" t="s">
        <v>319</v>
      </c>
      <c r="C3233" s="6" t="s">
        <v>343</v>
      </c>
      <c r="D3233" s="5">
        <v>44940</v>
      </c>
    </row>
    <row r="3234" spans="2:4">
      <c r="B3234" s="6" t="s">
        <v>337</v>
      </c>
      <c r="C3234" s="6" t="s">
        <v>133</v>
      </c>
      <c r="D3234" s="5">
        <v>44940</v>
      </c>
    </row>
    <row r="3235" spans="2:4">
      <c r="B3235" s="6" t="s">
        <v>436</v>
      </c>
      <c r="C3235" s="6" t="s">
        <v>171</v>
      </c>
      <c r="D3235" s="5">
        <v>44940</v>
      </c>
    </row>
    <row r="3236" spans="2:4">
      <c r="B3236" s="6" t="s">
        <v>111</v>
      </c>
      <c r="C3236" s="6" t="s">
        <v>267</v>
      </c>
      <c r="D3236" s="5">
        <v>44940</v>
      </c>
    </row>
    <row r="3237" spans="2:4">
      <c r="B3237" s="6" t="s">
        <v>338</v>
      </c>
      <c r="C3237" s="6" t="s">
        <v>405</v>
      </c>
      <c r="D3237" s="5">
        <v>44940</v>
      </c>
    </row>
    <row r="3238" spans="2:4">
      <c r="B3238" s="6" t="s">
        <v>306</v>
      </c>
      <c r="C3238" s="6" t="s">
        <v>365</v>
      </c>
      <c r="D3238" s="5">
        <v>44940</v>
      </c>
    </row>
    <row r="3239" spans="2:4">
      <c r="B3239" s="6" t="s">
        <v>286</v>
      </c>
      <c r="C3239" s="6" t="s">
        <v>194</v>
      </c>
      <c r="D3239" s="5">
        <v>44940</v>
      </c>
    </row>
    <row r="3240" spans="2:4">
      <c r="B3240" s="6" t="s">
        <v>304</v>
      </c>
      <c r="C3240" s="6" t="s">
        <v>309</v>
      </c>
      <c r="D3240" s="5">
        <v>44940</v>
      </c>
    </row>
    <row r="3241" spans="2:4">
      <c r="B3241" s="6" t="s">
        <v>432</v>
      </c>
      <c r="C3241" s="6" t="s">
        <v>129</v>
      </c>
      <c r="D3241" s="5">
        <v>44940</v>
      </c>
    </row>
    <row r="3242" spans="2:4">
      <c r="B3242" s="6" t="s">
        <v>599</v>
      </c>
      <c r="C3242" s="6" t="s">
        <v>167</v>
      </c>
      <c r="D3242" s="5">
        <v>44940</v>
      </c>
    </row>
    <row r="3243" spans="2:4">
      <c r="B3243" s="6" t="s">
        <v>356</v>
      </c>
      <c r="C3243" s="6" t="s">
        <v>354</v>
      </c>
      <c r="D3243" s="5">
        <v>44940</v>
      </c>
    </row>
    <row r="3244" spans="2:4">
      <c r="B3244" s="6" t="s">
        <v>248</v>
      </c>
      <c r="C3244" s="6" t="s">
        <v>292</v>
      </c>
      <c r="D3244" s="5">
        <v>44940</v>
      </c>
    </row>
    <row r="3245" spans="2:4">
      <c r="B3245" s="6" t="s">
        <v>353</v>
      </c>
      <c r="C3245" s="6" t="s">
        <v>120</v>
      </c>
      <c r="D3245" s="5">
        <v>44940</v>
      </c>
    </row>
    <row r="3246" spans="2:4">
      <c r="B3246" s="6" t="s">
        <v>640</v>
      </c>
      <c r="C3246" s="6" t="s">
        <v>134</v>
      </c>
      <c r="D3246" s="5">
        <v>44940</v>
      </c>
    </row>
    <row r="3247" spans="2:4">
      <c r="B3247" s="6" t="s">
        <v>342</v>
      </c>
      <c r="C3247" s="6" t="s">
        <v>584</v>
      </c>
      <c r="D3247" s="5">
        <v>44940</v>
      </c>
    </row>
    <row r="3248" spans="2:4">
      <c r="B3248" s="6" t="s">
        <v>300</v>
      </c>
      <c r="C3248" s="6" t="s">
        <v>124</v>
      </c>
      <c r="D3248" s="5">
        <v>44940</v>
      </c>
    </row>
    <row r="3249" spans="2:4">
      <c r="B3249" s="6" t="s">
        <v>400</v>
      </c>
      <c r="C3249" s="6" t="s">
        <v>140</v>
      </c>
      <c r="D3249" s="5">
        <v>44940</v>
      </c>
    </row>
    <row r="3250" spans="2:4">
      <c r="B3250" s="6" t="s">
        <v>329</v>
      </c>
      <c r="C3250" s="6" t="s">
        <v>240</v>
      </c>
      <c r="D3250" s="5">
        <v>44940</v>
      </c>
    </row>
    <row r="3251" spans="2:4">
      <c r="B3251" s="6" t="s">
        <v>51</v>
      </c>
      <c r="C3251" s="6" t="s">
        <v>44</v>
      </c>
      <c r="D3251" s="5">
        <v>44940</v>
      </c>
    </row>
    <row r="3252" spans="2:4">
      <c r="B3252" s="6" t="s">
        <v>186</v>
      </c>
      <c r="C3252" s="6" t="s">
        <v>318</v>
      </c>
      <c r="D3252" s="5">
        <v>44940</v>
      </c>
    </row>
    <row r="3253" spans="2:4">
      <c r="B3253" s="6" t="s">
        <v>580</v>
      </c>
      <c r="C3253" s="6" t="s">
        <v>220</v>
      </c>
      <c r="D3253" s="5">
        <v>44940</v>
      </c>
    </row>
    <row r="3254" spans="2:4">
      <c r="B3254" s="6" t="s">
        <v>295</v>
      </c>
      <c r="C3254" s="6" t="s">
        <v>183</v>
      </c>
      <c r="D3254" s="5">
        <v>44940</v>
      </c>
    </row>
    <row r="3255" spans="2:4">
      <c r="B3255" s="6" t="s">
        <v>388</v>
      </c>
      <c r="C3255" s="6" t="s">
        <v>345</v>
      </c>
      <c r="D3255" s="5">
        <v>44940</v>
      </c>
    </row>
    <row r="3256" spans="2:4">
      <c r="B3256" s="6" t="s">
        <v>327</v>
      </c>
      <c r="C3256" s="6" t="s">
        <v>413</v>
      </c>
      <c r="D3256" s="5">
        <v>44940</v>
      </c>
    </row>
    <row r="3257" spans="2:4">
      <c r="B3257" s="6" t="s">
        <v>586</v>
      </c>
      <c r="C3257" s="6" t="s">
        <v>236</v>
      </c>
      <c r="D3257" s="5">
        <v>44940</v>
      </c>
    </row>
    <row r="3258" spans="2:4">
      <c r="B3258" s="6" t="s">
        <v>141</v>
      </c>
      <c r="C3258" s="6" t="s">
        <v>621</v>
      </c>
      <c r="D3258" s="5">
        <v>44940</v>
      </c>
    </row>
    <row r="3259" spans="2:4">
      <c r="B3259" s="6" t="s">
        <v>389</v>
      </c>
      <c r="C3259" s="6" t="s">
        <v>403</v>
      </c>
      <c r="D3259" s="5">
        <v>44940</v>
      </c>
    </row>
    <row r="3260" spans="2:4">
      <c r="B3260" s="6" t="s">
        <v>128</v>
      </c>
      <c r="C3260" s="6" t="s">
        <v>147</v>
      </c>
      <c r="D3260" s="5">
        <v>44940</v>
      </c>
    </row>
    <row r="3261" spans="2:4">
      <c r="B3261" s="6" t="s">
        <v>588</v>
      </c>
      <c r="C3261" s="6" t="s">
        <v>94</v>
      </c>
      <c r="D3261" s="5">
        <v>44940</v>
      </c>
    </row>
    <row r="3262" spans="2:4">
      <c r="B3262" s="6" t="s">
        <v>28</v>
      </c>
      <c r="C3262" s="6" t="s">
        <v>322</v>
      </c>
      <c r="D3262" s="5">
        <v>44940</v>
      </c>
    </row>
    <row r="3263" spans="2:4">
      <c r="B3263" s="6" t="s">
        <v>69</v>
      </c>
      <c r="C3263" s="6" t="s">
        <v>70</v>
      </c>
      <c r="D3263" s="5">
        <v>44940</v>
      </c>
    </row>
    <row r="3264" spans="2:4">
      <c r="B3264" s="6" t="s">
        <v>71</v>
      </c>
      <c r="C3264" s="6" t="s">
        <v>164</v>
      </c>
      <c r="D3264" s="5">
        <v>44940</v>
      </c>
    </row>
    <row r="3265" spans="2:4">
      <c r="B3265" s="6" t="s">
        <v>90</v>
      </c>
      <c r="C3265" s="6" t="s">
        <v>91</v>
      </c>
      <c r="D3265" s="5">
        <v>44940</v>
      </c>
    </row>
    <row r="3266" spans="2:4">
      <c r="B3266" s="6" t="s">
        <v>102</v>
      </c>
      <c r="C3266" s="6" t="s">
        <v>104</v>
      </c>
      <c r="D3266" s="5">
        <v>44940</v>
      </c>
    </row>
    <row r="3267" spans="2:4">
      <c r="B3267" s="6" t="s">
        <v>391</v>
      </c>
      <c r="C3267" s="6" t="s">
        <v>206</v>
      </c>
      <c r="D3267" s="5">
        <v>44940</v>
      </c>
    </row>
    <row r="3268" spans="2:4">
      <c r="B3268" s="6" t="s">
        <v>181</v>
      </c>
      <c r="C3268" s="6" t="s">
        <v>382</v>
      </c>
      <c r="D3268" s="5">
        <v>44940</v>
      </c>
    </row>
    <row r="3269" spans="2:4">
      <c r="B3269" s="6" t="s">
        <v>370</v>
      </c>
      <c r="C3269" s="6" t="s">
        <v>603</v>
      </c>
      <c r="D3269" s="5">
        <v>44940</v>
      </c>
    </row>
    <row r="3270" spans="2:4">
      <c r="B3270" s="6" t="s">
        <v>313</v>
      </c>
      <c r="C3270" s="6" t="s">
        <v>274</v>
      </c>
      <c r="D3270" s="5">
        <v>44940</v>
      </c>
    </row>
    <row r="3271" spans="2:4">
      <c r="B3271" s="6" t="s">
        <v>47</v>
      </c>
      <c r="C3271" s="6" t="s">
        <v>46</v>
      </c>
      <c r="D3271" s="5">
        <v>44940</v>
      </c>
    </row>
    <row r="3272" spans="2:4">
      <c r="B3272" s="6" t="s">
        <v>177</v>
      </c>
      <c r="C3272" s="6" t="s">
        <v>215</v>
      </c>
      <c r="D3272" s="5">
        <v>44940</v>
      </c>
    </row>
    <row r="3273" spans="2:4">
      <c r="B3273" s="6" t="s">
        <v>163</v>
      </c>
      <c r="C3273" s="6" t="s">
        <v>386</v>
      </c>
      <c r="D3273" s="5">
        <v>44940</v>
      </c>
    </row>
    <row r="3274" spans="2:4">
      <c r="B3274" s="6" t="s">
        <v>394</v>
      </c>
      <c r="C3274" s="6" t="s">
        <v>198</v>
      </c>
      <c r="D3274" s="5">
        <v>44940</v>
      </c>
    </row>
    <row r="3275" spans="2:4">
      <c r="B3275" s="6" t="s">
        <v>110</v>
      </c>
      <c r="C3275" s="6" t="s">
        <v>192</v>
      </c>
      <c r="D3275" s="5">
        <v>44940</v>
      </c>
    </row>
    <row r="3276" spans="2:4">
      <c r="B3276" s="6" t="s">
        <v>103</v>
      </c>
      <c r="C3276" s="6" t="s">
        <v>261</v>
      </c>
      <c r="D3276" s="5">
        <v>44940</v>
      </c>
    </row>
    <row r="3277" spans="2:4">
      <c r="B3277" s="6" t="s">
        <v>193</v>
      </c>
      <c r="C3277" s="6" t="s">
        <v>136</v>
      </c>
      <c r="D3277" s="5">
        <v>44940</v>
      </c>
    </row>
    <row r="3278" spans="2:4">
      <c r="B3278" s="6" t="s">
        <v>409</v>
      </c>
      <c r="C3278" s="6" t="s">
        <v>289</v>
      </c>
      <c r="D3278" s="5">
        <v>44940</v>
      </c>
    </row>
    <row r="3279" spans="2:4">
      <c r="B3279" s="6" t="s">
        <v>208</v>
      </c>
      <c r="C3279" s="6" t="s">
        <v>385</v>
      </c>
      <c r="D3279" s="5">
        <v>44940</v>
      </c>
    </row>
    <row r="3280" spans="2:4">
      <c r="B3280" s="6" t="s">
        <v>324</v>
      </c>
      <c r="C3280" s="6" t="s">
        <v>256</v>
      </c>
      <c r="D3280" s="5">
        <v>44940</v>
      </c>
    </row>
    <row r="3281" spans="2:4">
      <c r="B3281" s="6" t="s">
        <v>358</v>
      </c>
      <c r="C3281" s="6" t="s">
        <v>266</v>
      </c>
      <c r="D3281" s="5">
        <v>44940</v>
      </c>
    </row>
    <row r="3282" spans="2:4">
      <c r="B3282" s="6" t="s">
        <v>201</v>
      </c>
      <c r="C3282" s="6" t="s">
        <v>355</v>
      </c>
      <c r="D3282" s="5">
        <v>44940</v>
      </c>
    </row>
    <row r="3283" spans="2:4">
      <c r="B3283" s="6" t="s">
        <v>344</v>
      </c>
      <c r="C3283" s="6" t="s">
        <v>347</v>
      </c>
      <c r="D3283" s="5">
        <v>44940</v>
      </c>
    </row>
    <row r="3284" spans="2:4">
      <c r="B3284" s="6" t="s">
        <v>30</v>
      </c>
      <c r="C3284" s="6" t="s">
        <v>27</v>
      </c>
      <c r="D3284" s="5">
        <v>44940</v>
      </c>
    </row>
    <row r="3285" spans="2:4">
      <c r="B3285" s="6" t="s">
        <v>308</v>
      </c>
      <c r="C3285" s="6" t="s">
        <v>314</v>
      </c>
      <c r="D3285" s="5">
        <v>44940</v>
      </c>
    </row>
    <row r="3286" spans="2:4">
      <c r="B3286" s="6" t="s">
        <v>78</v>
      </c>
      <c r="C3286" s="6" t="s">
        <v>93</v>
      </c>
      <c r="D3286" s="5">
        <v>44940</v>
      </c>
    </row>
    <row r="3287" spans="2:4">
      <c r="B3287" s="6" t="s">
        <v>312</v>
      </c>
      <c r="C3287" s="6" t="s">
        <v>280</v>
      </c>
      <c r="D3287" s="5">
        <v>44940</v>
      </c>
    </row>
    <row r="3288" spans="2:4">
      <c r="B3288" s="6" t="s">
        <v>241</v>
      </c>
      <c r="C3288" s="6" t="s">
        <v>326</v>
      </c>
      <c r="D3288" s="5">
        <v>44940</v>
      </c>
    </row>
    <row r="3289" spans="2:4">
      <c r="B3289" s="6" t="s">
        <v>363</v>
      </c>
      <c r="C3289" s="6" t="s">
        <v>119</v>
      </c>
      <c r="D3289" s="5">
        <v>44940</v>
      </c>
    </row>
    <row r="3290" spans="2:4">
      <c r="B3290" s="6" t="s">
        <v>54</v>
      </c>
      <c r="C3290" s="6" t="s">
        <v>53</v>
      </c>
      <c r="D3290" s="5">
        <v>44940</v>
      </c>
    </row>
    <row r="3291" spans="2:4">
      <c r="B3291" s="6" t="s">
        <v>383</v>
      </c>
      <c r="C3291" s="6" t="s">
        <v>424</v>
      </c>
      <c r="D3291" s="5">
        <v>44940</v>
      </c>
    </row>
    <row r="3292" spans="2:4">
      <c r="B3292" s="6" t="s">
        <v>184</v>
      </c>
      <c r="C3292" s="6" t="s">
        <v>348</v>
      </c>
      <c r="D3292" s="5">
        <v>44940</v>
      </c>
    </row>
    <row r="3293" spans="2:4">
      <c r="B3293" s="6" t="s">
        <v>331</v>
      </c>
      <c r="C3293" s="6" t="s">
        <v>330</v>
      </c>
      <c r="D3293" s="5">
        <v>44940</v>
      </c>
    </row>
    <row r="3294" spans="2:4">
      <c r="B3294" s="6" t="s">
        <v>83</v>
      </c>
      <c r="C3294" s="6" t="s">
        <v>85</v>
      </c>
      <c r="D3294" s="5">
        <v>44940</v>
      </c>
    </row>
    <row r="3295" spans="2:4">
      <c r="B3295" s="6" t="s">
        <v>615</v>
      </c>
      <c r="C3295" s="6" t="s">
        <v>250</v>
      </c>
      <c r="D3295" s="5">
        <v>44940</v>
      </c>
    </row>
    <row r="3296" spans="2:4">
      <c r="B3296" s="6" t="s">
        <v>392</v>
      </c>
      <c r="C3296" s="6" t="s">
        <v>189</v>
      </c>
      <c r="D3296" s="5">
        <v>44940</v>
      </c>
    </row>
    <row r="3297" spans="2:4">
      <c r="B3297" s="6" t="s">
        <v>399</v>
      </c>
      <c r="C3297" s="6" t="s">
        <v>364</v>
      </c>
      <c r="D3297" s="5">
        <v>44940</v>
      </c>
    </row>
    <row r="3298" spans="2:4">
      <c r="B3298" s="6" t="s">
        <v>375</v>
      </c>
      <c r="C3298" s="6" t="s">
        <v>323</v>
      </c>
      <c r="D3298" s="5">
        <v>44940</v>
      </c>
    </row>
    <row r="3299" spans="2:4">
      <c r="B3299" s="6" t="s">
        <v>607</v>
      </c>
      <c r="C3299" s="6" t="s">
        <v>415</v>
      </c>
      <c r="D3299" s="5">
        <v>44940</v>
      </c>
    </row>
    <row r="3300" spans="2:4">
      <c r="B3300" s="6" t="s">
        <v>427</v>
      </c>
      <c r="C3300" s="6" t="s">
        <v>160</v>
      </c>
      <c r="D3300" s="5">
        <v>44940</v>
      </c>
    </row>
    <row r="3301" spans="2:4">
      <c r="B3301" s="6" t="s">
        <v>157</v>
      </c>
      <c r="C3301" s="6" t="s">
        <v>165</v>
      </c>
      <c r="D3301" s="5">
        <v>44940</v>
      </c>
    </row>
    <row r="3302" spans="2:4">
      <c r="B3302" s="6" t="s">
        <v>190</v>
      </c>
      <c r="C3302" s="6" t="s">
        <v>153</v>
      </c>
      <c r="D3302" s="5">
        <v>44940</v>
      </c>
    </row>
    <row r="3303" spans="2:4">
      <c r="B3303" s="6" t="s">
        <v>132</v>
      </c>
      <c r="C3303" s="6" t="s">
        <v>161</v>
      </c>
      <c r="D3303" s="5">
        <v>44940</v>
      </c>
    </row>
    <row r="3304" spans="2:4">
      <c r="B3304" s="6" t="s">
        <v>159</v>
      </c>
      <c r="C3304" s="6" t="s">
        <v>381</v>
      </c>
      <c r="D3304" s="5">
        <v>44940</v>
      </c>
    </row>
    <row r="3305" spans="2:4">
      <c r="B3305" s="6" t="s">
        <v>404</v>
      </c>
      <c r="C3305" s="6" t="s">
        <v>398</v>
      </c>
      <c r="D3305" s="5">
        <v>44940</v>
      </c>
    </row>
    <row r="3306" spans="2:4">
      <c r="B3306" s="6" t="s">
        <v>423</v>
      </c>
      <c r="C3306" s="6" t="s">
        <v>154</v>
      </c>
      <c r="D3306" s="5">
        <v>44940</v>
      </c>
    </row>
    <row r="3307" spans="2:4">
      <c r="B3307" s="6" t="s">
        <v>402</v>
      </c>
      <c r="C3307" s="6" t="s">
        <v>426</v>
      </c>
      <c r="D3307" s="5">
        <v>44940</v>
      </c>
    </row>
    <row r="3308" spans="2:4">
      <c r="B3308" s="6" t="s">
        <v>74</v>
      </c>
      <c r="C3308" s="6" t="s">
        <v>77</v>
      </c>
      <c r="D3308" s="5">
        <v>44940</v>
      </c>
    </row>
    <row r="3309" spans="2:4">
      <c r="B3309" s="6" t="s">
        <v>152</v>
      </c>
      <c r="C3309" s="6" t="s">
        <v>162</v>
      </c>
      <c r="D3309" s="5">
        <v>44940</v>
      </c>
    </row>
    <row r="3310" spans="2:4">
      <c r="B3310" s="6" t="s">
        <v>428</v>
      </c>
      <c r="C3310" s="6" t="s">
        <v>420</v>
      </c>
      <c r="D3310" s="5">
        <v>44940</v>
      </c>
    </row>
    <row r="3311" spans="2:4">
      <c r="B3311" s="6" t="s">
        <v>59</v>
      </c>
      <c r="C3311" s="6" t="s">
        <v>68</v>
      </c>
      <c r="D3311" s="5">
        <v>44941</v>
      </c>
    </row>
    <row r="3312" spans="2:4">
      <c r="B3312" s="6" t="s">
        <v>61</v>
      </c>
      <c r="C3312" s="6" t="s">
        <v>56</v>
      </c>
      <c r="D3312" s="5">
        <v>44941</v>
      </c>
    </row>
    <row r="3313" spans="2:4">
      <c r="B3313" s="6" t="s">
        <v>64</v>
      </c>
      <c r="C3313" s="6" t="s">
        <v>57</v>
      </c>
      <c r="D3313" s="5">
        <v>44941</v>
      </c>
    </row>
    <row r="3314" spans="2:4">
      <c r="B3314" s="6" t="s">
        <v>245</v>
      </c>
      <c r="C3314" s="6" t="s">
        <v>302</v>
      </c>
      <c r="D3314" s="5">
        <v>44941</v>
      </c>
    </row>
    <row r="3315" spans="2:4">
      <c r="B3315" s="6" t="s">
        <v>39</v>
      </c>
      <c r="C3315" s="6" t="s">
        <v>37</v>
      </c>
      <c r="D3315" s="5">
        <v>44941</v>
      </c>
    </row>
    <row r="3316" spans="2:4">
      <c r="B3316" s="6" t="s">
        <v>275</v>
      </c>
      <c r="C3316" s="6" t="s">
        <v>231</v>
      </c>
      <c r="D3316" s="5">
        <v>44941</v>
      </c>
    </row>
    <row r="3317" spans="2:4">
      <c r="B3317" s="6" t="s">
        <v>204</v>
      </c>
      <c r="C3317" s="6" t="s">
        <v>361</v>
      </c>
      <c r="D3317" s="5">
        <v>44941</v>
      </c>
    </row>
    <row r="3318" spans="2:4">
      <c r="B3318" s="6" t="s">
        <v>285</v>
      </c>
      <c r="C3318" s="6" t="s">
        <v>117</v>
      </c>
      <c r="D3318" s="5">
        <v>44941</v>
      </c>
    </row>
    <row r="3319" spans="2:4">
      <c r="B3319" s="6" t="s">
        <v>211</v>
      </c>
      <c r="C3319" s="6" t="s">
        <v>130</v>
      </c>
      <c r="D3319" s="5">
        <v>44941</v>
      </c>
    </row>
    <row r="3320" spans="2:4">
      <c r="B3320" s="6" t="s">
        <v>244</v>
      </c>
      <c r="C3320" s="6" t="s">
        <v>112</v>
      </c>
      <c r="D3320" s="5">
        <v>44941</v>
      </c>
    </row>
    <row r="3321" spans="2:4">
      <c r="B3321" s="6" t="s">
        <v>233</v>
      </c>
      <c r="C3321" s="6" t="s">
        <v>216</v>
      </c>
      <c r="D3321" s="5">
        <v>44941</v>
      </c>
    </row>
    <row r="3322" spans="2:4">
      <c r="B3322" s="6" t="s">
        <v>145</v>
      </c>
      <c r="C3322" s="6" t="s">
        <v>144</v>
      </c>
      <c r="D3322" s="5">
        <v>44941</v>
      </c>
    </row>
    <row r="3323" spans="2:4">
      <c r="B3323" s="6" t="s">
        <v>320</v>
      </c>
      <c r="C3323" s="6" t="s">
        <v>325</v>
      </c>
      <c r="D3323" s="5">
        <v>44941</v>
      </c>
    </row>
    <row r="3324" spans="2:4">
      <c r="B3324" s="6" t="s">
        <v>96</v>
      </c>
      <c r="C3324" s="6" t="s">
        <v>279</v>
      </c>
      <c r="D3324" s="5">
        <v>44942</v>
      </c>
    </row>
    <row r="3325" spans="2:4">
      <c r="B3325" s="6" t="s">
        <v>249</v>
      </c>
      <c r="C3325" s="6" t="s">
        <v>364</v>
      </c>
      <c r="D3325" s="5">
        <v>44942</v>
      </c>
    </row>
    <row r="3326" spans="2:4">
      <c r="B3326" s="6" t="s">
        <v>428</v>
      </c>
      <c r="C3326" s="6" t="s">
        <v>599</v>
      </c>
      <c r="D3326" s="5">
        <v>44942</v>
      </c>
    </row>
    <row r="3327" spans="2:4">
      <c r="B3327" s="6" t="s">
        <v>167</v>
      </c>
      <c r="C3327" s="6" t="s">
        <v>423</v>
      </c>
      <c r="D3327" s="5">
        <v>44942</v>
      </c>
    </row>
    <row r="3328" spans="2:4">
      <c r="B3328" s="6" t="s">
        <v>35</v>
      </c>
      <c r="C3328" s="6" t="s">
        <v>41</v>
      </c>
      <c r="D3328" s="5">
        <v>44942</v>
      </c>
    </row>
    <row r="3329" spans="2:4">
      <c r="B3329" s="6" t="s">
        <v>123</v>
      </c>
      <c r="C3329" s="6" t="s">
        <v>178</v>
      </c>
      <c r="D3329" s="5">
        <v>44942</v>
      </c>
    </row>
    <row r="3330" spans="2:4">
      <c r="B3330" s="6" t="s">
        <v>138</v>
      </c>
      <c r="C3330" s="6" t="s">
        <v>125</v>
      </c>
      <c r="D3330" s="5">
        <v>44942</v>
      </c>
    </row>
    <row r="3331" spans="2:4">
      <c r="B3331" s="6" t="s">
        <v>108</v>
      </c>
      <c r="C3331" s="6" t="s">
        <v>351</v>
      </c>
      <c r="D3331" s="5">
        <v>44942</v>
      </c>
    </row>
    <row r="3332" spans="2:4">
      <c r="B3332" s="6" t="s">
        <v>210</v>
      </c>
      <c r="C3332" s="6" t="s">
        <v>334</v>
      </c>
      <c r="D3332" s="5">
        <v>44942</v>
      </c>
    </row>
    <row r="3333" spans="2:4">
      <c r="B3333" s="6" t="s">
        <v>336</v>
      </c>
      <c r="C3333" s="6" t="s">
        <v>338</v>
      </c>
      <c r="D3333" s="5">
        <v>44942</v>
      </c>
    </row>
    <row r="3334" spans="2:4">
      <c r="B3334" s="6" t="s">
        <v>55</v>
      </c>
      <c r="C3334" s="6" t="s">
        <v>58</v>
      </c>
      <c r="D3334" s="5">
        <v>44942</v>
      </c>
    </row>
    <row r="3335" spans="2:4">
      <c r="B3335" s="6" t="s">
        <v>182</v>
      </c>
      <c r="C3335" s="6" t="s">
        <v>376</v>
      </c>
      <c r="D3335" s="5">
        <v>44942</v>
      </c>
    </row>
    <row r="3336" spans="2:4">
      <c r="B3336" s="6" t="s">
        <v>281</v>
      </c>
      <c r="C3336" s="6" t="s">
        <v>337</v>
      </c>
      <c r="D3336" s="5">
        <v>44942</v>
      </c>
    </row>
    <row r="3337" spans="2:4">
      <c r="B3337" s="6" t="s">
        <v>301</v>
      </c>
      <c r="C3337" s="6" t="s">
        <v>122</v>
      </c>
      <c r="D3337" s="5">
        <v>44942</v>
      </c>
    </row>
    <row r="3338" spans="2:4">
      <c r="B3338" s="6" t="s">
        <v>100</v>
      </c>
      <c r="C3338" s="6" t="s">
        <v>107</v>
      </c>
      <c r="D3338" s="5">
        <v>44942</v>
      </c>
    </row>
    <row r="3339" spans="2:4">
      <c r="B3339" s="6" t="s">
        <v>432</v>
      </c>
      <c r="C3339" s="6" t="s">
        <v>413</v>
      </c>
      <c r="D3339" s="5">
        <v>44942</v>
      </c>
    </row>
    <row r="3340" spans="2:4">
      <c r="B3340" s="6" t="s">
        <v>63</v>
      </c>
      <c r="C3340" s="6" t="s">
        <v>60</v>
      </c>
      <c r="D3340" s="5">
        <v>44942</v>
      </c>
    </row>
    <row r="3341" spans="2:4">
      <c r="B3341" s="6" t="s">
        <v>272</v>
      </c>
      <c r="C3341" s="6" t="s">
        <v>118</v>
      </c>
      <c r="D3341" s="5">
        <v>44942</v>
      </c>
    </row>
    <row r="3342" spans="2:4">
      <c r="B3342" s="6" t="s">
        <v>236</v>
      </c>
      <c r="C3342" s="6" t="s">
        <v>141</v>
      </c>
      <c r="D3342" s="5">
        <v>44942</v>
      </c>
    </row>
    <row r="3343" spans="2:4">
      <c r="B3343" s="6" t="s">
        <v>580</v>
      </c>
      <c r="C3343" s="6" t="s">
        <v>114</v>
      </c>
      <c r="D3343" s="5">
        <v>44942</v>
      </c>
    </row>
    <row r="3344" spans="2:4">
      <c r="B3344" s="6" t="s">
        <v>274</v>
      </c>
      <c r="C3344" s="6" t="s">
        <v>135</v>
      </c>
      <c r="D3344" s="5">
        <v>44942</v>
      </c>
    </row>
    <row r="3345" spans="2:4">
      <c r="B3345" s="6" t="s">
        <v>313</v>
      </c>
      <c r="C3345" s="6" t="s">
        <v>421</v>
      </c>
      <c r="D3345" s="5">
        <v>44942</v>
      </c>
    </row>
    <row r="3346" spans="2:4">
      <c r="B3346" s="6" t="s">
        <v>48</v>
      </c>
      <c r="C3346" s="6" t="s">
        <v>47</v>
      </c>
      <c r="D3346" s="5">
        <v>44942</v>
      </c>
    </row>
    <row r="3347" spans="2:4">
      <c r="B3347" s="6" t="s">
        <v>419</v>
      </c>
      <c r="C3347" s="6" t="s">
        <v>97</v>
      </c>
      <c r="D3347" s="5">
        <v>44942</v>
      </c>
    </row>
    <row r="3348" spans="2:4">
      <c r="B3348" s="6" t="s">
        <v>590</v>
      </c>
      <c r="C3348" s="6" t="s">
        <v>410</v>
      </c>
      <c r="D3348" s="5">
        <v>44942</v>
      </c>
    </row>
    <row r="3349" spans="2:4">
      <c r="B3349" s="6" t="s">
        <v>175</v>
      </c>
      <c r="C3349" s="6" t="s">
        <v>98</v>
      </c>
      <c r="D3349" s="5">
        <v>44942</v>
      </c>
    </row>
    <row r="3350" spans="2:4">
      <c r="B3350" s="6" t="s">
        <v>405</v>
      </c>
      <c r="C3350" s="6" t="s">
        <v>587</v>
      </c>
      <c r="D3350" s="5">
        <v>44942</v>
      </c>
    </row>
    <row r="3351" spans="2:4">
      <c r="B3351" s="6" t="s">
        <v>296</v>
      </c>
      <c r="C3351" s="6" t="s">
        <v>397</v>
      </c>
      <c r="D3351" s="5">
        <v>44942</v>
      </c>
    </row>
    <row r="3352" spans="2:4">
      <c r="B3352" s="6" t="s">
        <v>179</v>
      </c>
      <c r="C3352" s="6" t="s">
        <v>268</v>
      </c>
      <c r="D3352" s="5">
        <v>44942</v>
      </c>
    </row>
    <row r="3353" spans="2:4">
      <c r="B3353" s="6" t="s">
        <v>327</v>
      </c>
      <c r="C3353" s="6" t="s">
        <v>129</v>
      </c>
      <c r="D3353" s="5">
        <v>44942</v>
      </c>
    </row>
    <row r="3354" spans="2:4">
      <c r="B3354" s="6" t="s">
        <v>170</v>
      </c>
      <c r="C3354" s="6" t="s">
        <v>303</v>
      </c>
      <c r="D3354" s="5">
        <v>44942</v>
      </c>
    </row>
    <row r="3355" spans="2:4">
      <c r="B3355" s="6" t="s">
        <v>232</v>
      </c>
      <c r="C3355" s="6" t="s">
        <v>332</v>
      </c>
      <c r="D3355" s="5">
        <v>44942</v>
      </c>
    </row>
    <row r="3356" spans="2:4">
      <c r="B3356" s="6" t="s">
        <v>368</v>
      </c>
      <c r="C3356" s="6" t="s">
        <v>143</v>
      </c>
      <c r="D3356" s="5">
        <v>44942</v>
      </c>
    </row>
    <row r="3357" spans="2:4">
      <c r="B3357" s="6" t="s">
        <v>154</v>
      </c>
      <c r="C3357" s="6" t="s">
        <v>207</v>
      </c>
      <c r="D3357" s="5">
        <v>44942</v>
      </c>
    </row>
    <row r="3358" spans="2:4">
      <c r="B3358" s="6" t="s">
        <v>399</v>
      </c>
      <c r="C3358" s="6" t="s">
        <v>156</v>
      </c>
      <c r="D3358" s="5">
        <v>44942</v>
      </c>
    </row>
    <row r="3359" spans="2:4">
      <c r="B3359" s="6" t="s">
        <v>242</v>
      </c>
      <c r="C3359" s="6" t="s">
        <v>195</v>
      </c>
      <c r="D3359" s="5">
        <v>44942</v>
      </c>
    </row>
    <row r="3360" spans="2:4">
      <c r="B3360" s="6" t="s">
        <v>158</v>
      </c>
      <c r="C3360" s="6" t="s">
        <v>391</v>
      </c>
      <c r="D3360" s="5">
        <v>44942</v>
      </c>
    </row>
    <row r="3361" spans="2:4">
      <c r="B3361" s="6" t="s">
        <v>393</v>
      </c>
      <c r="C3361" s="6" t="s">
        <v>190</v>
      </c>
      <c r="D3361" s="5">
        <v>44942</v>
      </c>
    </row>
    <row r="3362" spans="2:4">
      <c r="B3362" s="6" t="s">
        <v>621</v>
      </c>
      <c r="C3362" s="6" t="s">
        <v>586</v>
      </c>
      <c r="D3362" s="5">
        <v>44942</v>
      </c>
    </row>
    <row r="3363" spans="2:4">
      <c r="B3363" s="6" t="s">
        <v>203</v>
      </c>
      <c r="C3363" s="6" t="s">
        <v>288</v>
      </c>
      <c r="D3363" s="5">
        <v>44943</v>
      </c>
    </row>
    <row r="3364" spans="2:4">
      <c r="B3364" s="6" t="s">
        <v>90</v>
      </c>
      <c r="C3364" s="6" t="s">
        <v>88</v>
      </c>
      <c r="D3364" s="5">
        <v>44943</v>
      </c>
    </row>
    <row r="3365" spans="2:4">
      <c r="B3365" s="6" t="s">
        <v>251</v>
      </c>
      <c r="C3365" s="6" t="s">
        <v>54</v>
      </c>
      <c r="D3365" s="5">
        <v>44943</v>
      </c>
    </row>
    <row r="3366" spans="2:4">
      <c r="B3366" s="6" t="s">
        <v>221</v>
      </c>
      <c r="C3366" s="6" t="s">
        <v>212</v>
      </c>
      <c r="D3366" s="5">
        <v>44943</v>
      </c>
    </row>
    <row r="3367" spans="2:4">
      <c r="B3367" s="6" t="s">
        <v>33</v>
      </c>
      <c r="C3367" s="6" t="s">
        <v>26</v>
      </c>
      <c r="D3367" s="5">
        <v>44943</v>
      </c>
    </row>
    <row r="3368" spans="2:4">
      <c r="B3368" s="6" t="s">
        <v>42</v>
      </c>
      <c r="C3368" s="6" t="s">
        <v>38</v>
      </c>
      <c r="D3368" s="5">
        <v>44943</v>
      </c>
    </row>
    <row r="3369" spans="2:4">
      <c r="B3369" s="6" t="s">
        <v>85</v>
      </c>
      <c r="C3369" s="6" t="s">
        <v>86</v>
      </c>
      <c r="D3369" s="5">
        <v>44943</v>
      </c>
    </row>
    <row r="3370" spans="2:4">
      <c r="B3370" s="6" t="s">
        <v>214</v>
      </c>
      <c r="C3370" s="6" t="s">
        <v>199</v>
      </c>
      <c r="D3370" s="5">
        <v>44943</v>
      </c>
    </row>
    <row r="3371" spans="2:4">
      <c r="B3371" s="6" t="s">
        <v>139</v>
      </c>
      <c r="C3371" s="6" t="s">
        <v>280</v>
      </c>
      <c r="D3371" s="5">
        <v>44943</v>
      </c>
    </row>
    <row r="3372" spans="2:4">
      <c r="B3372" s="6" t="s">
        <v>50</v>
      </c>
      <c r="C3372" s="6" t="s">
        <v>149</v>
      </c>
      <c r="D3372" s="5">
        <v>44943</v>
      </c>
    </row>
    <row r="3373" spans="2:4">
      <c r="B3373" s="6" t="s">
        <v>46</v>
      </c>
      <c r="C3373" s="6" t="s">
        <v>45</v>
      </c>
      <c r="D3373" s="5">
        <v>44943</v>
      </c>
    </row>
    <row r="3374" spans="2:4">
      <c r="B3374" s="6" t="s">
        <v>200</v>
      </c>
      <c r="C3374" s="6" t="s">
        <v>124</v>
      </c>
      <c r="D3374" s="5">
        <v>44943</v>
      </c>
    </row>
    <row r="3375" spans="2:4">
      <c r="B3375" s="6" t="s">
        <v>121</v>
      </c>
      <c r="C3375" s="6" t="s">
        <v>300</v>
      </c>
      <c r="D3375" s="5">
        <v>44943</v>
      </c>
    </row>
    <row r="3376" spans="2:4">
      <c r="B3376" s="6" t="s">
        <v>140</v>
      </c>
      <c r="C3376" s="6" t="s">
        <v>127</v>
      </c>
      <c r="D3376" s="5">
        <v>44943</v>
      </c>
    </row>
    <row r="3377" spans="2:4">
      <c r="B3377" s="6" t="s">
        <v>247</v>
      </c>
      <c r="C3377" s="6" t="s">
        <v>180</v>
      </c>
      <c r="D3377" s="5">
        <v>44943</v>
      </c>
    </row>
    <row r="3378" spans="2:4">
      <c r="B3378" s="6" t="s">
        <v>362</v>
      </c>
      <c r="C3378" s="6" t="s">
        <v>105</v>
      </c>
      <c r="D3378" s="5">
        <v>44943</v>
      </c>
    </row>
    <row r="3379" spans="2:4">
      <c r="B3379" s="6" t="s">
        <v>109</v>
      </c>
      <c r="C3379" s="6" t="s">
        <v>414</v>
      </c>
      <c r="D3379" s="5">
        <v>44943</v>
      </c>
    </row>
    <row r="3380" spans="2:4">
      <c r="B3380" s="6" t="s">
        <v>209</v>
      </c>
      <c r="C3380" s="6" t="s">
        <v>400</v>
      </c>
      <c r="D3380" s="5">
        <v>44943</v>
      </c>
    </row>
    <row r="3381" spans="2:4">
      <c r="B3381" s="6" t="s">
        <v>31</v>
      </c>
      <c r="C3381" s="6" t="s">
        <v>30</v>
      </c>
      <c r="D3381" s="5">
        <v>44943</v>
      </c>
    </row>
    <row r="3382" spans="2:4">
      <c r="B3382" s="6" t="s">
        <v>241</v>
      </c>
      <c r="C3382" s="6" t="s">
        <v>213</v>
      </c>
      <c r="D3382" s="5">
        <v>44943</v>
      </c>
    </row>
    <row r="3383" spans="2:4">
      <c r="B3383" s="6" t="s">
        <v>185</v>
      </c>
      <c r="C3383" s="6" t="s">
        <v>82</v>
      </c>
      <c r="D3383" s="5">
        <v>44943</v>
      </c>
    </row>
    <row r="3384" spans="2:4">
      <c r="B3384" s="6" t="s">
        <v>65</v>
      </c>
      <c r="C3384" s="6" t="s">
        <v>66</v>
      </c>
      <c r="D3384" s="5">
        <v>44943</v>
      </c>
    </row>
    <row r="3385" spans="2:4">
      <c r="B3385" s="6" t="s">
        <v>80</v>
      </c>
      <c r="C3385" s="6" t="s">
        <v>89</v>
      </c>
      <c r="D3385" s="5">
        <v>44943</v>
      </c>
    </row>
    <row r="3386" spans="2:4">
      <c r="B3386" s="6" t="s">
        <v>27</v>
      </c>
      <c r="C3386" s="6" t="s">
        <v>28</v>
      </c>
      <c r="D3386" s="5">
        <v>44943</v>
      </c>
    </row>
    <row r="3387" spans="2:4">
      <c r="B3387" s="6" t="s">
        <v>186</v>
      </c>
      <c r="C3387" s="6" t="s">
        <v>312</v>
      </c>
      <c r="D3387" s="5">
        <v>44943</v>
      </c>
    </row>
    <row r="3388" spans="2:4">
      <c r="B3388" s="6" t="s">
        <v>53</v>
      </c>
      <c r="C3388" s="6" t="s">
        <v>51</v>
      </c>
      <c r="D3388" s="5">
        <v>44943</v>
      </c>
    </row>
    <row r="3389" spans="2:4">
      <c r="B3389" s="6" t="s">
        <v>198</v>
      </c>
      <c r="C3389" s="6" t="s">
        <v>152</v>
      </c>
      <c r="D3389" s="5">
        <v>44943</v>
      </c>
    </row>
    <row r="3390" spans="2:4">
      <c r="B3390" s="6" t="s">
        <v>168</v>
      </c>
      <c r="C3390" s="6" t="s">
        <v>163</v>
      </c>
      <c r="D3390" s="5">
        <v>44943</v>
      </c>
    </row>
    <row r="3391" spans="2:4">
      <c r="B3391" s="6" t="s">
        <v>189</v>
      </c>
      <c r="C3391" s="6" t="s">
        <v>433</v>
      </c>
      <c r="D3391" s="5">
        <v>44943</v>
      </c>
    </row>
    <row r="3392" spans="2:4">
      <c r="B3392" s="6" t="s">
        <v>162</v>
      </c>
      <c r="C3392" s="6" t="s">
        <v>169</v>
      </c>
      <c r="D3392" s="5">
        <v>44943</v>
      </c>
    </row>
    <row r="3393" spans="2:4">
      <c r="B3393" s="6" t="s">
        <v>131</v>
      </c>
      <c r="C3393" s="6" t="s">
        <v>176</v>
      </c>
      <c r="D3393" s="5">
        <v>44944</v>
      </c>
    </row>
    <row r="3394" spans="2:4">
      <c r="B3394" s="6" t="s">
        <v>395</v>
      </c>
      <c r="C3394" s="6" t="s">
        <v>425</v>
      </c>
      <c r="D3394" s="5">
        <v>44944</v>
      </c>
    </row>
    <row r="3395" spans="2:4">
      <c r="B3395" s="6" t="s">
        <v>238</v>
      </c>
      <c r="C3395" s="6" t="s">
        <v>122</v>
      </c>
      <c r="D3395" s="5">
        <v>44944</v>
      </c>
    </row>
    <row r="3396" spans="2:4">
      <c r="B3396" s="6" t="s">
        <v>148</v>
      </c>
      <c r="C3396" s="6" t="s">
        <v>113</v>
      </c>
      <c r="D3396" s="5">
        <v>44944</v>
      </c>
    </row>
    <row r="3397" spans="2:4">
      <c r="B3397" s="6" t="s">
        <v>36</v>
      </c>
      <c r="C3397" s="6" t="s">
        <v>245</v>
      </c>
      <c r="D3397" s="5">
        <v>44944</v>
      </c>
    </row>
    <row r="3398" spans="2:4">
      <c r="B3398" s="6" t="s">
        <v>32</v>
      </c>
      <c r="C3398" s="6" t="s">
        <v>34</v>
      </c>
      <c r="D3398" s="5">
        <v>44944</v>
      </c>
    </row>
    <row r="3399" spans="2:4">
      <c r="B3399" s="6" t="s">
        <v>81</v>
      </c>
      <c r="C3399" s="6" t="s">
        <v>83</v>
      </c>
      <c r="D3399" s="5">
        <v>44944</v>
      </c>
    </row>
    <row r="3400" spans="2:4">
      <c r="B3400" s="6" t="s">
        <v>188</v>
      </c>
      <c r="C3400" s="6" t="s">
        <v>52</v>
      </c>
      <c r="D3400" s="5">
        <v>44944</v>
      </c>
    </row>
    <row r="3401" spans="2:4">
      <c r="B3401" s="6" t="s">
        <v>231</v>
      </c>
      <c r="C3401" s="6" t="s">
        <v>187</v>
      </c>
      <c r="D3401" s="5">
        <v>44944</v>
      </c>
    </row>
    <row r="3402" spans="2:4">
      <c r="B3402" s="6" t="s">
        <v>145</v>
      </c>
      <c r="C3402" s="6" t="s">
        <v>275</v>
      </c>
      <c r="D3402" s="5">
        <v>44944</v>
      </c>
    </row>
    <row r="3403" spans="2:4">
      <c r="B3403" s="6" t="s">
        <v>360</v>
      </c>
      <c r="C3403" s="6" t="s">
        <v>137</v>
      </c>
      <c r="D3403" s="5">
        <v>44944</v>
      </c>
    </row>
    <row r="3404" spans="2:4">
      <c r="B3404" s="6" t="s">
        <v>325</v>
      </c>
      <c r="C3404" s="6" t="s">
        <v>119</v>
      </c>
      <c r="D3404" s="5">
        <v>44944</v>
      </c>
    </row>
    <row r="3405" spans="2:4">
      <c r="B3405" s="6" t="s">
        <v>43</v>
      </c>
      <c r="C3405" s="6" t="s">
        <v>49</v>
      </c>
      <c r="D3405" s="5">
        <v>44944</v>
      </c>
    </row>
    <row r="3406" spans="2:4">
      <c r="B3406" s="6" t="s">
        <v>220</v>
      </c>
      <c r="C3406" s="6" t="s">
        <v>278</v>
      </c>
      <c r="D3406" s="5">
        <v>44944</v>
      </c>
    </row>
    <row r="3407" spans="2:4">
      <c r="B3407" s="6" t="s">
        <v>67</v>
      </c>
      <c r="C3407" s="6" t="s">
        <v>57</v>
      </c>
      <c r="D3407" s="5">
        <v>44944</v>
      </c>
    </row>
    <row r="3408" spans="2:4">
      <c r="B3408" s="6" t="s">
        <v>91</v>
      </c>
      <c r="C3408" s="6" t="s">
        <v>79</v>
      </c>
      <c r="D3408" s="5">
        <v>44944</v>
      </c>
    </row>
    <row r="3409" spans="2:4">
      <c r="B3409" s="6" t="s">
        <v>350</v>
      </c>
      <c r="C3409" s="6" t="s">
        <v>133</v>
      </c>
      <c r="D3409" s="5">
        <v>44944</v>
      </c>
    </row>
    <row r="3410" spans="2:4">
      <c r="B3410" s="6" t="s">
        <v>252</v>
      </c>
      <c r="C3410" s="6" t="s">
        <v>284</v>
      </c>
      <c r="D3410" s="5">
        <v>44944</v>
      </c>
    </row>
    <row r="3411" spans="2:4">
      <c r="B3411" s="6" t="s">
        <v>273</v>
      </c>
      <c r="C3411" s="6" t="s">
        <v>192</v>
      </c>
      <c r="D3411" s="5">
        <v>44944</v>
      </c>
    </row>
    <row r="3412" spans="2:4">
      <c r="B3412" s="6" t="s">
        <v>110</v>
      </c>
      <c r="C3412" s="6" t="s">
        <v>191</v>
      </c>
      <c r="D3412" s="5">
        <v>44944</v>
      </c>
    </row>
    <row r="3413" spans="2:4">
      <c r="B3413" s="6" t="s">
        <v>270</v>
      </c>
      <c r="C3413" s="6" t="s">
        <v>297</v>
      </c>
      <c r="D3413" s="5">
        <v>44944</v>
      </c>
    </row>
    <row r="3414" spans="2:4">
      <c r="B3414" s="6" t="s">
        <v>298</v>
      </c>
      <c r="C3414" s="6" t="s">
        <v>202</v>
      </c>
      <c r="D3414" s="5">
        <v>44944</v>
      </c>
    </row>
    <row r="3415" spans="2:4">
      <c r="B3415" s="6" t="s">
        <v>287</v>
      </c>
      <c r="C3415" s="6" t="s">
        <v>103</v>
      </c>
      <c r="D3415" s="5">
        <v>44944</v>
      </c>
    </row>
    <row r="3416" spans="2:4">
      <c r="B3416" s="6" t="s">
        <v>436</v>
      </c>
      <c r="C3416" s="6" t="s">
        <v>102</v>
      </c>
      <c r="D3416" s="5">
        <v>44944</v>
      </c>
    </row>
    <row r="3417" spans="2:4">
      <c r="B3417" s="6" t="s">
        <v>104</v>
      </c>
      <c r="C3417" s="6" t="s">
        <v>111</v>
      </c>
      <c r="D3417" s="5">
        <v>44944</v>
      </c>
    </row>
    <row r="3418" spans="2:4">
      <c r="B3418" s="6" t="s">
        <v>95</v>
      </c>
      <c r="C3418" s="6" t="s">
        <v>341</v>
      </c>
      <c r="D3418" s="5">
        <v>44944</v>
      </c>
    </row>
    <row r="3419" spans="2:4">
      <c r="B3419" s="6" t="s">
        <v>318</v>
      </c>
      <c r="C3419" s="6" t="s">
        <v>326</v>
      </c>
      <c r="D3419" s="5">
        <v>44944</v>
      </c>
    </row>
    <row r="3420" spans="2:4">
      <c r="B3420" s="6" t="s">
        <v>363</v>
      </c>
      <c r="C3420" s="6" t="s">
        <v>320</v>
      </c>
      <c r="D3420" s="5">
        <v>44944</v>
      </c>
    </row>
    <row r="3421" spans="2:4">
      <c r="B3421" s="6" t="s">
        <v>383</v>
      </c>
      <c r="C3421" s="6" t="s">
        <v>345</v>
      </c>
      <c r="D3421" s="5">
        <v>44944</v>
      </c>
    </row>
    <row r="3422" spans="2:4">
      <c r="B3422" s="6" t="s">
        <v>355</v>
      </c>
      <c r="C3422" s="6" t="s">
        <v>173</v>
      </c>
      <c r="D3422" s="5">
        <v>44944</v>
      </c>
    </row>
    <row r="3423" spans="2:4">
      <c r="B3423" s="6" t="s">
        <v>155</v>
      </c>
      <c r="C3423" s="6" t="s">
        <v>39</v>
      </c>
      <c r="D3423" s="5">
        <v>44944</v>
      </c>
    </row>
    <row r="3424" spans="2:4">
      <c r="B3424" s="6" t="s">
        <v>87</v>
      </c>
      <c r="C3424" s="6" t="s">
        <v>84</v>
      </c>
      <c r="D3424" s="5">
        <v>44944</v>
      </c>
    </row>
    <row r="3425" spans="2:4">
      <c r="B3425" s="6" t="s">
        <v>322</v>
      </c>
      <c r="C3425" s="6" t="s">
        <v>29</v>
      </c>
      <c r="D3425" s="5">
        <v>44944</v>
      </c>
    </row>
    <row r="3426" spans="2:4">
      <c r="B3426" s="6" t="s">
        <v>37</v>
      </c>
      <c r="C3426" s="6" t="s">
        <v>40</v>
      </c>
      <c r="D3426" s="5">
        <v>44944</v>
      </c>
    </row>
    <row r="3427" spans="2:4">
      <c r="B3427" s="6" t="s">
        <v>61</v>
      </c>
      <c r="C3427" s="6" t="s">
        <v>68</v>
      </c>
      <c r="D3427" s="5">
        <v>44944</v>
      </c>
    </row>
    <row r="3428" spans="2:4">
      <c r="B3428" s="6" t="s">
        <v>381</v>
      </c>
      <c r="C3428" s="6" t="s">
        <v>607</v>
      </c>
      <c r="D3428" s="5">
        <v>44944</v>
      </c>
    </row>
    <row r="3429" spans="2:4">
      <c r="B3429" s="6" t="s">
        <v>164</v>
      </c>
      <c r="C3429" s="6" t="s">
        <v>69</v>
      </c>
      <c r="D3429" s="5">
        <v>44944</v>
      </c>
    </row>
    <row r="3430" spans="2:4">
      <c r="B3430" s="6" t="s">
        <v>386</v>
      </c>
      <c r="C3430" s="6" t="s">
        <v>392</v>
      </c>
      <c r="D3430" s="5">
        <v>44944</v>
      </c>
    </row>
    <row r="3431" spans="2:4">
      <c r="B3431" s="6" t="s">
        <v>132</v>
      </c>
      <c r="C3431" s="6" t="s">
        <v>396</v>
      </c>
      <c r="D3431" s="5">
        <v>44945</v>
      </c>
    </row>
    <row r="3432" spans="2:4">
      <c r="B3432" s="6" t="s">
        <v>269</v>
      </c>
      <c r="C3432" s="6" t="s">
        <v>301</v>
      </c>
      <c r="D3432" s="5">
        <v>44945</v>
      </c>
    </row>
    <row r="3433" spans="2:4">
      <c r="B3433" s="6" t="s">
        <v>292</v>
      </c>
      <c r="C3433" s="6" t="s">
        <v>353</v>
      </c>
      <c r="D3433" s="5">
        <v>44945</v>
      </c>
    </row>
    <row r="3434" spans="2:4">
      <c r="B3434" s="6" t="s">
        <v>55</v>
      </c>
      <c r="C3434" s="6" t="s">
        <v>64</v>
      </c>
      <c r="D3434" s="5">
        <v>44945</v>
      </c>
    </row>
    <row r="3435" spans="2:4">
      <c r="B3435" s="6" t="s">
        <v>56</v>
      </c>
      <c r="C3435" s="6" t="s">
        <v>59</v>
      </c>
      <c r="D3435" s="5">
        <v>44945</v>
      </c>
    </row>
    <row r="3436" spans="2:4">
      <c r="B3436" s="6" t="s">
        <v>144</v>
      </c>
      <c r="C3436" s="6" t="s">
        <v>352</v>
      </c>
      <c r="D3436" s="5">
        <v>44945</v>
      </c>
    </row>
    <row r="3437" spans="2:4">
      <c r="B3437" s="6" t="s">
        <v>205</v>
      </c>
      <c r="C3437" s="6" t="s">
        <v>174</v>
      </c>
      <c r="D3437" s="5">
        <v>44945</v>
      </c>
    </row>
    <row r="3438" spans="2:4">
      <c r="B3438" s="6" t="s">
        <v>106</v>
      </c>
      <c r="C3438" s="6" t="s">
        <v>177</v>
      </c>
      <c r="D3438" s="5">
        <v>44945</v>
      </c>
    </row>
    <row r="3439" spans="2:4">
      <c r="B3439" s="6" t="s">
        <v>215</v>
      </c>
      <c r="C3439" s="6" t="s">
        <v>126</v>
      </c>
      <c r="D3439" s="5">
        <v>44945</v>
      </c>
    </row>
    <row r="3440" spans="2:4">
      <c r="B3440" s="6" t="s">
        <v>242</v>
      </c>
      <c r="C3440" s="6" t="s">
        <v>182</v>
      </c>
      <c r="D3440" s="5">
        <v>44945</v>
      </c>
    </row>
    <row r="3441" spans="2:4">
      <c r="B3441" s="6" t="s">
        <v>63</v>
      </c>
      <c r="C3441" s="6" t="s">
        <v>58</v>
      </c>
      <c r="D3441" s="5">
        <v>44945</v>
      </c>
    </row>
    <row r="3442" spans="2:4">
      <c r="B3442" s="6" t="s">
        <v>267</v>
      </c>
      <c r="C3442" s="6" t="s">
        <v>282</v>
      </c>
      <c r="D3442" s="5">
        <v>44945</v>
      </c>
    </row>
    <row r="3443" spans="2:4">
      <c r="B3443" s="6" t="s">
        <v>261</v>
      </c>
      <c r="C3443" s="6" t="s">
        <v>171</v>
      </c>
      <c r="D3443" s="5">
        <v>44945</v>
      </c>
    </row>
    <row r="3444" spans="2:4">
      <c r="B3444" s="6" t="s">
        <v>194</v>
      </c>
      <c r="C3444" s="6" t="s">
        <v>409</v>
      </c>
      <c r="D3444" s="5">
        <v>44945</v>
      </c>
    </row>
    <row r="3445" spans="2:4">
      <c r="B3445" s="6" t="s">
        <v>289</v>
      </c>
      <c r="C3445" s="6" t="s">
        <v>333</v>
      </c>
      <c r="D3445" s="5">
        <v>44945</v>
      </c>
    </row>
    <row r="3446" spans="2:4">
      <c r="B3446" s="6" t="s">
        <v>136</v>
      </c>
      <c r="C3446" s="6" t="s">
        <v>259</v>
      </c>
      <c r="D3446" s="5">
        <v>44945</v>
      </c>
    </row>
    <row r="3447" spans="2:4">
      <c r="B3447" s="6" t="s">
        <v>294</v>
      </c>
      <c r="C3447" s="6" t="s">
        <v>286</v>
      </c>
      <c r="D3447" s="5">
        <v>44945</v>
      </c>
    </row>
    <row r="3448" spans="2:4">
      <c r="B3448" s="6" t="s">
        <v>172</v>
      </c>
      <c r="C3448" s="6" t="s">
        <v>101</v>
      </c>
      <c r="D3448" s="5">
        <v>44945</v>
      </c>
    </row>
    <row r="3449" spans="2:4">
      <c r="B3449" s="6" t="s">
        <v>266</v>
      </c>
      <c r="C3449" s="6" t="s">
        <v>296</v>
      </c>
      <c r="D3449" s="5">
        <v>44945</v>
      </c>
    </row>
    <row r="3450" spans="2:4">
      <c r="B3450" s="6" t="s">
        <v>256</v>
      </c>
      <c r="C3450" s="6" t="s">
        <v>397</v>
      </c>
      <c r="D3450" s="5">
        <v>44945</v>
      </c>
    </row>
    <row r="3451" spans="2:4">
      <c r="B3451" s="6" t="s">
        <v>99</v>
      </c>
      <c r="C3451" s="6" t="s">
        <v>272</v>
      </c>
      <c r="D3451" s="5">
        <v>44945</v>
      </c>
    </row>
    <row r="3452" spans="2:4">
      <c r="B3452" s="6" t="s">
        <v>178</v>
      </c>
      <c r="C3452" s="6" t="s">
        <v>327</v>
      </c>
      <c r="D3452" s="5">
        <v>44945</v>
      </c>
    </row>
    <row r="3453" spans="2:4">
      <c r="B3453" s="6" t="s">
        <v>115</v>
      </c>
      <c r="C3453" s="6" t="s">
        <v>432</v>
      </c>
      <c r="D3453" s="5">
        <v>44945</v>
      </c>
    </row>
    <row r="3454" spans="2:4">
      <c r="B3454" s="6" t="s">
        <v>118</v>
      </c>
      <c r="C3454" s="6" t="s">
        <v>413</v>
      </c>
      <c r="D3454" s="5">
        <v>44945</v>
      </c>
    </row>
    <row r="3455" spans="2:4">
      <c r="B3455" s="6" t="s">
        <v>146</v>
      </c>
      <c r="C3455" s="6" t="s">
        <v>179</v>
      </c>
      <c r="D3455" s="5">
        <v>44945</v>
      </c>
    </row>
    <row r="3456" spans="2:4">
      <c r="B3456" s="6" t="s">
        <v>268</v>
      </c>
      <c r="C3456" s="6" t="s">
        <v>123</v>
      </c>
      <c r="D3456" s="5">
        <v>44945</v>
      </c>
    </row>
    <row r="3457" spans="2:4">
      <c r="B3457" s="6" t="s">
        <v>142</v>
      </c>
      <c r="C3457" s="6" t="s">
        <v>356</v>
      </c>
      <c r="D3457" s="5">
        <v>44945</v>
      </c>
    </row>
    <row r="3458" spans="2:4">
      <c r="B3458" s="6" t="s">
        <v>354</v>
      </c>
      <c r="C3458" s="6" t="s">
        <v>610</v>
      </c>
      <c r="D3458" s="5">
        <v>44945</v>
      </c>
    </row>
    <row r="3459" spans="2:4">
      <c r="B3459" s="6" t="s">
        <v>120</v>
      </c>
      <c r="C3459" s="6" t="s">
        <v>201</v>
      </c>
      <c r="D3459" s="5">
        <v>44945</v>
      </c>
    </row>
    <row r="3460" spans="2:4">
      <c r="B3460" s="6" t="s">
        <v>147</v>
      </c>
      <c r="C3460" s="6" t="s">
        <v>248</v>
      </c>
      <c r="D3460" s="5">
        <v>44945</v>
      </c>
    </row>
    <row r="3461" spans="2:4">
      <c r="B3461" s="6" t="s">
        <v>415</v>
      </c>
      <c r="C3461" s="6" t="s">
        <v>290</v>
      </c>
      <c r="D3461" s="5">
        <v>44945</v>
      </c>
    </row>
    <row r="3462" spans="2:4">
      <c r="B3462" s="6" t="s">
        <v>368</v>
      </c>
      <c r="C3462" s="6" t="s">
        <v>421</v>
      </c>
      <c r="D3462" s="5">
        <v>44945</v>
      </c>
    </row>
    <row r="3463" spans="2:4">
      <c r="B3463" s="6" t="s">
        <v>135</v>
      </c>
      <c r="C3463" s="6" t="s">
        <v>143</v>
      </c>
      <c r="D3463" s="5">
        <v>44945</v>
      </c>
    </row>
    <row r="3464" spans="2:4">
      <c r="B3464" s="6" t="s">
        <v>319</v>
      </c>
      <c r="C3464" s="6" t="s">
        <v>342</v>
      </c>
      <c r="D3464" s="5">
        <v>44945</v>
      </c>
    </row>
    <row r="3465" spans="2:4">
      <c r="B3465" s="6" t="s">
        <v>134</v>
      </c>
      <c r="C3465" s="6" t="s">
        <v>588</v>
      </c>
      <c r="D3465" s="5">
        <v>44945</v>
      </c>
    </row>
    <row r="3466" spans="2:4">
      <c r="B3466" s="6" t="s">
        <v>94</v>
      </c>
      <c r="C3466" s="6" t="s">
        <v>640</v>
      </c>
      <c r="D3466" s="5">
        <v>44945</v>
      </c>
    </row>
    <row r="3467" spans="2:4">
      <c r="B3467" s="6" t="s">
        <v>584</v>
      </c>
      <c r="C3467" s="6" t="s">
        <v>295</v>
      </c>
      <c r="D3467" s="5">
        <v>44945</v>
      </c>
    </row>
    <row r="3468" spans="2:4">
      <c r="B3468" s="6" t="s">
        <v>323</v>
      </c>
      <c r="C3468" s="6" t="s">
        <v>344</v>
      </c>
      <c r="D3468" s="5">
        <v>44945</v>
      </c>
    </row>
    <row r="3469" spans="2:4">
      <c r="B3469" s="6" t="s">
        <v>316</v>
      </c>
      <c r="C3469" s="6" t="s">
        <v>306</v>
      </c>
      <c r="D3469" s="5">
        <v>44945</v>
      </c>
    </row>
    <row r="3470" spans="2:4">
      <c r="B3470" s="6" t="s">
        <v>367</v>
      </c>
      <c r="C3470" s="6" t="s">
        <v>365</v>
      </c>
      <c r="D3470" s="5">
        <v>44945</v>
      </c>
    </row>
    <row r="3471" spans="2:4">
      <c r="B3471" s="6" t="s">
        <v>150</v>
      </c>
      <c r="C3471" s="6" t="s">
        <v>193</v>
      </c>
      <c r="D3471" s="5">
        <v>44945</v>
      </c>
    </row>
    <row r="3472" spans="2:4">
      <c r="B3472" s="6" t="s">
        <v>359</v>
      </c>
      <c r="C3472" s="6" t="s">
        <v>184</v>
      </c>
      <c r="D3472" s="5">
        <v>44945</v>
      </c>
    </row>
    <row r="3473" spans="2:4">
      <c r="B3473" s="6" t="s">
        <v>196</v>
      </c>
      <c r="C3473" s="6" t="s">
        <v>331</v>
      </c>
      <c r="D3473" s="5">
        <v>44945</v>
      </c>
    </row>
    <row r="3474" spans="2:4">
      <c r="B3474" s="6" t="s">
        <v>385</v>
      </c>
      <c r="C3474" s="6" t="s">
        <v>357</v>
      </c>
      <c r="D3474" s="5">
        <v>44945</v>
      </c>
    </row>
    <row r="3475" spans="2:4">
      <c r="B3475" s="6" t="s">
        <v>208</v>
      </c>
      <c r="C3475" s="6" t="s">
        <v>151</v>
      </c>
      <c r="D3475" s="5">
        <v>44945</v>
      </c>
    </row>
    <row r="3476" spans="2:4">
      <c r="B3476" s="6" t="s">
        <v>321</v>
      </c>
      <c r="C3476" s="6" t="s">
        <v>250</v>
      </c>
      <c r="D3476" s="5">
        <v>44945</v>
      </c>
    </row>
    <row r="3477" spans="2:4">
      <c r="B3477" s="6" t="s">
        <v>324</v>
      </c>
      <c r="C3477" s="6" t="s">
        <v>418</v>
      </c>
      <c r="D3477" s="5">
        <v>44945</v>
      </c>
    </row>
    <row r="3478" spans="2:4">
      <c r="B3478" s="6" t="s">
        <v>358</v>
      </c>
      <c r="C3478" s="6" t="s">
        <v>412</v>
      </c>
      <c r="D3478" s="5">
        <v>44945</v>
      </c>
    </row>
    <row r="3479" spans="2:4">
      <c r="B3479" s="6" t="s">
        <v>403</v>
      </c>
      <c r="C3479" s="6" t="s">
        <v>158</v>
      </c>
      <c r="D3479" s="5">
        <v>44945</v>
      </c>
    </row>
    <row r="3480" spans="2:4">
      <c r="B3480" s="6" t="s">
        <v>426</v>
      </c>
      <c r="C3480" s="6" t="s">
        <v>393</v>
      </c>
      <c r="D3480" s="5">
        <v>44945</v>
      </c>
    </row>
    <row r="3481" spans="2:4">
      <c r="B3481" s="6" t="s">
        <v>128</v>
      </c>
      <c r="C3481" s="6" t="s">
        <v>255</v>
      </c>
      <c r="D3481" s="5">
        <v>44945</v>
      </c>
    </row>
    <row r="3482" spans="2:4">
      <c r="B3482" s="6" t="s">
        <v>60</v>
      </c>
      <c r="C3482" s="6" t="s">
        <v>62</v>
      </c>
      <c r="D3482" s="5">
        <v>44945</v>
      </c>
    </row>
    <row r="3483" spans="2:4">
      <c r="B3483" s="6" t="s">
        <v>183</v>
      </c>
      <c r="C3483" s="6" t="s">
        <v>343</v>
      </c>
      <c r="D3483" s="5">
        <v>44945</v>
      </c>
    </row>
    <row r="3484" spans="2:4">
      <c r="B3484" s="6" t="s">
        <v>370</v>
      </c>
      <c r="C3484" s="6" t="s">
        <v>305</v>
      </c>
      <c r="D3484" s="5">
        <v>44945</v>
      </c>
    </row>
    <row r="3485" spans="2:4">
      <c r="B3485" s="6" t="s">
        <v>240</v>
      </c>
      <c r="C3485" s="6" t="s">
        <v>304</v>
      </c>
      <c r="D3485" s="5">
        <v>44945</v>
      </c>
    </row>
    <row r="3486" spans="2:4">
      <c r="B3486" s="6" t="s">
        <v>70</v>
      </c>
      <c r="C3486" s="6" t="s">
        <v>74</v>
      </c>
      <c r="D3486" s="5">
        <v>44945</v>
      </c>
    </row>
    <row r="3487" spans="2:4">
      <c r="B3487" s="6" t="s">
        <v>373</v>
      </c>
      <c r="C3487" s="6" t="s">
        <v>313</v>
      </c>
      <c r="D3487" s="5">
        <v>44945</v>
      </c>
    </row>
    <row r="3488" spans="2:4">
      <c r="B3488" s="6" t="s">
        <v>77</v>
      </c>
      <c r="C3488" s="6" t="s">
        <v>78</v>
      </c>
      <c r="D3488" s="5">
        <v>44945</v>
      </c>
    </row>
    <row r="3489" spans="2:4">
      <c r="B3489" s="6" t="s">
        <v>72</v>
      </c>
      <c r="C3489" s="6" t="s">
        <v>71</v>
      </c>
      <c r="D3489" s="5">
        <v>44945</v>
      </c>
    </row>
    <row r="3490" spans="2:4">
      <c r="B3490" s="6" t="s">
        <v>376</v>
      </c>
      <c r="C3490" s="6" t="s">
        <v>274</v>
      </c>
      <c r="D3490" s="5">
        <v>44945</v>
      </c>
    </row>
    <row r="3491" spans="2:4">
      <c r="B3491" s="6" t="s">
        <v>378</v>
      </c>
      <c r="C3491" s="6" t="s">
        <v>375</v>
      </c>
      <c r="D3491" s="5">
        <v>44945</v>
      </c>
    </row>
    <row r="3492" spans="2:4">
      <c r="B3492" s="6" t="s">
        <v>161</v>
      </c>
      <c r="C3492" s="6" t="s">
        <v>166</v>
      </c>
      <c r="D3492" s="5">
        <v>44945</v>
      </c>
    </row>
    <row r="3493" spans="2:4">
      <c r="B3493" s="6" t="s">
        <v>309</v>
      </c>
      <c r="C3493" s="6" t="s">
        <v>329</v>
      </c>
      <c r="D3493" s="5">
        <v>44945</v>
      </c>
    </row>
    <row r="3494" spans="2:4">
      <c r="B3494" s="6" t="s">
        <v>603</v>
      </c>
      <c r="C3494" s="6" t="s">
        <v>615</v>
      </c>
      <c r="D3494" s="5">
        <v>44945</v>
      </c>
    </row>
    <row r="3495" spans="2:4">
      <c r="B3495" s="6" t="s">
        <v>141</v>
      </c>
      <c r="C3495" s="6" t="s">
        <v>154</v>
      </c>
      <c r="D3495" s="5">
        <v>44945</v>
      </c>
    </row>
    <row r="3496" spans="2:4">
      <c r="B3496" s="6" t="s">
        <v>206</v>
      </c>
      <c r="C3496" s="6" t="s">
        <v>402</v>
      </c>
      <c r="D3496" s="5">
        <v>44945</v>
      </c>
    </row>
    <row r="3497" spans="2:4">
      <c r="B3497" s="6" t="s">
        <v>153</v>
      </c>
      <c r="C3497" s="6" t="s">
        <v>389</v>
      </c>
      <c r="D3497" s="5">
        <v>44945</v>
      </c>
    </row>
    <row r="3498" spans="2:4">
      <c r="B3498" s="6" t="s">
        <v>424</v>
      </c>
      <c r="C3498" s="6" t="s">
        <v>388</v>
      </c>
      <c r="D3498" s="5">
        <v>44945</v>
      </c>
    </row>
    <row r="3499" spans="2:4">
      <c r="B3499" s="6" t="s">
        <v>423</v>
      </c>
      <c r="C3499" s="6" t="s">
        <v>599</v>
      </c>
      <c r="D3499" s="5">
        <v>44945</v>
      </c>
    </row>
    <row r="3500" spans="2:4">
      <c r="B3500" s="6" t="s">
        <v>207</v>
      </c>
      <c r="C3500" s="6" t="s">
        <v>236</v>
      </c>
      <c r="D3500" s="5">
        <v>44945</v>
      </c>
    </row>
    <row r="3501" spans="2:4">
      <c r="B3501" s="6" t="s">
        <v>167</v>
      </c>
      <c r="C3501" s="6" t="s">
        <v>428</v>
      </c>
      <c r="D3501" s="5">
        <v>44945</v>
      </c>
    </row>
    <row r="3502" spans="2:4">
      <c r="B3502" s="6" t="s">
        <v>420</v>
      </c>
      <c r="C3502" s="6" t="s">
        <v>621</v>
      </c>
      <c r="D3502" s="5">
        <v>44945</v>
      </c>
    </row>
    <row r="3503" spans="2:4">
      <c r="B3503" s="6" t="s">
        <v>73</v>
      </c>
      <c r="C3503" s="6" t="s">
        <v>75</v>
      </c>
      <c r="D3503" s="5">
        <v>44945</v>
      </c>
    </row>
    <row r="3504" spans="2:4">
      <c r="B3504" s="6" t="s">
        <v>93</v>
      </c>
      <c r="C3504" s="6" t="s">
        <v>76</v>
      </c>
      <c r="D3504" s="5">
        <v>44945</v>
      </c>
    </row>
    <row r="3505" spans="2:4">
      <c r="B3505" s="6" t="s">
        <v>404</v>
      </c>
      <c r="C3505" s="6" t="s">
        <v>427</v>
      </c>
      <c r="D3505" s="5">
        <v>44945</v>
      </c>
    </row>
    <row r="3506" spans="2:4">
      <c r="B3506" s="6" t="s">
        <v>165</v>
      </c>
      <c r="C3506" s="6" t="s">
        <v>398</v>
      </c>
      <c r="D3506" s="5">
        <v>44945</v>
      </c>
    </row>
    <row r="3507" spans="2:4">
      <c r="B3507" s="6" t="s">
        <v>160</v>
      </c>
      <c r="C3507" s="6" t="s">
        <v>157</v>
      </c>
      <c r="D3507" s="5">
        <v>44945</v>
      </c>
    </row>
    <row r="3508" spans="2:4">
      <c r="B3508" s="6" t="s">
        <v>180</v>
      </c>
      <c r="C3508" s="6" t="s">
        <v>109</v>
      </c>
      <c r="D3508" s="5">
        <v>44946</v>
      </c>
    </row>
    <row r="3509" spans="2:4">
      <c r="B3509" s="6" t="s">
        <v>302</v>
      </c>
      <c r="C3509" s="6" t="s">
        <v>35</v>
      </c>
      <c r="D3509" s="5">
        <v>44946</v>
      </c>
    </row>
    <row r="3510" spans="2:4">
      <c r="B3510" s="6" t="s">
        <v>130</v>
      </c>
      <c r="C3510" s="6" t="s">
        <v>233</v>
      </c>
      <c r="D3510" s="5">
        <v>44946</v>
      </c>
    </row>
    <row r="3511" spans="2:4">
      <c r="B3511" s="6" t="s">
        <v>117</v>
      </c>
      <c r="C3511" s="6" t="s">
        <v>204</v>
      </c>
      <c r="D3511" s="5">
        <v>44946</v>
      </c>
    </row>
    <row r="3512" spans="2:4">
      <c r="B3512" s="6" t="s">
        <v>361</v>
      </c>
      <c r="C3512" s="6" t="s">
        <v>244</v>
      </c>
      <c r="D3512" s="5">
        <v>44946</v>
      </c>
    </row>
    <row r="3513" spans="2:4">
      <c r="B3513" s="6" t="s">
        <v>230</v>
      </c>
      <c r="C3513" s="6" t="s">
        <v>285</v>
      </c>
      <c r="D3513" s="5">
        <v>44946</v>
      </c>
    </row>
    <row r="3514" spans="2:4">
      <c r="B3514" s="6" t="s">
        <v>112</v>
      </c>
      <c r="C3514" s="6" t="s">
        <v>211</v>
      </c>
      <c r="D3514" s="5">
        <v>44946</v>
      </c>
    </row>
    <row r="3515" spans="2:4">
      <c r="B3515" s="6" t="s">
        <v>200</v>
      </c>
      <c r="C3515" s="6" t="s">
        <v>121</v>
      </c>
      <c r="D3515" s="5">
        <v>44946</v>
      </c>
    </row>
    <row r="3516" spans="2:4">
      <c r="B3516" s="6" t="s">
        <v>338</v>
      </c>
      <c r="C3516" s="6" t="s">
        <v>587</v>
      </c>
      <c r="D3516" s="5">
        <v>44946</v>
      </c>
    </row>
    <row r="3517" spans="2:4">
      <c r="B3517" s="6" t="s">
        <v>405</v>
      </c>
      <c r="C3517" s="6" t="s">
        <v>590</v>
      </c>
      <c r="D3517" s="5">
        <v>44946</v>
      </c>
    </row>
    <row r="3518" spans="2:4">
      <c r="B3518" s="6" t="s">
        <v>98</v>
      </c>
      <c r="C3518" s="6" t="s">
        <v>246</v>
      </c>
      <c r="D3518" s="5">
        <v>44946</v>
      </c>
    </row>
    <row r="3519" spans="2:4">
      <c r="B3519" s="6" t="s">
        <v>410</v>
      </c>
      <c r="C3519" s="6" t="s">
        <v>336</v>
      </c>
      <c r="D3519" s="5">
        <v>44946</v>
      </c>
    </row>
    <row r="3520" spans="2:4">
      <c r="B3520" s="6" t="s">
        <v>203</v>
      </c>
      <c r="C3520" s="6" t="s">
        <v>140</v>
      </c>
      <c r="D3520" s="5">
        <v>44946</v>
      </c>
    </row>
    <row r="3521" spans="2:4">
      <c r="B3521" s="6" t="s">
        <v>189</v>
      </c>
      <c r="C3521" s="6" t="s">
        <v>162</v>
      </c>
      <c r="D3521" s="5">
        <v>44946</v>
      </c>
    </row>
    <row r="3522" spans="2:4">
      <c r="B3522" s="6" t="s">
        <v>156</v>
      </c>
      <c r="C3522" s="6" t="s">
        <v>170</v>
      </c>
      <c r="D3522" s="5">
        <v>44947</v>
      </c>
    </row>
    <row r="3523" spans="2:4">
      <c r="B3523" s="6" t="s">
        <v>36</v>
      </c>
      <c r="C3523" s="6" t="s">
        <v>37</v>
      </c>
      <c r="D3523" s="5">
        <v>44947</v>
      </c>
    </row>
    <row r="3524" spans="2:4">
      <c r="B3524" s="6" t="s">
        <v>57</v>
      </c>
      <c r="C3524" s="6" t="s">
        <v>61</v>
      </c>
      <c r="D3524" s="5">
        <v>44947</v>
      </c>
    </row>
    <row r="3525" spans="2:4">
      <c r="B3525" s="6" t="s">
        <v>44</v>
      </c>
      <c r="C3525" s="6" t="s">
        <v>48</v>
      </c>
      <c r="D3525" s="5">
        <v>44947</v>
      </c>
    </row>
    <row r="3526" spans="2:4">
      <c r="B3526" s="6" t="s">
        <v>84</v>
      </c>
      <c r="C3526" s="6" t="s">
        <v>88</v>
      </c>
      <c r="D3526" s="5">
        <v>44947</v>
      </c>
    </row>
    <row r="3527" spans="2:4">
      <c r="B3527" s="6" t="s">
        <v>231</v>
      </c>
      <c r="C3527" s="6" t="s">
        <v>411</v>
      </c>
      <c r="D3527" s="5">
        <v>44947</v>
      </c>
    </row>
    <row r="3528" spans="2:4">
      <c r="B3528" s="6" t="s">
        <v>50</v>
      </c>
      <c r="C3528" s="6" t="s">
        <v>47</v>
      </c>
      <c r="D3528" s="5">
        <v>44947</v>
      </c>
    </row>
    <row r="3529" spans="2:4">
      <c r="B3529" s="6" t="s">
        <v>39</v>
      </c>
      <c r="C3529" s="6" t="s">
        <v>41</v>
      </c>
      <c r="D3529" s="5">
        <v>44947</v>
      </c>
    </row>
    <row r="3530" spans="2:4">
      <c r="B3530" s="6" t="s">
        <v>68</v>
      </c>
      <c r="C3530" s="6" t="s">
        <v>65</v>
      </c>
      <c r="D3530" s="5">
        <v>44947</v>
      </c>
    </row>
    <row r="3531" spans="2:4">
      <c r="B3531" s="6" t="s">
        <v>124</v>
      </c>
      <c r="C3531" s="6" t="s">
        <v>281</v>
      </c>
      <c r="D3531" s="5">
        <v>44947</v>
      </c>
    </row>
    <row r="3532" spans="2:4">
      <c r="B3532" s="6" t="s">
        <v>172</v>
      </c>
      <c r="C3532" s="6" t="s">
        <v>422</v>
      </c>
      <c r="D3532" s="5">
        <v>44947</v>
      </c>
    </row>
    <row r="3533" spans="2:4">
      <c r="B3533" s="6" t="s">
        <v>272</v>
      </c>
      <c r="C3533" s="6" t="s">
        <v>432</v>
      </c>
      <c r="D3533" s="5">
        <v>44947</v>
      </c>
    </row>
    <row r="3534" spans="2:4">
      <c r="B3534" s="6" t="s">
        <v>337</v>
      </c>
      <c r="C3534" s="6" t="s">
        <v>214</v>
      </c>
      <c r="D3534" s="5">
        <v>44947</v>
      </c>
    </row>
    <row r="3535" spans="2:4">
      <c r="B3535" s="6" t="s">
        <v>26</v>
      </c>
      <c r="C3535" s="6" t="s">
        <v>34</v>
      </c>
      <c r="D3535" s="5">
        <v>44947</v>
      </c>
    </row>
    <row r="3536" spans="2:4">
      <c r="B3536" s="6" t="s">
        <v>278</v>
      </c>
      <c r="C3536" s="6" t="s">
        <v>580</v>
      </c>
      <c r="D3536" s="5">
        <v>44947</v>
      </c>
    </row>
    <row r="3537" spans="2:4">
      <c r="B3537" s="6" t="s">
        <v>301</v>
      </c>
      <c r="C3537" s="6" t="s">
        <v>253</v>
      </c>
      <c r="D3537" s="5">
        <v>44947</v>
      </c>
    </row>
    <row r="3538" spans="2:4">
      <c r="B3538" s="6" t="s">
        <v>89</v>
      </c>
      <c r="C3538" s="6" t="s">
        <v>185</v>
      </c>
      <c r="D3538" s="5">
        <v>44947</v>
      </c>
    </row>
    <row r="3539" spans="2:4">
      <c r="B3539" s="6" t="s">
        <v>334</v>
      </c>
      <c r="C3539" s="6" t="s">
        <v>300</v>
      </c>
      <c r="D3539" s="5">
        <v>44947</v>
      </c>
    </row>
    <row r="3540" spans="2:4">
      <c r="B3540" s="6" t="s">
        <v>261</v>
      </c>
      <c r="C3540" s="6" t="s">
        <v>282</v>
      </c>
      <c r="D3540" s="5">
        <v>44947</v>
      </c>
    </row>
    <row r="3541" spans="2:4">
      <c r="B3541" s="6" t="s">
        <v>99</v>
      </c>
      <c r="C3541" s="6" t="s">
        <v>327</v>
      </c>
      <c r="D3541" s="5">
        <v>44947</v>
      </c>
    </row>
    <row r="3542" spans="2:4">
      <c r="B3542" s="6" t="s">
        <v>142</v>
      </c>
      <c r="C3542" s="6" t="s">
        <v>353</v>
      </c>
      <c r="D3542" s="5">
        <v>44947</v>
      </c>
    </row>
    <row r="3543" spans="2:4">
      <c r="B3543" s="6" t="s">
        <v>148</v>
      </c>
      <c r="C3543" s="6" t="s">
        <v>220</v>
      </c>
      <c r="D3543" s="5">
        <v>44947</v>
      </c>
    </row>
    <row r="3544" spans="2:4">
      <c r="B3544" s="6" t="s">
        <v>80</v>
      </c>
      <c r="C3544" s="6" t="s">
        <v>91</v>
      </c>
      <c r="D3544" s="5">
        <v>44947</v>
      </c>
    </row>
    <row r="3545" spans="2:4">
      <c r="B3545" s="6" t="s">
        <v>70</v>
      </c>
      <c r="C3545" s="6" t="s">
        <v>75</v>
      </c>
      <c r="D3545" s="5">
        <v>44947</v>
      </c>
    </row>
    <row r="3546" spans="2:4">
      <c r="B3546" s="6" t="s">
        <v>53</v>
      </c>
      <c r="C3546" s="6" t="s">
        <v>188</v>
      </c>
      <c r="D3546" s="5">
        <v>44947</v>
      </c>
    </row>
    <row r="3547" spans="2:4">
      <c r="B3547" s="6" t="s">
        <v>33</v>
      </c>
      <c r="C3547" s="6" t="s">
        <v>27</v>
      </c>
      <c r="D3547" s="5">
        <v>44947</v>
      </c>
    </row>
    <row r="3548" spans="2:4">
      <c r="B3548" s="6" t="s">
        <v>322</v>
      </c>
      <c r="C3548" s="6" t="s">
        <v>31</v>
      </c>
      <c r="D3548" s="5">
        <v>44947</v>
      </c>
    </row>
    <row r="3549" spans="2:4">
      <c r="B3549" s="6" t="s">
        <v>113</v>
      </c>
      <c r="C3549" s="6" t="s">
        <v>131</v>
      </c>
      <c r="D3549" s="5">
        <v>44947</v>
      </c>
    </row>
    <row r="3550" spans="2:4">
      <c r="B3550" s="6" t="s">
        <v>176</v>
      </c>
      <c r="C3550" s="6" t="s">
        <v>360</v>
      </c>
      <c r="D3550" s="5">
        <v>44947</v>
      </c>
    </row>
    <row r="3551" spans="2:4">
      <c r="B3551" s="6" t="s">
        <v>46</v>
      </c>
      <c r="C3551" s="6" t="s">
        <v>54</v>
      </c>
      <c r="D3551" s="5">
        <v>44947</v>
      </c>
    </row>
    <row r="3552" spans="2:4">
      <c r="B3552" s="6" t="s">
        <v>108</v>
      </c>
      <c r="C3552" s="6" t="s">
        <v>125</v>
      </c>
      <c r="D3552" s="5">
        <v>44947</v>
      </c>
    </row>
    <row r="3553" spans="2:4">
      <c r="B3553" s="6" t="s">
        <v>97</v>
      </c>
      <c r="C3553" s="6" t="s">
        <v>351</v>
      </c>
      <c r="D3553" s="5">
        <v>44947</v>
      </c>
    </row>
    <row r="3554" spans="2:4">
      <c r="B3554" s="6" t="s">
        <v>40</v>
      </c>
      <c r="C3554" s="6" t="s">
        <v>155</v>
      </c>
      <c r="D3554" s="5">
        <v>44947</v>
      </c>
    </row>
    <row r="3555" spans="2:4">
      <c r="B3555" s="6" t="s">
        <v>284</v>
      </c>
      <c r="C3555" s="6" t="s">
        <v>349</v>
      </c>
      <c r="D3555" s="5">
        <v>44947</v>
      </c>
    </row>
    <row r="3556" spans="2:4">
      <c r="B3556" s="6" t="s">
        <v>297</v>
      </c>
      <c r="C3556" s="6" t="s">
        <v>273</v>
      </c>
      <c r="D3556" s="5">
        <v>44947</v>
      </c>
    </row>
    <row r="3557" spans="2:4">
      <c r="B3557" s="6" t="s">
        <v>192</v>
      </c>
      <c r="C3557" s="6" t="s">
        <v>395</v>
      </c>
      <c r="D3557" s="5">
        <v>44947</v>
      </c>
    </row>
    <row r="3558" spans="2:4">
      <c r="B3558" s="6" t="s">
        <v>202</v>
      </c>
      <c r="C3558" s="6" t="s">
        <v>110</v>
      </c>
      <c r="D3558" s="5">
        <v>44947</v>
      </c>
    </row>
    <row r="3559" spans="2:4">
      <c r="B3559" s="6" t="s">
        <v>191</v>
      </c>
      <c r="C3559" s="6" t="s">
        <v>425</v>
      </c>
      <c r="D3559" s="5">
        <v>44947</v>
      </c>
    </row>
    <row r="3560" spans="2:4">
      <c r="B3560" s="6" t="s">
        <v>127</v>
      </c>
      <c r="C3560" s="6" t="s">
        <v>362</v>
      </c>
      <c r="D3560" s="5">
        <v>44947</v>
      </c>
    </row>
    <row r="3561" spans="2:4">
      <c r="B3561" s="6" t="s">
        <v>294</v>
      </c>
      <c r="C3561" s="6" t="s">
        <v>306</v>
      </c>
      <c r="D3561" s="5">
        <v>44947</v>
      </c>
    </row>
    <row r="3562" spans="2:4">
      <c r="B3562" s="6" t="s">
        <v>196</v>
      </c>
      <c r="C3562" s="6" t="s">
        <v>184</v>
      </c>
      <c r="D3562" s="5">
        <v>44947</v>
      </c>
    </row>
    <row r="3563" spans="2:4">
      <c r="B3563" s="6" t="s">
        <v>359</v>
      </c>
      <c r="C3563" s="6" t="s">
        <v>331</v>
      </c>
      <c r="D3563" s="5">
        <v>44947</v>
      </c>
    </row>
    <row r="3564" spans="2:4">
      <c r="B3564" s="6" t="s">
        <v>208</v>
      </c>
      <c r="C3564" s="6" t="s">
        <v>357</v>
      </c>
      <c r="D3564" s="5">
        <v>44947</v>
      </c>
    </row>
    <row r="3565" spans="2:4">
      <c r="B3565" s="6" t="s">
        <v>413</v>
      </c>
      <c r="C3565" s="6" t="s">
        <v>268</v>
      </c>
      <c r="D3565" s="5">
        <v>44947</v>
      </c>
    </row>
    <row r="3566" spans="2:4">
      <c r="B3566" s="6" t="s">
        <v>146</v>
      </c>
      <c r="C3566" s="6" t="s">
        <v>118</v>
      </c>
      <c r="D3566" s="5">
        <v>44947</v>
      </c>
    </row>
    <row r="3567" spans="2:4">
      <c r="B3567" s="6" t="s">
        <v>354</v>
      </c>
      <c r="C3567" s="6" t="s">
        <v>201</v>
      </c>
      <c r="D3567" s="5">
        <v>44947</v>
      </c>
    </row>
    <row r="3568" spans="2:4">
      <c r="B3568" s="6" t="s">
        <v>66</v>
      </c>
      <c r="C3568" s="6" t="s">
        <v>67</v>
      </c>
      <c r="D3568" s="5">
        <v>44947</v>
      </c>
    </row>
    <row r="3569" spans="2:4">
      <c r="B3569" s="6" t="s">
        <v>133</v>
      </c>
      <c r="C3569" s="6" t="s">
        <v>210</v>
      </c>
      <c r="D3569" s="5">
        <v>44947</v>
      </c>
    </row>
    <row r="3570" spans="2:4">
      <c r="B3570" s="6" t="s">
        <v>414</v>
      </c>
      <c r="C3570" s="6" t="s">
        <v>105</v>
      </c>
      <c r="D3570" s="5">
        <v>44947</v>
      </c>
    </row>
    <row r="3571" spans="2:4">
      <c r="B3571" s="6" t="s">
        <v>115</v>
      </c>
      <c r="C3571" s="6" t="s">
        <v>179</v>
      </c>
      <c r="D3571" s="5">
        <v>44947</v>
      </c>
    </row>
    <row r="3572" spans="2:4">
      <c r="B3572" s="6" t="s">
        <v>49</v>
      </c>
      <c r="C3572" s="6" t="s">
        <v>45</v>
      </c>
      <c r="D3572" s="5">
        <v>44947</v>
      </c>
    </row>
    <row r="3573" spans="2:4">
      <c r="B3573" s="6" t="s">
        <v>367</v>
      </c>
      <c r="C3573" s="6" t="s">
        <v>193</v>
      </c>
      <c r="D3573" s="5">
        <v>44947</v>
      </c>
    </row>
    <row r="3574" spans="2:4">
      <c r="B3574" s="6" t="s">
        <v>316</v>
      </c>
      <c r="C3574" s="6" t="s">
        <v>409</v>
      </c>
      <c r="D3574" s="5">
        <v>44947</v>
      </c>
    </row>
    <row r="3575" spans="2:4">
      <c r="B3575" s="6" t="s">
        <v>289</v>
      </c>
      <c r="C3575" s="6" t="s">
        <v>259</v>
      </c>
      <c r="D3575" s="5">
        <v>44947</v>
      </c>
    </row>
    <row r="3576" spans="2:4">
      <c r="B3576" s="6" t="s">
        <v>330</v>
      </c>
      <c r="C3576" s="6" t="s">
        <v>348</v>
      </c>
      <c r="D3576" s="5">
        <v>44947</v>
      </c>
    </row>
    <row r="3577" spans="2:4">
      <c r="B3577" s="6" t="s">
        <v>385</v>
      </c>
      <c r="C3577" s="6" t="s">
        <v>151</v>
      </c>
      <c r="D3577" s="5">
        <v>44947</v>
      </c>
    </row>
    <row r="3578" spans="2:4">
      <c r="B3578" s="6" t="s">
        <v>90</v>
      </c>
      <c r="C3578" s="6" t="s">
        <v>83</v>
      </c>
      <c r="D3578" s="5">
        <v>44947</v>
      </c>
    </row>
    <row r="3579" spans="2:4">
      <c r="B3579" s="6" t="s">
        <v>247</v>
      </c>
      <c r="C3579" s="6" t="s">
        <v>400</v>
      </c>
      <c r="D3579" s="5">
        <v>44947</v>
      </c>
    </row>
    <row r="3580" spans="2:4">
      <c r="B3580" s="6" t="s">
        <v>29</v>
      </c>
      <c r="C3580" s="6" t="s">
        <v>28</v>
      </c>
      <c r="D3580" s="5">
        <v>44947</v>
      </c>
    </row>
    <row r="3581" spans="2:4">
      <c r="B3581" s="6" t="s">
        <v>81</v>
      </c>
      <c r="C3581" s="6" t="s">
        <v>86</v>
      </c>
      <c r="D3581" s="5">
        <v>44947</v>
      </c>
    </row>
    <row r="3582" spans="2:4">
      <c r="B3582" s="6" t="s">
        <v>96</v>
      </c>
      <c r="C3582" s="6" t="s">
        <v>238</v>
      </c>
      <c r="D3582" s="5">
        <v>44947</v>
      </c>
    </row>
    <row r="3583" spans="2:4">
      <c r="B3583" s="6" t="s">
        <v>276</v>
      </c>
      <c r="C3583" s="6" t="s">
        <v>335</v>
      </c>
      <c r="D3583" s="5">
        <v>44947</v>
      </c>
    </row>
    <row r="3584" spans="2:4">
      <c r="B3584" s="6" t="s">
        <v>277</v>
      </c>
      <c r="C3584" s="6" t="s">
        <v>264</v>
      </c>
      <c r="D3584" s="5">
        <v>44947</v>
      </c>
    </row>
    <row r="3585" spans="2:4">
      <c r="B3585" s="6" t="s">
        <v>320</v>
      </c>
      <c r="C3585" s="6" t="s">
        <v>241</v>
      </c>
      <c r="D3585" s="5">
        <v>44947</v>
      </c>
    </row>
    <row r="3586" spans="2:4">
      <c r="B3586" s="6" t="s">
        <v>213</v>
      </c>
      <c r="C3586" s="6" t="s">
        <v>363</v>
      </c>
      <c r="D3586" s="5">
        <v>44947</v>
      </c>
    </row>
    <row r="3587" spans="2:4">
      <c r="B3587" s="6" t="s">
        <v>107</v>
      </c>
      <c r="C3587" s="6" t="s">
        <v>138</v>
      </c>
      <c r="D3587" s="5">
        <v>44947</v>
      </c>
    </row>
    <row r="3588" spans="2:4">
      <c r="B3588" s="6" t="s">
        <v>368</v>
      </c>
      <c r="C3588" s="6" t="s">
        <v>274</v>
      </c>
      <c r="D3588" s="5">
        <v>44947</v>
      </c>
    </row>
    <row r="3589" spans="2:4">
      <c r="B3589" s="6" t="s">
        <v>195</v>
      </c>
      <c r="C3589" s="6" t="s">
        <v>135</v>
      </c>
      <c r="D3589" s="5">
        <v>44947</v>
      </c>
    </row>
    <row r="3590" spans="2:4">
      <c r="B3590" s="6" t="s">
        <v>116</v>
      </c>
      <c r="C3590" s="6" t="s">
        <v>310</v>
      </c>
      <c r="D3590" s="5">
        <v>44947</v>
      </c>
    </row>
    <row r="3591" spans="2:4">
      <c r="B3591" s="6" t="s">
        <v>350</v>
      </c>
      <c r="C3591" s="6" t="s">
        <v>252</v>
      </c>
      <c r="D3591" s="5">
        <v>44947</v>
      </c>
    </row>
    <row r="3592" spans="2:4">
      <c r="B3592" s="6" t="s">
        <v>152</v>
      </c>
      <c r="C3592" s="6" t="s">
        <v>386</v>
      </c>
      <c r="D3592" s="5">
        <v>44947</v>
      </c>
    </row>
    <row r="3593" spans="2:4">
      <c r="B3593" s="6" t="s">
        <v>102</v>
      </c>
      <c r="C3593" s="6" t="s">
        <v>287</v>
      </c>
      <c r="D3593" s="5">
        <v>44947</v>
      </c>
    </row>
    <row r="3594" spans="2:4">
      <c r="B3594" s="6" t="s">
        <v>267</v>
      </c>
      <c r="C3594" s="6" t="s">
        <v>171</v>
      </c>
      <c r="D3594" s="5">
        <v>44947</v>
      </c>
    </row>
    <row r="3595" spans="2:4">
      <c r="B3595" s="6" t="s">
        <v>129</v>
      </c>
      <c r="C3595" s="6" t="s">
        <v>123</v>
      </c>
      <c r="D3595" s="5">
        <v>44947</v>
      </c>
    </row>
    <row r="3596" spans="2:4">
      <c r="B3596" s="6" t="s">
        <v>403</v>
      </c>
      <c r="C3596" s="6" t="s">
        <v>393</v>
      </c>
      <c r="D3596" s="5">
        <v>44947</v>
      </c>
    </row>
    <row r="3597" spans="2:4">
      <c r="B3597" s="6" t="s">
        <v>120</v>
      </c>
      <c r="C3597" s="6" t="s">
        <v>610</v>
      </c>
      <c r="D3597" s="5">
        <v>44947</v>
      </c>
    </row>
    <row r="3598" spans="2:4">
      <c r="B3598" s="6" t="s">
        <v>128</v>
      </c>
      <c r="C3598" s="6" t="s">
        <v>248</v>
      </c>
      <c r="D3598" s="5">
        <v>44947</v>
      </c>
    </row>
    <row r="3599" spans="2:4">
      <c r="B3599" s="6" t="s">
        <v>147</v>
      </c>
      <c r="C3599" s="6" t="s">
        <v>255</v>
      </c>
      <c r="D3599" s="5">
        <v>44947</v>
      </c>
    </row>
    <row r="3600" spans="2:4">
      <c r="B3600" s="6" t="s">
        <v>364</v>
      </c>
      <c r="C3600" s="6" t="s">
        <v>232</v>
      </c>
      <c r="D3600" s="5">
        <v>44947</v>
      </c>
    </row>
    <row r="3601" spans="2:4">
      <c r="B3601" s="6" t="s">
        <v>183</v>
      </c>
      <c r="C3601" s="6" t="s">
        <v>588</v>
      </c>
      <c r="D3601" s="5">
        <v>44947</v>
      </c>
    </row>
    <row r="3602" spans="2:4">
      <c r="B3602" s="6" t="s">
        <v>342</v>
      </c>
      <c r="C3602" s="6" t="s">
        <v>319</v>
      </c>
      <c r="D3602" s="5">
        <v>44947</v>
      </c>
    </row>
    <row r="3603" spans="2:4">
      <c r="B3603" s="6" t="s">
        <v>370</v>
      </c>
      <c r="C3603" s="6" t="s">
        <v>615</v>
      </c>
      <c r="D3603" s="5">
        <v>44947</v>
      </c>
    </row>
    <row r="3604" spans="2:4">
      <c r="B3604" s="6" t="s">
        <v>250</v>
      </c>
      <c r="C3604" s="6" t="s">
        <v>329</v>
      </c>
      <c r="D3604" s="5">
        <v>44947</v>
      </c>
    </row>
    <row r="3605" spans="2:4">
      <c r="B3605" s="6" t="s">
        <v>240</v>
      </c>
      <c r="C3605" s="6" t="s">
        <v>309</v>
      </c>
      <c r="D3605" s="5">
        <v>44947</v>
      </c>
    </row>
    <row r="3606" spans="2:4">
      <c r="B3606" s="6" t="s">
        <v>603</v>
      </c>
      <c r="C3606" s="6" t="s">
        <v>305</v>
      </c>
      <c r="D3606" s="5">
        <v>44947</v>
      </c>
    </row>
    <row r="3607" spans="2:4">
      <c r="B3607" s="6" t="s">
        <v>251</v>
      </c>
      <c r="C3607" s="6" t="s">
        <v>149</v>
      </c>
      <c r="D3607" s="5">
        <v>44947</v>
      </c>
    </row>
    <row r="3608" spans="2:4">
      <c r="B3608" s="6" t="s">
        <v>373</v>
      </c>
      <c r="C3608" s="6" t="s">
        <v>242</v>
      </c>
      <c r="D3608" s="5">
        <v>44947</v>
      </c>
    </row>
    <row r="3609" spans="2:4">
      <c r="B3609" s="6" t="s">
        <v>134</v>
      </c>
      <c r="C3609" s="6" t="s">
        <v>343</v>
      </c>
      <c r="D3609" s="5">
        <v>44947</v>
      </c>
    </row>
    <row r="3610" spans="2:4">
      <c r="B3610" s="6" t="s">
        <v>288</v>
      </c>
      <c r="C3610" s="6" t="s">
        <v>209</v>
      </c>
      <c r="D3610" s="5">
        <v>44947</v>
      </c>
    </row>
    <row r="3611" spans="2:4">
      <c r="B3611" s="6" t="s">
        <v>194</v>
      </c>
      <c r="C3611" s="6" t="s">
        <v>333</v>
      </c>
      <c r="D3611" s="5">
        <v>44947</v>
      </c>
    </row>
    <row r="3612" spans="2:4">
      <c r="B3612" s="6" t="s">
        <v>150</v>
      </c>
      <c r="C3612" s="6" t="s">
        <v>365</v>
      </c>
      <c r="D3612" s="5">
        <v>44947</v>
      </c>
    </row>
    <row r="3613" spans="2:4">
      <c r="B3613" s="6" t="s">
        <v>321</v>
      </c>
      <c r="C3613" s="6" t="s">
        <v>304</v>
      </c>
      <c r="D3613" s="5">
        <v>44947</v>
      </c>
    </row>
    <row r="3614" spans="2:4">
      <c r="B3614" s="6" t="s">
        <v>415</v>
      </c>
      <c r="C3614" s="6" t="s">
        <v>344</v>
      </c>
      <c r="D3614" s="5">
        <v>44947</v>
      </c>
    </row>
    <row r="3615" spans="2:4">
      <c r="B3615" s="6" t="s">
        <v>270</v>
      </c>
      <c r="C3615" s="6" t="s">
        <v>298</v>
      </c>
      <c r="D3615" s="5">
        <v>44947</v>
      </c>
    </row>
    <row r="3616" spans="2:4">
      <c r="B3616" s="6" t="s">
        <v>32</v>
      </c>
      <c r="C3616" s="6" t="s">
        <v>30</v>
      </c>
      <c r="D3616" s="5">
        <v>44947</v>
      </c>
    </row>
    <row r="3617" spans="2:4">
      <c r="B3617" s="6" t="s">
        <v>87</v>
      </c>
      <c r="C3617" s="6" t="s">
        <v>82</v>
      </c>
      <c r="D3617" s="5">
        <v>44947</v>
      </c>
    </row>
    <row r="3618" spans="2:4">
      <c r="B3618" s="6" t="s">
        <v>280</v>
      </c>
      <c r="C3618" s="6" t="s">
        <v>318</v>
      </c>
      <c r="D3618" s="5">
        <v>44947</v>
      </c>
    </row>
    <row r="3619" spans="2:4">
      <c r="B3619" s="6" t="s">
        <v>312</v>
      </c>
      <c r="C3619" s="6" t="s">
        <v>325</v>
      </c>
      <c r="D3619" s="5">
        <v>44947</v>
      </c>
    </row>
    <row r="3620" spans="2:4">
      <c r="B3620" s="6" t="s">
        <v>326</v>
      </c>
      <c r="C3620" s="6" t="s">
        <v>139</v>
      </c>
      <c r="D3620" s="5">
        <v>44947</v>
      </c>
    </row>
    <row r="3621" spans="2:4">
      <c r="B3621" s="6" t="s">
        <v>119</v>
      </c>
      <c r="C3621" s="6" t="s">
        <v>186</v>
      </c>
      <c r="D3621" s="5">
        <v>44947</v>
      </c>
    </row>
    <row r="3622" spans="2:4">
      <c r="B3622" s="6" t="s">
        <v>51</v>
      </c>
      <c r="C3622" s="6" t="s">
        <v>52</v>
      </c>
      <c r="D3622" s="5">
        <v>44947</v>
      </c>
    </row>
    <row r="3623" spans="2:4">
      <c r="B3623" s="6" t="s">
        <v>100</v>
      </c>
      <c r="C3623" s="6" t="s">
        <v>419</v>
      </c>
      <c r="D3623" s="5">
        <v>44947</v>
      </c>
    </row>
    <row r="3624" spans="2:4">
      <c r="B3624" s="6" t="s">
        <v>394</v>
      </c>
      <c r="C3624" s="6" t="s">
        <v>163</v>
      </c>
      <c r="D3624" s="5">
        <v>44947</v>
      </c>
    </row>
    <row r="3625" spans="2:4">
      <c r="B3625" s="6" t="s">
        <v>168</v>
      </c>
      <c r="C3625" s="6" t="s">
        <v>433</v>
      </c>
      <c r="D3625" s="5">
        <v>44947</v>
      </c>
    </row>
    <row r="3626" spans="2:4">
      <c r="B3626" s="6" t="s">
        <v>424</v>
      </c>
      <c r="C3626" s="6" t="s">
        <v>378</v>
      </c>
      <c r="D3626" s="5">
        <v>44947</v>
      </c>
    </row>
    <row r="3627" spans="2:4">
      <c r="B3627" s="6" t="s">
        <v>161</v>
      </c>
      <c r="C3627" s="6" t="s">
        <v>165</v>
      </c>
      <c r="D3627" s="5">
        <v>44947</v>
      </c>
    </row>
    <row r="3628" spans="2:4">
      <c r="B3628" s="6" t="s">
        <v>256</v>
      </c>
      <c r="C3628" s="6" t="s">
        <v>296</v>
      </c>
      <c r="D3628" s="5">
        <v>44947</v>
      </c>
    </row>
    <row r="3629" spans="2:4">
      <c r="B3629" s="6" t="s">
        <v>141</v>
      </c>
      <c r="C3629" s="6" t="s">
        <v>207</v>
      </c>
      <c r="D3629" s="5">
        <v>44947</v>
      </c>
    </row>
    <row r="3630" spans="2:4">
      <c r="B3630" s="6" t="s">
        <v>314</v>
      </c>
      <c r="C3630" s="6" t="s">
        <v>399</v>
      </c>
      <c r="D3630" s="5">
        <v>44947</v>
      </c>
    </row>
    <row r="3631" spans="2:4">
      <c r="B3631" s="6" t="s">
        <v>114</v>
      </c>
      <c r="C3631" s="6" t="s">
        <v>137</v>
      </c>
      <c r="D3631" s="5">
        <v>44947</v>
      </c>
    </row>
    <row r="3632" spans="2:4">
      <c r="B3632" s="6" t="s">
        <v>303</v>
      </c>
      <c r="C3632" s="6" t="s">
        <v>382</v>
      </c>
      <c r="D3632" s="5">
        <v>44947</v>
      </c>
    </row>
    <row r="3633" spans="2:4">
      <c r="B3633" s="6" t="s">
        <v>313</v>
      </c>
      <c r="C3633" s="6" t="s">
        <v>182</v>
      </c>
      <c r="D3633" s="5">
        <v>44947</v>
      </c>
    </row>
    <row r="3634" spans="2:4">
      <c r="B3634" s="6" t="s">
        <v>94</v>
      </c>
      <c r="C3634" s="6" t="s">
        <v>295</v>
      </c>
      <c r="D3634" s="5">
        <v>44947</v>
      </c>
    </row>
    <row r="3635" spans="2:4">
      <c r="B3635" s="6" t="s">
        <v>345</v>
      </c>
      <c r="C3635" s="6" t="s">
        <v>323</v>
      </c>
      <c r="D3635" s="5">
        <v>44947</v>
      </c>
    </row>
    <row r="3636" spans="2:4">
      <c r="B3636" s="6" t="s">
        <v>104</v>
      </c>
      <c r="C3636" s="6" t="s">
        <v>436</v>
      </c>
      <c r="D3636" s="5">
        <v>44947</v>
      </c>
    </row>
    <row r="3637" spans="2:4">
      <c r="B3637" s="6" t="s">
        <v>136</v>
      </c>
      <c r="C3637" s="6" t="s">
        <v>286</v>
      </c>
      <c r="D3637" s="5">
        <v>44947</v>
      </c>
    </row>
    <row r="3638" spans="2:4">
      <c r="B3638" s="6" t="s">
        <v>324</v>
      </c>
      <c r="C3638" s="6" t="s">
        <v>412</v>
      </c>
      <c r="D3638" s="5">
        <v>44947</v>
      </c>
    </row>
    <row r="3639" spans="2:4">
      <c r="B3639" s="6" t="s">
        <v>358</v>
      </c>
      <c r="C3639" s="6" t="s">
        <v>418</v>
      </c>
      <c r="D3639" s="5">
        <v>44947</v>
      </c>
    </row>
    <row r="3640" spans="2:4">
      <c r="B3640" s="6" t="s">
        <v>266</v>
      </c>
      <c r="C3640" s="6" t="s">
        <v>397</v>
      </c>
      <c r="D3640" s="5">
        <v>44947</v>
      </c>
    </row>
    <row r="3641" spans="2:4">
      <c r="B3641" s="6" t="s">
        <v>292</v>
      </c>
      <c r="C3641" s="6" t="s">
        <v>356</v>
      </c>
      <c r="D3641" s="5">
        <v>44947</v>
      </c>
    </row>
    <row r="3642" spans="2:4">
      <c r="B3642" s="6" t="s">
        <v>308</v>
      </c>
      <c r="C3642" s="6" t="s">
        <v>249</v>
      </c>
      <c r="D3642" s="5">
        <v>44947</v>
      </c>
    </row>
    <row r="3643" spans="2:4">
      <c r="B3643" s="6" t="s">
        <v>95</v>
      </c>
      <c r="C3643" s="6" t="s">
        <v>221</v>
      </c>
      <c r="D3643" s="5">
        <v>44947</v>
      </c>
    </row>
    <row r="3644" spans="2:4">
      <c r="B3644" s="6" t="s">
        <v>77</v>
      </c>
      <c r="C3644" s="6" t="s">
        <v>71</v>
      </c>
      <c r="D3644" s="5">
        <v>44947</v>
      </c>
    </row>
    <row r="3645" spans="2:4">
      <c r="B3645" s="6" t="s">
        <v>584</v>
      </c>
      <c r="C3645" s="6" t="s">
        <v>640</v>
      </c>
      <c r="D3645" s="5">
        <v>44947</v>
      </c>
    </row>
    <row r="3646" spans="2:4">
      <c r="B3646" s="6" t="s">
        <v>381</v>
      </c>
      <c r="C3646" s="6" t="s">
        <v>383</v>
      </c>
      <c r="D3646" s="5">
        <v>44947</v>
      </c>
    </row>
    <row r="3647" spans="2:4">
      <c r="B3647" s="6" t="s">
        <v>398</v>
      </c>
      <c r="C3647" s="6" t="s">
        <v>160</v>
      </c>
      <c r="D3647" s="5">
        <v>44947</v>
      </c>
    </row>
    <row r="3648" spans="2:4">
      <c r="B3648" s="6" t="s">
        <v>404</v>
      </c>
      <c r="C3648" s="6" t="s">
        <v>157</v>
      </c>
      <c r="D3648" s="5">
        <v>44947</v>
      </c>
    </row>
    <row r="3649" spans="2:4">
      <c r="B3649" s="6" t="s">
        <v>154</v>
      </c>
      <c r="C3649" s="6" t="s">
        <v>428</v>
      </c>
      <c r="D3649" s="5">
        <v>44947</v>
      </c>
    </row>
    <row r="3650" spans="2:4">
      <c r="B3650" s="6" t="s">
        <v>153</v>
      </c>
      <c r="C3650" s="6" t="s">
        <v>402</v>
      </c>
      <c r="D3650" s="5">
        <v>44947</v>
      </c>
    </row>
    <row r="3651" spans="2:4">
      <c r="B3651" s="6" t="s">
        <v>426</v>
      </c>
      <c r="C3651" s="6" t="s">
        <v>158</v>
      </c>
      <c r="D3651" s="5">
        <v>44947</v>
      </c>
    </row>
    <row r="3652" spans="2:4">
      <c r="B3652" s="6" t="s">
        <v>173</v>
      </c>
      <c r="C3652" s="6" t="s">
        <v>355</v>
      </c>
      <c r="D3652" s="5">
        <v>44947</v>
      </c>
    </row>
    <row r="3653" spans="2:4">
      <c r="B3653" s="6" t="s">
        <v>332</v>
      </c>
      <c r="C3653" s="6" t="s">
        <v>181</v>
      </c>
      <c r="D3653" s="5">
        <v>44947</v>
      </c>
    </row>
    <row r="3654" spans="2:4">
      <c r="B3654" s="6" t="s">
        <v>85</v>
      </c>
      <c r="C3654" s="6" t="s">
        <v>79</v>
      </c>
      <c r="D3654" s="5">
        <v>44947</v>
      </c>
    </row>
    <row r="3655" spans="2:4">
      <c r="B3655" s="6" t="s">
        <v>376</v>
      </c>
      <c r="C3655" s="6" t="s">
        <v>421</v>
      </c>
      <c r="D3655" s="5">
        <v>44947</v>
      </c>
    </row>
    <row r="3656" spans="2:4">
      <c r="B3656" s="6" t="s">
        <v>607</v>
      </c>
      <c r="C3656" s="6" t="s">
        <v>375</v>
      </c>
      <c r="D3656" s="5">
        <v>44947</v>
      </c>
    </row>
    <row r="3657" spans="2:4">
      <c r="B3657" s="6" t="s">
        <v>206</v>
      </c>
      <c r="C3657" s="6" t="s">
        <v>389</v>
      </c>
      <c r="D3657" s="5">
        <v>44947</v>
      </c>
    </row>
    <row r="3658" spans="2:4">
      <c r="B3658" s="6" t="s">
        <v>190</v>
      </c>
      <c r="C3658" s="6" t="s">
        <v>391</v>
      </c>
      <c r="D3658" s="5">
        <v>44947</v>
      </c>
    </row>
    <row r="3659" spans="2:4">
      <c r="B3659" s="6" t="s">
        <v>427</v>
      </c>
      <c r="C3659" s="6" t="s">
        <v>132</v>
      </c>
      <c r="D3659" s="5">
        <v>44947</v>
      </c>
    </row>
    <row r="3660" spans="2:4">
      <c r="B3660" s="6" t="s">
        <v>198</v>
      </c>
      <c r="C3660" s="6" t="s">
        <v>392</v>
      </c>
      <c r="D3660" s="5">
        <v>44947</v>
      </c>
    </row>
    <row r="3661" spans="2:4">
      <c r="B3661" s="6" t="s">
        <v>73</v>
      </c>
      <c r="C3661" s="6" t="s">
        <v>74</v>
      </c>
      <c r="D3661" s="5">
        <v>44947</v>
      </c>
    </row>
    <row r="3662" spans="2:4">
      <c r="B3662" s="6" t="s">
        <v>159</v>
      </c>
      <c r="C3662" s="6" t="s">
        <v>388</v>
      </c>
      <c r="D3662" s="5">
        <v>44947</v>
      </c>
    </row>
    <row r="3663" spans="2:4">
      <c r="B3663" s="6" t="s">
        <v>236</v>
      </c>
      <c r="C3663" s="6" t="s">
        <v>420</v>
      </c>
      <c r="D3663" s="5">
        <v>44947</v>
      </c>
    </row>
    <row r="3664" spans="2:4">
      <c r="B3664" s="6" t="s">
        <v>423</v>
      </c>
      <c r="C3664" s="6" t="s">
        <v>586</v>
      </c>
      <c r="D3664" s="5">
        <v>44947</v>
      </c>
    </row>
    <row r="3665" spans="2:4">
      <c r="B3665" s="6" t="s">
        <v>599</v>
      </c>
      <c r="C3665" s="6" t="s">
        <v>621</v>
      </c>
      <c r="D3665" s="5">
        <v>44947</v>
      </c>
    </row>
    <row r="3666" spans="2:4">
      <c r="B3666" s="6" t="s">
        <v>93</v>
      </c>
      <c r="C3666" s="6" t="s">
        <v>69</v>
      </c>
      <c r="D3666" s="5">
        <v>44947</v>
      </c>
    </row>
    <row r="3667" spans="2:4">
      <c r="B3667" s="6" t="s">
        <v>62</v>
      </c>
      <c r="C3667" s="6" t="s">
        <v>55</v>
      </c>
      <c r="D3667" s="5">
        <v>44948</v>
      </c>
    </row>
    <row r="3668" spans="2:4">
      <c r="B3668" s="6" t="s">
        <v>59</v>
      </c>
      <c r="C3668" s="6" t="s">
        <v>63</v>
      </c>
      <c r="D3668" s="5">
        <v>44948</v>
      </c>
    </row>
    <row r="3669" spans="2:4">
      <c r="B3669" s="6" t="s">
        <v>58</v>
      </c>
      <c r="C3669" s="6" t="s">
        <v>56</v>
      </c>
      <c r="D3669" s="5">
        <v>44948</v>
      </c>
    </row>
    <row r="3670" spans="2:4">
      <c r="B3670" s="6" t="s">
        <v>245</v>
      </c>
      <c r="C3670" s="6" t="s">
        <v>42</v>
      </c>
      <c r="D3670" s="5">
        <v>44948</v>
      </c>
    </row>
    <row r="3671" spans="2:4">
      <c r="B3671" s="6" t="s">
        <v>405</v>
      </c>
      <c r="C3671" s="6" t="s">
        <v>246</v>
      </c>
      <c r="D3671" s="5">
        <v>44948</v>
      </c>
    </row>
    <row r="3672" spans="2:4">
      <c r="B3672" s="6" t="s">
        <v>187</v>
      </c>
      <c r="C3672" s="6" t="s">
        <v>144</v>
      </c>
      <c r="D3672" s="5">
        <v>44948</v>
      </c>
    </row>
    <row r="3673" spans="2:4">
      <c r="B3673" s="6" t="s">
        <v>205</v>
      </c>
      <c r="C3673" s="6" t="s">
        <v>177</v>
      </c>
      <c r="D3673" s="5">
        <v>44948</v>
      </c>
    </row>
    <row r="3674" spans="2:4">
      <c r="B3674" s="6" t="s">
        <v>269</v>
      </c>
      <c r="C3674" s="6" t="s">
        <v>106</v>
      </c>
      <c r="D3674" s="5">
        <v>44948</v>
      </c>
    </row>
    <row r="3675" spans="2:4">
      <c r="B3675" s="6" t="s">
        <v>587</v>
      </c>
      <c r="C3675" s="6" t="s">
        <v>175</v>
      </c>
      <c r="D3675" s="5">
        <v>44948</v>
      </c>
    </row>
    <row r="3676" spans="2:4">
      <c r="B3676" s="6" t="s">
        <v>98</v>
      </c>
      <c r="C3676" s="6" t="s">
        <v>336</v>
      </c>
      <c r="D3676" s="5">
        <v>44948</v>
      </c>
    </row>
    <row r="3677" spans="2:4">
      <c r="B3677" s="6" t="s">
        <v>174</v>
      </c>
      <c r="C3677" s="6" t="s">
        <v>126</v>
      </c>
      <c r="D3677" s="5">
        <v>44948</v>
      </c>
    </row>
    <row r="3678" spans="2:4">
      <c r="B3678" s="6" t="s">
        <v>130</v>
      </c>
      <c r="C3678" s="6" t="s">
        <v>112</v>
      </c>
      <c r="D3678" s="5">
        <v>44948</v>
      </c>
    </row>
    <row r="3679" spans="2:4">
      <c r="B3679" s="6" t="s">
        <v>244</v>
      </c>
      <c r="C3679" s="6" t="s">
        <v>204</v>
      </c>
      <c r="D3679" s="5">
        <v>44948</v>
      </c>
    </row>
    <row r="3680" spans="2:4">
      <c r="B3680" s="6" t="s">
        <v>117</v>
      </c>
      <c r="C3680" s="6" t="s">
        <v>230</v>
      </c>
      <c r="D3680" s="5">
        <v>44948</v>
      </c>
    </row>
    <row r="3681" spans="2:4">
      <c r="B3681" s="6" t="s">
        <v>216</v>
      </c>
      <c r="C3681" s="6" t="s">
        <v>211</v>
      </c>
      <c r="D3681" s="5">
        <v>44948</v>
      </c>
    </row>
    <row r="3682" spans="2:4">
      <c r="B3682" s="6" t="s">
        <v>233</v>
      </c>
      <c r="C3682" s="6" t="s">
        <v>361</v>
      </c>
      <c r="D3682" s="5">
        <v>44948</v>
      </c>
    </row>
    <row r="3683" spans="2:4">
      <c r="B3683" s="6" t="s">
        <v>212</v>
      </c>
      <c r="C3683" s="6" t="s">
        <v>145</v>
      </c>
      <c r="D3683" s="5">
        <v>44948</v>
      </c>
    </row>
    <row r="3684" spans="2:4">
      <c r="B3684" s="6" t="s">
        <v>341</v>
      </c>
      <c r="C3684" s="6" t="s">
        <v>352</v>
      </c>
      <c r="D3684" s="5">
        <v>44948</v>
      </c>
    </row>
    <row r="3685" spans="2:4">
      <c r="B3685" s="6" t="s">
        <v>164</v>
      </c>
      <c r="C3685" s="6" t="s">
        <v>76</v>
      </c>
      <c r="D3685" s="5">
        <v>44948</v>
      </c>
    </row>
    <row r="3686" spans="2:4">
      <c r="B3686" s="6" t="s">
        <v>103</v>
      </c>
      <c r="C3686" s="6" t="s">
        <v>111</v>
      </c>
      <c r="D3686" s="5">
        <v>44948</v>
      </c>
    </row>
    <row r="3687" spans="2:4">
      <c r="B3687" s="6" t="s">
        <v>72</v>
      </c>
      <c r="C3687" s="6" t="s">
        <v>78</v>
      </c>
      <c r="D3687" s="5">
        <v>44948</v>
      </c>
    </row>
    <row r="3688" spans="2:4">
      <c r="B3688" s="6" t="s">
        <v>410</v>
      </c>
      <c r="C3688" s="6" t="s">
        <v>590</v>
      </c>
      <c r="D3688" s="5">
        <v>44948</v>
      </c>
    </row>
    <row r="3689" spans="2:4">
      <c r="B3689" s="6" t="s">
        <v>314</v>
      </c>
      <c r="C3689" s="6" t="s">
        <v>249</v>
      </c>
      <c r="D3689" s="5">
        <v>44949</v>
      </c>
    </row>
    <row r="3690" spans="2:4">
      <c r="B3690" s="6" t="s">
        <v>52</v>
      </c>
      <c r="C3690" s="6" t="s">
        <v>44</v>
      </c>
      <c r="D3690" s="5">
        <v>44949</v>
      </c>
    </row>
    <row r="3691" spans="2:4">
      <c r="B3691" s="6" t="s">
        <v>294</v>
      </c>
      <c r="C3691" s="6" t="s">
        <v>347</v>
      </c>
      <c r="D3691" s="5">
        <v>44949</v>
      </c>
    </row>
    <row r="3692" spans="2:4">
      <c r="B3692" s="6" t="s">
        <v>278</v>
      </c>
      <c r="C3692" s="6" t="s">
        <v>176</v>
      </c>
      <c r="D3692" s="5">
        <v>44949</v>
      </c>
    </row>
    <row r="3693" spans="2:4">
      <c r="B3693" s="6" t="s">
        <v>122</v>
      </c>
      <c r="C3693" s="6" t="s">
        <v>419</v>
      </c>
      <c r="D3693" s="5">
        <v>44949</v>
      </c>
    </row>
    <row r="3694" spans="2:4">
      <c r="B3694" s="6" t="s">
        <v>422</v>
      </c>
      <c r="C3694" s="6" t="s">
        <v>101</v>
      </c>
      <c r="D3694" s="5">
        <v>44949</v>
      </c>
    </row>
    <row r="3695" spans="2:4">
      <c r="B3695" s="6" t="s">
        <v>277</v>
      </c>
      <c r="C3695" s="6" t="s">
        <v>335</v>
      </c>
      <c r="D3695" s="5">
        <v>44949</v>
      </c>
    </row>
    <row r="3696" spans="2:4">
      <c r="B3696" s="6" t="s">
        <v>276</v>
      </c>
      <c r="C3696" s="6" t="s">
        <v>264</v>
      </c>
      <c r="D3696" s="5">
        <v>44949</v>
      </c>
    </row>
    <row r="3697" spans="2:4">
      <c r="B3697" s="6" t="s">
        <v>96</v>
      </c>
      <c r="C3697" s="6" t="s">
        <v>116</v>
      </c>
      <c r="D3697" s="5">
        <v>44949</v>
      </c>
    </row>
    <row r="3698" spans="2:4">
      <c r="B3698" s="6" t="s">
        <v>238</v>
      </c>
      <c r="C3698" s="6" t="s">
        <v>310</v>
      </c>
      <c r="D3698" s="5">
        <v>44949</v>
      </c>
    </row>
    <row r="3699" spans="2:4">
      <c r="B3699" s="6" t="s">
        <v>308</v>
      </c>
      <c r="C3699" s="6" t="s">
        <v>399</v>
      </c>
      <c r="D3699" s="5">
        <v>44949</v>
      </c>
    </row>
    <row r="3700" spans="2:4">
      <c r="B3700" s="6" t="s">
        <v>156</v>
      </c>
      <c r="C3700" s="6" t="s">
        <v>232</v>
      </c>
      <c r="D3700" s="5">
        <v>44949</v>
      </c>
    </row>
    <row r="3701" spans="2:4">
      <c r="B3701" s="6" t="s">
        <v>364</v>
      </c>
      <c r="C3701" s="6" t="s">
        <v>170</v>
      </c>
      <c r="D3701" s="5">
        <v>44949</v>
      </c>
    </row>
    <row r="3702" spans="2:4">
      <c r="B3702" s="6" t="s">
        <v>303</v>
      </c>
      <c r="C3702" s="6" t="s">
        <v>181</v>
      </c>
      <c r="D3702" s="5">
        <v>44949</v>
      </c>
    </row>
    <row r="3703" spans="2:4">
      <c r="B3703" s="6" t="s">
        <v>332</v>
      </c>
      <c r="C3703" s="6" t="s">
        <v>382</v>
      </c>
      <c r="D3703" s="5">
        <v>44949</v>
      </c>
    </row>
    <row r="3704" spans="2:4">
      <c r="B3704" s="6" t="s">
        <v>28</v>
      </c>
      <c r="C3704" s="6" t="s">
        <v>26</v>
      </c>
      <c r="D3704" s="5">
        <v>44949</v>
      </c>
    </row>
    <row r="3705" spans="2:4">
      <c r="B3705" s="6" t="s">
        <v>169</v>
      </c>
      <c r="C3705" s="6" t="s">
        <v>189</v>
      </c>
      <c r="D3705" s="5">
        <v>44949</v>
      </c>
    </row>
    <row r="3706" spans="2:4">
      <c r="B3706" s="6" t="s">
        <v>433</v>
      </c>
      <c r="C3706" s="6" t="s">
        <v>198</v>
      </c>
      <c r="D3706" s="5">
        <v>44950</v>
      </c>
    </row>
    <row r="3707" spans="2:4">
      <c r="B3707" s="6" t="s">
        <v>64</v>
      </c>
      <c r="C3707" s="6" t="s">
        <v>66</v>
      </c>
      <c r="D3707" s="5">
        <v>44950</v>
      </c>
    </row>
    <row r="3708" spans="2:4">
      <c r="B3708" s="6" t="s">
        <v>84</v>
      </c>
      <c r="C3708" s="6" t="s">
        <v>81</v>
      </c>
      <c r="D3708" s="5">
        <v>44950</v>
      </c>
    </row>
    <row r="3709" spans="2:4">
      <c r="B3709" s="6" t="s">
        <v>60</v>
      </c>
      <c r="C3709" s="6" t="s">
        <v>57</v>
      </c>
      <c r="D3709" s="5">
        <v>44950</v>
      </c>
    </row>
    <row r="3710" spans="2:4">
      <c r="B3710" s="6" t="s">
        <v>275</v>
      </c>
      <c r="C3710" s="6" t="s">
        <v>95</v>
      </c>
      <c r="D3710" s="5">
        <v>44950</v>
      </c>
    </row>
    <row r="3711" spans="2:4">
      <c r="B3711" s="6" t="s">
        <v>149</v>
      </c>
      <c r="C3711" s="6" t="s">
        <v>46</v>
      </c>
      <c r="D3711" s="5">
        <v>44950</v>
      </c>
    </row>
    <row r="3712" spans="2:4">
      <c r="B3712" s="6" t="s">
        <v>45</v>
      </c>
      <c r="C3712" s="6" t="s">
        <v>48</v>
      </c>
      <c r="D3712" s="5">
        <v>44950</v>
      </c>
    </row>
    <row r="3713" spans="2:4">
      <c r="B3713" s="6" t="s">
        <v>41</v>
      </c>
      <c r="C3713" s="6" t="s">
        <v>155</v>
      </c>
      <c r="D3713" s="5">
        <v>44950</v>
      </c>
    </row>
    <row r="3714" spans="2:4">
      <c r="B3714" s="6" t="s">
        <v>88</v>
      </c>
      <c r="C3714" s="6" t="s">
        <v>87</v>
      </c>
      <c r="D3714" s="5">
        <v>44950</v>
      </c>
    </row>
    <row r="3715" spans="2:4">
      <c r="B3715" s="6" t="s">
        <v>210</v>
      </c>
      <c r="C3715" s="6" t="s">
        <v>199</v>
      </c>
      <c r="D3715" s="5">
        <v>44950</v>
      </c>
    </row>
    <row r="3716" spans="2:4">
      <c r="B3716" s="6" t="s">
        <v>140</v>
      </c>
      <c r="C3716" s="6" t="s">
        <v>247</v>
      </c>
      <c r="D3716" s="5">
        <v>44950</v>
      </c>
    </row>
    <row r="3717" spans="2:4">
      <c r="B3717" s="6" t="s">
        <v>362</v>
      </c>
      <c r="C3717" s="6" t="s">
        <v>288</v>
      </c>
      <c r="D3717" s="5">
        <v>44950</v>
      </c>
    </row>
    <row r="3718" spans="2:4">
      <c r="B3718" s="6" t="s">
        <v>105</v>
      </c>
      <c r="C3718" s="6" t="s">
        <v>209</v>
      </c>
      <c r="D3718" s="5">
        <v>44950</v>
      </c>
    </row>
    <row r="3719" spans="2:4">
      <c r="B3719" s="6" t="s">
        <v>109</v>
      </c>
      <c r="C3719" s="6" t="s">
        <v>203</v>
      </c>
      <c r="D3719" s="5">
        <v>44950</v>
      </c>
    </row>
    <row r="3720" spans="2:4">
      <c r="B3720" s="6" t="s">
        <v>127</v>
      </c>
      <c r="C3720" s="6" t="s">
        <v>414</v>
      </c>
      <c r="D3720" s="5">
        <v>44950</v>
      </c>
    </row>
    <row r="3721" spans="2:4">
      <c r="B3721" s="6" t="s">
        <v>34</v>
      </c>
      <c r="C3721" s="6" t="s">
        <v>29</v>
      </c>
      <c r="D3721" s="5">
        <v>44950</v>
      </c>
    </row>
    <row r="3722" spans="2:4">
      <c r="B3722" s="6" t="s">
        <v>400</v>
      </c>
      <c r="C3722" s="6" t="s">
        <v>180</v>
      </c>
      <c r="D3722" s="5">
        <v>44950</v>
      </c>
    </row>
    <row r="3723" spans="2:4">
      <c r="B3723" s="6" t="s">
        <v>320</v>
      </c>
      <c r="C3723" s="6" t="s">
        <v>280</v>
      </c>
      <c r="D3723" s="5">
        <v>44950</v>
      </c>
    </row>
    <row r="3724" spans="2:4">
      <c r="B3724" s="6" t="s">
        <v>241</v>
      </c>
      <c r="C3724" s="6" t="s">
        <v>312</v>
      </c>
      <c r="D3724" s="5">
        <v>44950</v>
      </c>
    </row>
    <row r="3725" spans="2:4">
      <c r="B3725" s="6" t="s">
        <v>67</v>
      </c>
      <c r="C3725" s="6" t="s">
        <v>68</v>
      </c>
      <c r="D3725" s="5">
        <v>44950</v>
      </c>
    </row>
    <row r="3726" spans="2:4">
      <c r="B3726" s="6" t="s">
        <v>47</v>
      </c>
      <c r="C3726" s="6" t="s">
        <v>251</v>
      </c>
      <c r="D3726" s="5">
        <v>44950</v>
      </c>
    </row>
    <row r="3727" spans="2:4">
      <c r="B3727" s="6" t="s">
        <v>185</v>
      </c>
      <c r="C3727" s="6" t="s">
        <v>80</v>
      </c>
      <c r="D3727" s="5">
        <v>44950</v>
      </c>
    </row>
    <row r="3728" spans="2:4">
      <c r="B3728" s="6" t="s">
        <v>30</v>
      </c>
      <c r="C3728" s="6" t="s">
        <v>322</v>
      </c>
      <c r="D3728" s="5">
        <v>44950</v>
      </c>
    </row>
    <row r="3729" spans="2:4">
      <c r="B3729" s="6" t="s">
        <v>31</v>
      </c>
      <c r="C3729" s="6" t="s">
        <v>33</v>
      </c>
      <c r="D3729" s="5">
        <v>44950</v>
      </c>
    </row>
    <row r="3730" spans="2:4">
      <c r="B3730" s="6" t="s">
        <v>363</v>
      </c>
      <c r="C3730" s="6" t="s">
        <v>325</v>
      </c>
      <c r="D3730" s="5">
        <v>44950</v>
      </c>
    </row>
    <row r="3731" spans="2:4">
      <c r="B3731" s="6" t="s">
        <v>51</v>
      </c>
      <c r="C3731" s="6" t="s">
        <v>50</v>
      </c>
      <c r="D3731" s="5">
        <v>44950</v>
      </c>
    </row>
    <row r="3732" spans="2:4">
      <c r="B3732" s="6" t="s">
        <v>162</v>
      </c>
      <c r="C3732" s="6" t="s">
        <v>394</v>
      </c>
      <c r="D3732" s="5">
        <v>44950</v>
      </c>
    </row>
    <row r="3733" spans="2:4">
      <c r="B3733" s="6" t="s">
        <v>163</v>
      </c>
      <c r="C3733" s="6" t="s">
        <v>152</v>
      </c>
      <c r="D3733" s="5">
        <v>44950</v>
      </c>
    </row>
    <row r="3734" spans="2:4">
      <c r="B3734" s="6" t="s">
        <v>131</v>
      </c>
      <c r="C3734" s="6" t="s">
        <v>114</v>
      </c>
      <c r="D3734" s="5">
        <v>44951</v>
      </c>
    </row>
    <row r="3735" spans="2:4">
      <c r="B3735" s="6" t="s">
        <v>245</v>
      </c>
      <c r="C3735" s="6" t="s">
        <v>39</v>
      </c>
      <c r="D3735" s="5">
        <v>44951</v>
      </c>
    </row>
    <row r="3736" spans="2:4">
      <c r="B3736" s="6" t="s">
        <v>297</v>
      </c>
      <c r="C3736" s="6" t="s">
        <v>192</v>
      </c>
      <c r="D3736" s="5">
        <v>44951</v>
      </c>
    </row>
    <row r="3737" spans="2:4">
      <c r="B3737" s="6" t="s">
        <v>411</v>
      </c>
      <c r="C3737" s="6" t="s">
        <v>212</v>
      </c>
      <c r="D3737" s="5">
        <v>44951</v>
      </c>
    </row>
    <row r="3738" spans="2:4">
      <c r="B3738" s="6" t="s">
        <v>86</v>
      </c>
      <c r="C3738" s="6" t="s">
        <v>89</v>
      </c>
      <c r="D3738" s="5">
        <v>44951</v>
      </c>
    </row>
    <row r="3739" spans="2:4">
      <c r="B3739" s="6" t="s">
        <v>124</v>
      </c>
      <c r="C3739" s="6" t="s">
        <v>214</v>
      </c>
      <c r="D3739" s="5">
        <v>44951</v>
      </c>
    </row>
    <row r="3740" spans="2:4">
      <c r="B3740" s="6" t="s">
        <v>27</v>
      </c>
      <c r="C3740" s="6" t="s">
        <v>32</v>
      </c>
      <c r="D3740" s="5">
        <v>44951</v>
      </c>
    </row>
    <row r="3741" spans="2:4">
      <c r="B3741" s="6" t="s">
        <v>122</v>
      </c>
      <c r="C3741" s="6" t="s">
        <v>590</v>
      </c>
      <c r="D3741" s="5">
        <v>44951</v>
      </c>
    </row>
    <row r="3742" spans="2:4">
      <c r="B3742" s="6" t="s">
        <v>145</v>
      </c>
      <c r="C3742" s="6" t="s">
        <v>231</v>
      </c>
      <c r="D3742" s="5">
        <v>44951</v>
      </c>
    </row>
    <row r="3743" spans="2:4">
      <c r="B3743" s="6" t="s">
        <v>137</v>
      </c>
      <c r="C3743" s="6" t="s">
        <v>580</v>
      </c>
      <c r="D3743" s="5">
        <v>44951</v>
      </c>
    </row>
    <row r="3744" spans="2:4">
      <c r="B3744" s="6" t="s">
        <v>360</v>
      </c>
      <c r="C3744" s="6" t="s">
        <v>148</v>
      </c>
      <c r="D3744" s="5">
        <v>44951</v>
      </c>
    </row>
    <row r="3745" spans="2:4">
      <c r="B3745" s="6" t="s">
        <v>49</v>
      </c>
      <c r="C3745" s="6" t="s">
        <v>53</v>
      </c>
      <c r="D3745" s="5">
        <v>44951</v>
      </c>
    </row>
    <row r="3746" spans="2:4">
      <c r="B3746" s="6" t="s">
        <v>126</v>
      </c>
      <c r="C3746" s="6" t="s">
        <v>205</v>
      </c>
      <c r="D3746" s="5">
        <v>44951</v>
      </c>
    </row>
    <row r="3747" spans="2:4">
      <c r="B3747" s="6" t="s">
        <v>174</v>
      </c>
      <c r="C3747" s="6" t="s">
        <v>269</v>
      </c>
      <c r="D3747" s="5">
        <v>44951</v>
      </c>
    </row>
    <row r="3748" spans="2:4">
      <c r="B3748" s="6" t="s">
        <v>177</v>
      </c>
      <c r="C3748" s="6" t="s">
        <v>301</v>
      </c>
      <c r="D3748" s="5">
        <v>44951</v>
      </c>
    </row>
    <row r="3749" spans="2:4">
      <c r="B3749" s="6" t="s">
        <v>253</v>
      </c>
      <c r="C3749" s="6" t="s">
        <v>215</v>
      </c>
      <c r="D3749" s="5">
        <v>44951</v>
      </c>
    </row>
    <row r="3750" spans="2:4">
      <c r="B3750" s="6" t="s">
        <v>113</v>
      </c>
      <c r="C3750" s="6" t="s">
        <v>220</v>
      </c>
      <c r="D3750" s="5">
        <v>44951</v>
      </c>
    </row>
    <row r="3751" spans="2:4">
      <c r="B3751" s="6" t="s">
        <v>56</v>
      </c>
      <c r="C3751" s="6" t="s">
        <v>65</v>
      </c>
      <c r="D3751" s="5">
        <v>44951</v>
      </c>
    </row>
    <row r="3752" spans="2:4">
      <c r="B3752" s="6" t="s">
        <v>79</v>
      </c>
      <c r="C3752" s="6" t="s">
        <v>90</v>
      </c>
      <c r="D3752" s="5">
        <v>44951</v>
      </c>
    </row>
    <row r="3753" spans="2:4">
      <c r="B3753" s="6" t="s">
        <v>337</v>
      </c>
      <c r="C3753" s="6" t="s">
        <v>334</v>
      </c>
      <c r="D3753" s="5">
        <v>44951</v>
      </c>
    </row>
    <row r="3754" spans="2:4">
      <c r="B3754" s="6" t="s">
        <v>300</v>
      </c>
      <c r="C3754" s="6" t="s">
        <v>200</v>
      </c>
      <c r="D3754" s="5">
        <v>44951</v>
      </c>
    </row>
    <row r="3755" spans="2:4">
      <c r="B3755" s="6" t="s">
        <v>284</v>
      </c>
      <c r="C3755" s="6" t="s">
        <v>350</v>
      </c>
      <c r="D3755" s="5">
        <v>44951</v>
      </c>
    </row>
    <row r="3756" spans="2:4">
      <c r="B3756" s="6" t="s">
        <v>121</v>
      </c>
      <c r="C3756" s="6" t="s">
        <v>281</v>
      </c>
      <c r="D3756" s="5">
        <v>44951</v>
      </c>
    </row>
    <row r="3757" spans="2:4">
      <c r="B3757" s="6" t="s">
        <v>252</v>
      </c>
      <c r="C3757" s="6" t="s">
        <v>349</v>
      </c>
      <c r="D3757" s="5">
        <v>44951</v>
      </c>
    </row>
    <row r="3758" spans="2:4">
      <c r="B3758" s="6" t="s">
        <v>202</v>
      </c>
      <c r="C3758" s="6" t="s">
        <v>395</v>
      </c>
      <c r="D3758" s="5">
        <v>44951</v>
      </c>
    </row>
    <row r="3759" spans="2:4">
      <c r="B3759" s="6" t="s">
        <v>425</v>
      </c>
      <c r="C3759" s="6" t="s">
        <v>273</v>
      </c>
      <c r="D3759" s="5">
        <v>44951</v>
      </c>
    </row>
    <row r="3760" spans="2:4">
      <c r="B3760" s="6" t="s">
        <v>191</v>
      </c>
      <c r="C3760" s="6" t="s">
        <v>270</v>
      </c>
      <c r="D3760" s="5">
        <v>44951</v>
      </c>
    </row>
    <row r="3761" spans="2:4">
      <c r="B3761" s="6" t="s">
        <v>110</v>
      </c>
      <c r="C3761" s="6" t="s">
        <v>298</v>
      </c>
      <c r="D3761" s="5">
        <v>44951</v>
      </c>
    </row>
    <row r="3762" spans="2:4">
      <c r="B3762" s="6" t="s">
        <v>287</v>
      </c>
      <c r="C3762" s="6" t="s">
        <v>282</v>
      </c>
      <c r="D3762" s="5">
        <v>44951</v>
      </c>
    </row>
    <row r="3763" spans="2:4">
      <c r="B3763" s="6" t="s">
        <v>104</v>
      </c>
      <c r="C3763" s="6" t="s">
        <v>103</v>
      </c>
      <c r="D3763" s="5">
        <v>44951</v>
      </c>
    </row>
    <row r="3764" spans="2:4">
      <c r="B3764" s="6" t="s">
        <v>267</v>
      </c>
      <c r="C3764" s="6" t="s">
        <v>261</v>
      </c>
      <c r="D3764" s="5">
        <v>44951</v>
      </c>
    </row>
    <row r="3765" spans="2:4">
      <c r="B3765" s="6" t="s">
        <v>171</v>
      </c>
      <c r="C3765" s="6" t="s">
        <v>436</v>
      </c>
      <c r="D3765" s="5">
        <v>44951</v>
      </c>
    </row>
    <row r="3766" spans="2:4">
      <c r="B3766" s="6" t="s">
        <v>111</v>
      </c>
      <c r="C3766" s="6" t="s">
        <v>102</v>
      </c>
      <c r="D3766" s="5">
        <v>44951</v>
      </c>
    </row>
    <row r="3767" spans="2:4">
      <c r="B3767" s="6" t="s">
        <v>296</v>
      </c>
      <c r="C3767" s="6" t="s">
        <v>172</v>
      </c>
      <c r="D3767" s="5">
        <v>44951</v>
      </c>
    </row>
    <row r="3768" spans="2:4">
      <c r="B3768" s="6" t="s">
        <v>290</v>
      </c>
      <c r="C3768" s="6" t="s">
        <v>344</v>
      </c>
      <c r="D3768" s="5">
        <v>44951</v>
      </c>
    </row>
    <row r="3769" spans="2:4">
      <c r="B3769" s="6" t="s">
        <v>318</v>
      </c>
      <c r="C3769" s="6" t="s">
        <v>139</v>
      </c>
      <c r="D3769" s="5">
        <v>44951</v>
      </c>
    </row>
    <row r="3770" spans="2:4">
      <c r="B3770" s="6" t="s">
        <v>213</v>
      </c>
      <c r="C3770" s="6" t="s">
        <v>186</v>
      </c>
      <c r="D3770" s="5">
        <v>44951</v>
      </c>
    </row>
    <row r="3771" spans="2:4">
      <c r="B3771" s="6" t="s">
        <v>119</v>
      </c>
      <c r="C3771" s="6" t="s">
        <v>326</v>
      </c>
      <c r="D3771" s="5">
        <v>44951</v>
      </c>
    </row>
    <row r="3772" spans="2:4">
      <c r="B3772" s="6" t="s">
        <v>323</v>
      </c>
      <c r="C3772" s="6" t="s">
        <v>159</v>
      </c>
      <c r="D3772" s="5">
        <v>44951</v>
      </c>
    </row>
    <row r="3773" spans="2:4">
      <c r="B3773" s="6" t="s">
        <v>40</v>
      </c>
      <c r="C3773" s="6" t="s">
        <v>42</v>
      </c>
      <c r="D3773" s="5">
        <v>44951</v>
      </c>
    </row>
    <row r="3774" spans="2:4">
      <c r="B3774" s="6" t="s">
        <v>38</v>
      </c>
      <c r="C3774" s="6" t="s">
        <v>302</v>
      </c>
      <c r="D3774" s="5">
        <v>44951</v>
      </c>
    </row>
    <row r="3775" spans="2:4">
      <c r="B3775" s="6" t="s">
        <v>63</v>
      </c>
      <c r="C3775" s="6" t="s">
        <v>62</v>
      </c>
      <c r="D3775" s="5">
        <v>44951</v>
      </c>
    </row>
    <row r="3776" spans="2:4">
      <c r="B3776" s="6" t="s">
        <v>83</v>
      </c>
      <c r="C3776" s="6" t="s">
        <v>91</v>
      </c>
      <c r="D3776" s="5">
        <v>44951</v>
      </c>
    </row>
    <row r="3777" spans="2:4">
      <c r="B3777" s="6" t="s">
        <v>82</v>
      </c>
      <c r="C3777" s="6" t="s">
        <v>85</v>
      </c>
      <c r="D3777" s="5">
        <v>44951</v>
      </c>
    </row>
    <row r="3778" spans="2:4">
      <c r="B3778" s="6" t="s">
        <v>352</v>
      </c>
      <c r="C3778" s="6" t="s">
        <v>221</v>
      </c>
      <c r="D3778" s="5">
        <v>44951</v>
      </c>
    </row>
    <row r="3779" spans="2:4">
      <c r="B3779" s="6" t="s">
        <v>54</v>
      </c>
      <c r="C3779" s="6" t="s">
        <v>43</v>
      </c>
      <c r="D3779" s="5">
        <v>44951</v>
      </c>
    </row>
    <row r="3780" spans="2:4">
      <c r="B3780" s="6" t="s">
        <v>93</v>
      </c>
      <c r="C3780" s="6" t="s">
        <v>347</v>
      </c>
      <c r="D3780" s="5">
        <v>44951</v>
      </c>
    </row>
    <row r="3781" spans="2:4">
      <c r="B3781" s="6" t="s">
        <v>392</v>
      </c>
      <c r="C3781" s="6" t="s">
        <v>168</v>
      </c>
      <c r="D3781" s="5">
        <v>44951</v>
      </c>
    </row>
    <row r="3782" spans="2:4">
      <c r="B3782" s="6" t="s">
        <v>165</v>
      </c>
      <c r="C3782" s="6" t="s">
        <v>166</v>
      </c>
      <c r="D3782" s="5">
        <v>44952</v>
      </c>
    </row>
    <row r="3783" spans="2:4">
      <c r="B3783" s="6" t="s">
        <v>98</v>
      </c>
      <c r="C3783" s="6" t="s">
        <v>587</v>
      </c>
      <c r="D3783" s="5">
        <v>44952</v>
      </c>
    </row>
    <row r="3784" spans="2:4">
      <c r="B3784" s="6" t="s">
        <v>286</v>
      </c>
      <c r="C3784" s="6" t="s">
        <v>259</v>
      </c>
      <c r="D3784" s="5">
        <v>44952</v>
      </c>
    </row>
    <row r="3785" spans="2:4">
      <c r="B3785" s="6" t="s">
        <v>248</v>
      </c>
      <c r="C3785" s="6" t="s">
        <v>255</v>
      </c>
      <c r="D3785" s="5">
        <v>44952</v>
      </c>
    </row>
    <row r="3786" spans="2:4">
      <c r="B3786" s="6" t="s">
        <v>144</v>
      </c>
      <c r="C3786" s="6" t="s">
        <v>341</v>
      </c>
      <c r="D3786" s="5">
        <v>44952</v>
      </c>
    </row>
    <row r="3787" spans="2:4">
      <c r="B3787" s="6" t="s">
        <v>274</v>
      </c>
      <c r="C3787" s="6" t="s">
        <v>313</v>
      </c>
      <c r="D3787" s="5">
        <v>44952</v>
      </c>
    </row>
    <row r="3788" spans="2:4">
      <c r="B3788" s="6" t="s">
        <v>421</v>
      </c>
      <c r="C3788" s="6" t="s">
        <v>242</v>
      </c>
      <c r="D3788" s="5">
        <v>44952</v>
      </c>
    </row>
    <row r="3789" spans="2:4">
      <c r="B3789" s="6" t="s">
        <v>233</v>
      </c>
      <c r="C3789" s="6" t="s">
        <v>112</v>
      </c>
      <c r="D3789" s="5">
        <v>44952</v>
      </c>
    </row>
    <row r="3790" spans="2:4">
      <c r="B3790" s="6" t="s">
        <v>55</v>
      </c>
      <c r="C3790" s="6" t="s">
        <v>61</v>
      </c>
      <c r="D3790" s="5">
        <v>44952</v>
      </c>
    </row>
    <row r="3791" spans="2:4">
      <c r="B3791" s="6" t="s">
        <v>336</v>
      </c>
      <c r="C3791" s="6" t="s">
        <v>405</v>
      </c>
      <c r="D3791" s="5">
        <v>44952</v>
      </c>
    </row>
    <row r="3792" spans="2:4">
      <c r="B3792" s="6" t="s">
        <v>246</v>
      </c>
      <c r="C3792" s="6" t="s">
        <v>175</v>
      </c>
      <c r="D3792" s="5">
        <v>44952</v>
      </c>
    </row>
    <row r="3793" spans="2:4">
      <c r="B3793" s="6" t="s">
        <v>410</v>
      </c>
      <c r="C3793" s="6" t="s">
        <v>338</v>
      </c>
      <c r="D3793" s="5">
        <v>44952</v>
      </c>
    </row>
    <row r="3794" spans="2:4">
      <c r="B3794" s="6" t="s">
        <v>193</v>
      </c>
      <c r="C3794" s="6" t="s">
        <v>333</v>
      </c>
      <c r="D3794" s="5">
        <v>44952</v>
      </c>
    </row>
    <row r="3795" spans="2:4">
      <c r="B3795" s="6" t="s">
        <v>409</v>
      </c>
      <c r="C3795" s="6" t="s">
        <v>294</v>
      </c>
      <c r="D3795" s="5">
        <v>44952</v>
      </c>
    </row>
    <row r="3796" spans="2:4">
      <c r="B3796" s="6" t="s">
        <v>330</v>
      </c>
      <c r="C3796" s="6" t="s">
        <v>208</v>
      </c>
      <c r="D3796" s="5">
        <v>44952</v>
      </c>
    </row>
    <row r="3797" spans="2:4">
      <c r="B3797" s="6" t="s">
        <v>305</v>
      </c>
      <c r="C3797" s="6" t="s">
        <v>240</v>
      </c>
      <c r="D3797" s="5">
        <v>44952</v>
      </c>
    </row>
    <row r="3798" spans="2:4">
      <c r="B3798" s="6" t="s">
        <v>266</v>
      </c>
      <c r="C3798" s="6" t="s">
        <v>358</v>
      </c>
      <c r="D3798" s="5">
        <v>44952</v>
      </c>
    </row>
    <row r="3799" spans="2:4">
      <c r="B3799" s="6" t="s">
        <v>256</v>
      </c>
      <c r="C3799" s="6" t="s">
        <v>324</v>
      </c>
      <c r="D3799" s="5">
        <v>44952</v>
      </c>
    </row>
    <row r="3800" spans="2:4">
      <c r="B3800" s="6" t="s">
        <v>179</v>
      </c>
      <c r="C3800" s="6" t="s">
        <v>118</v>
      </c>
      <c r="D3800" s="5">
        <v>44952</v>
      </c>
    </row>
    <row r="3801" spans="2:4">
      <c r="B3801" s="6" t="s">
        <v>268</v>
      </c>
      <c r="C3801" s="6" t="s">
        <v>146</v>
      </c>
      <c r="D3801" s="5">
        <v>44952</v>
      </c>
    </row>
    <row r="3802" spans="2:4">
      <c r="B3802" s="6" t="s">
        <v>327</v>
      </c>
      <c r="C3802" s="6" t="s">
        <v>115</v>
      </c>
      <c r="D3802" s="5">
        <v>44952</v>
      </c>
    </row>
    <row r="3803" spans="2:4">
      <c r="B3803" s="6" t="s">
        <v>129</v>
      </c>
      <c r="C3803" s="6" t="s">
        <v>178</v>
      </c>
      <c r="D3803" s="5">
        <v>44952</v>
      </c>
    </row>
    <row r="3804" spans="2:4">
      <c r="B3804" s="6" t="s">
        <v>413</v>
      </c>
      <c r="C3804" s="6" t="s">
        <v>99</v>
      </c>
      <c r="D3804" s="5">
        <v>44952</v>
      </c>
    </row>
    <row r="3805" spans="2:4">
      <c r="B3805" s="6" t="s">
        <v>123</v>
      </c>
      <c r="C3805" s="6" t="s">
        <v>272</v>
      </c>
      <c r="D3805" s="5">
        <v>44952</v>
      </c>
    </row>
    <row r="3806" spans="2:4">
      <c r="B3806" s="6" t="s">
        <v>610</v>
      </c>
      <c r="C3806" s="6" t="s">
        <v>292</v>
      </c>
      <c r="D3806" s="5">
        <v>44952</v>
      </c>
    </row>
    <row r="3807" spans="2:4">
      <c r="B3807" s="6" t="s">
        <v>173</v>
      </c>
      <c r="C3807" s="6" t="s">
        <v>120</v>
      </c>
      <c r="D3807" s="5">
        <v>44952</v>
      </c>
    </row>
    <row r="3808" spans="2:4">
      <c r="B3808" s="6" t="s">
        <v>201</v>
      </c>
      <c r="C3808" s="6" t="s">
        <v>142</v>
      </c>
      <c r="D3808" s="5">
        <v>44952</v>
      </c>
    </row>
    <row r="3809" spans="2:4">
      <c r="B3809" s="6" t="s">
        <v>356</v>
      </c>
      <c r="C3809" s="6" t="s">
        <v>147</v>
      </c>
      <c r="D3809" s="5">
        <v>44952</v>
      </c>
    </row>
    <row r="3810" spans="2:4">
      <c r="B3810" s="6" t="s">
        <v>143</v>
      </c>
      <c r="C3810" s="6" t="s">
        <v>182</v>
      </c>
      <c r="D3810" s="5">
        <v>44952</v>
      </c>
    </row>
    <row r="3811" spans="2:4">
      <c r="B3811" s="6" t="s">
        <v>94</v>
      </c>
      <c r="C3811" s="6" t="s">
        <v>588</v>
      </c>
      <c r="D3811" s="5">
        <v>44952</v>
      </c>
    </row>
    <row r="3812" spans="2:4">
      <c r="B3812" s="6" t="s">
        <v>388</v>
      </c>
      <c r="C3812" s="6" t="s">
        <v>607</v>
      </c>
      <c r="D3812" s="5">
        <v>44952</v>
      </c>
    </row>
    <row r="3813" spans="2:4">
      <c r="B3813" s="6" t="s">
        <v>345</v>
      </c>
      <c r="C3813" s="6" t="s">
        <v>381</v>
      </c>
      <c r="D3813" s="5">
        <v>44952</v>
      </c>
    </row>
    <row r="3814" spans="2:4">
      <c r="B3814" s="6" t="s">
        <v>365</v>
      </c>
      <c r="C3814" s="6" t="s">
        <v>194</v>
      </c>
      <c r="D3814" s="5">
        <v>44952</v>
      </c>
    </row>
    <row r="3815" spans="2:4">
      <c r="B3815" s="6" t="s">
        <v>316</v>
      </c>
      <c r="C3815" s="6" t="s">
        <v>367</v>
      </c>
      <c r="D3815" s="5">
        <v>44952</v>
      </c>
    </row>
    <row r="3816" spans="2:4">
      <c r="B3816" s="6" t="s">
        <v>306</v>
      </c>
      <c r="C3816" s="6" t="s">
        <v>136</v>
      </c>
      <c r="D3816" s="5">
        <v>44952</v>
      </c>
    </row>
    <row r="3817" spans="2:4">
      <c r="B3817" s="6" t="s">
        <v>150</v>
      </c>
      <c r="C3817" s="6" t="s">
        <v>289</v>
      </c>
      <c r="D3817" s="5">
        <v>44952</v>
      </c>
    </row>
    <row r="3818" spans="2:4">
      <c r="B3818" s="6" t="s">
        <v>348</v>
      </c>
      <c r="C3818" s="6" t="s">
        <v>385</v>
      </c>
      <c r="D3818" s="5">
        <v>44952</v>
      </c>
    </row>
    <row r="3819" spans="2:4">
      <c r="B3819" s="6" t="s">
        <v>331</v>
      </c>
      <c r="C3819" s="6" t="s">
        <v>357</v>
      </c>
      <c r="D3819" s="5">
        <v>44952</v>
      </c>
    </row>
    <row r="3820" spans="2:4">
      <c r="B3820" s="6" t="s">
        <v>184</v>
      </c>
      <c r="C3820" s="6" t="s">
        <v>151</v>
      </c>
      <c r="D3820" s="5">
        <v>44952</v>
      </c>
    </row>
    <row r="3821" spans="2:4">
      <c r="B3821" s="6" t="s">
        <v>321</v>
      </c>
      <c r="C3821" s="6" t="s">
        <v>309</v>
      </c>
      <c r="D3821" s="5">
        <v>44952</v>
      </c>
    </row>
    <row r="3822" spans="2:4">
      <c r="B3822" s="6" t="s">
        <v>353</v>
      </c>
      <c r="C3822" s="6" t="s">
        <v>128</v>
      </c>
      <c r="D3822" s="5">
        <v>44952</v>
      </c>
    </row>
    <row r="3823" spans="2:4">
      <c r="B3823" s="6" t="s">
        <v>355</v>
      </c>
      <c r="C3823" s="6" t="s">
        <v>354</v>
      </c>
      <c r="D3823" s="5">
        <v>44952</v>
      </c>
    </row>
    <row r="3824" spans="2:4">
      <c r="B3824" s="6" t="s">
        <v>295</v>
      </c>
      <c r="C3824" s="6" t="s">
        <v>342</v>
      </c>
      <c r="D3824" s="5">
        <v>44952</v>
      </c>
    </row>
    <row r="3825" spans="2:4">
      <c r="B3825" s="6" t="s">
        <v>640</v>
      </c>
      <c r="C3825" s="6" t="s">
        <v>319</v>
      </c>
      <c r="D3825" s="5">
        <v>44952</v>
      </c>
    </row>
    <row r="3826" spans="2:4">
      <c r="B3826" s="6" t="s">
        <v>183</v>
      </c>
      <c r="C3826" s="6" t="s">
        <v>134</v>
      </c>
      <c r="D3826" s="5">
        <v>44952</v>
      </c>
    </row>
    <row r="3827" spans="2:4">
      <c r="B3827" s="6" t="s">
        <v>415</v>
      </c>
      <c r="C3827" s="6" t="s">
        <v>424</v>
      </c>
      <c r="D3827" s="5">
        <v>44952</v>
      </c>
    </row>
    <row r="3828" spans="2:4">
      <c r="B3828" s="6" t="s">
        <v>304</v>
      </c>
      <c r="C3828" s="6" t="s">
        <v>370</v>
      </c>
      <c r="D3828" s="5">
        <v>44952</v>
      </c>
    </row>
    <row r="3829" spans="2:4">
      <c r="B3829" s="6" t="s">
        <v>615</v>
      </c>
      <c r="C3829" s="6" t="s">
        <v>329</v>
      </c>
      <c r="D3829" s="5">
        <v>44952</v>
      </c>
    </row>
    <row r="3830" spans="2:4">
      <c r="B3830" s="6" t="s">
        <v>74</v>
      </c>
      <c r="C3830" s="6" t="s">
        <v>75</v>
      </c>
      <c r="D3830" s="5">
        <v>44952</v>
      </c>
    </row>
    <row r="3831" spans="2:4">
      <c r="B3831" s="6" t="s">
        <v>69</v>
      </c>
      <c r="C3831" s="6" t="s">
        <v>72</v>
      </c>
      <c r="D3831" s="5">
        <v>44952</v>
      </c>
    </row>
    <row r="3832" spans="2:4">
      <c r="B3832" s="6" t="s">
        <v>59</v>
      </c>
      <c r="C3832" s="6" t="s">
        <v>58</v>
      </c>
      <c r="D3832" s="5">
        <v>44952</v>
      </c>
    </row>
    <row r="3833" spans="2:4">
      <c r="B3833" s="6" t="s">
        <v>135</v>
      </c>
      <c r="C3833" s="6" t="s">
        <v>368</v>
      </c>
      <c r="D3833" s="5">
        <v>44952</v>
      </c>
    </row>
    <row r="3834" spans="2:4">
      <c r="B3834" s="6" t="s">
        <v>195</v>
      </c>
      <c r="C3834" s="6" t="s">
        <v>373</v>
      </c>
      <c r="D3834" s="5">
        <v>44952</v>
      </c>
    </row>
    <row r="3835" spans="2:4">
      <c r="B3835" s="6" t="s">
        <v>343</v>
      </c>
      <c r="C3835" s="6" t="s">
        <v>584</v>
      </c>
      <c r="D3835" s="5">
        <v>44952</v>
      </c>
    </row>
    <row r="3836" spans="2:4">
      <c r="B3836" s="6" t="s">
        <v>378</v>
      </c>
      <c r="C3836" s="6" t="s">
        <v>383</v>
      </c>
      <c r="D3836" s="5">
        <v>44952</v>
      </c>
    </row>
    <row r="3837" spans="2:4">
      <c r="B3837" s="6" t="s">
        <v>250</v>
      </c>
      <c r="C3837" s="6" t="s">
        <v>603</v>
      </c>
      <c r="D3837" s="5">
        <v>44952</v>
      </c>
    </row>
    <row r="3838" spans="2:4">
      <c r="B3838" s="6" t="s">
        <v>158</v>
      </c>
      <c r="C3838" s="6" t="s">
        <v>206</v>
      </c>
      <c r="D3838" s="5">
        <v>44952</v>
      </c>
    </row>
    <row r="3839" spans="2:4">
      <c r="B3839" s="6" t="s">
        <v>393</v>
      </c>
      <c r="C3839" s="6" t="s">
        <v>153</v>
      </c>
      <c r="D3839" s="5">
        <v>44952</v>
      </c>
    </row>
    <row r="3840" spans="2:4">
      <c r="B3840" s="6" t="s">
        <v>396</v>
      </c>
      <c r="C3840" s="6" t="s">
        <v>161</v>
      </c>
      <c r="D3840" s="5">
        <v>44952</v>
      </c>
    </row>
    <row r="3841" spans="2:4">
      <c r="B3841" s="6" t="s">
        <v>207</v>
      </c>
      <c r="C3841" s="6" t="s">
        <v>420</v>
      </c>
      <c r="D3841" s="5">
        <v>44952</v>
      </c>
    </row>
    <row r="3842" spans="2:4">
      <c r="B3842" s="6" t="s">
        <v>599</v>
      </c>
      <c r="C3842" s="6" t="s">
        <v>236</v>
      </c>
      <c r="D3842" s="5">
        <v>44952</v>
      </c>
    </row>
    <row r="3843" spans="2:4">
      <c r="B3843" s="6" t="s">
        <v>586</v>
      </c>
      <c r="C3843" s="6" t="s">
        <v>141</v>
      </c>
      <c r="D3843" s="5">
        <v>44952</v>
      </c>
    </row>
    <row r="3844" spans="2:4">
      <c r="B3844" s="6" t="s">
        <v>621</v>
      </c>
      <c r="C3844" s="6" t="s">
        <v>167</v>
      </c>
      <c r="D3844" s="5">
        <v>44952</v>
      </c>
    </row>
    <row r="3845" spans="2:4">
      <c r="B3845" s="6" t="s">
        <v>402</v>
      </c>
      <c r="C3845" s="6" t="s">
        <v>391</v>
      </c>
      <c r="D3845" s="5">
        <v>44952</v>
      </c>
    </row>
    <row r="3846" spans="2:4">
      <c r="B3846" s="6" t="s">
        <v>389</v>
      </c>
      <c r="C3846" s="6" t="s">
        <v>190</v>
      </c>
      <c r="D3846" s="5">
        <v>44952</v>
      </c>
    </row>
    <row r="3847" spans="2:4">
      <c r="B3847" s="6" t="s">
        <v>78</v>
      </c>
      <c r="C3847" s="6" t="s">
        <v>70</v>
      </c>
      <c r="D3847" s="5">
        <v>44952</v>
      </c>
    </row>
    <row r="3848" spans="2:4">
      <c r="B3848" s="6" t="s">
        <v>71</v>
      </c>
      <c r="C3848" s="6" t="s">
        <v>73</v>
      </c>
      <c r="D3848" s="5">
        <v>44952</v>
      </c>
    </row>
    <row r="3849" spans="2:4">
      <c r="B3849" s="6" t="s">
        <v>76</v>
      </c>
      <c r="C3849" s="6" t="s">
        <v>77</v>
      </c>
      <c r="D3849" s="5">
        <v>44952</v>
      </c>
    </row>
    <row r="3850" spans="2:4">
      <c r="B3850" s="6" t="s">
        <v>428</v>
      </c>
      <c r="C3850" s="6" t="s">
        <v>423</v>
      </c>
      <c r="D3850" s="5">
        <v>44952</v>
      </c>
    </row>
    <row r="3851" spans="2:4">
      <c r="B3851" s="6" t="s">
        <v>130</v>
      </c>
      <c r="C3851" s="6" t="s">
        <v>285</v>
      </c>
      <c r="D3851" s="5">
        <v>44953</v>
      </c>
    </row>
    <row r="3852" spans="2:4">
      <c r="B3852" s="6" t="s">
        <v>204</v>
      </c>
      <c r="C3852" s="6" t="s">
        <v>230</v>
      </c>
      <c r="D3852" s="5">
        <v>44953</v>
      </c>
    </row>
    <row r="3853" spans="2:4">
      <c r="B3853" s="6" t="s">
        <v>361</v>
      </c>
      <c r="C3853" s="6" t="s">
        <v>117</v>
      </c>
      <c r="D3853" s="5">
        <v>44953</v>
      </c>
    </row>
    <row r="3854" spans="2:4">
      <c r="B3854" s="6" t="s">
        <v>199</v>
      </c>
      <c r="C3854" s="6" t="s">
        <v>133</v>
      </c>
      <c r="D3854" s="5">
        <v>44953</v>
      </c>
    </row>
    <row r="3855" spans="2:4">
      <c r="B3855" s="6" t="s">
        <v>418</v>
      </c>
      <c r="C3855" s="6" t="s">
        <v>101</v>
      </c>
      <c r="D3855" s="5">
        <v>44953</v>
      </c>
    </row>
    <row r="3856" spans="2:4">
      <c r="B3856" s="6" t="s">
        <v>412</v>
      </c>
      <c r="C3856" s="6" t="s">
        <v>422</v>
      </c>
      <c r="D3856" s="5">
        <v>44953</v>
      </c>
    </row>
    <row r="3857" spans="2:4">
      <c r="B3857" s="6" t="s">
        <v>397</v>
      </c>
      <c r="C3857" s="6" t="s">
        <v>296</v>
      </c>
      <c r="D3857" s="5">
        <v>44953</v>
      </c>
    </row>
    <row r="3858" spans="2:4">
      <c r="B3858" s="6" t="s">
        <v>359</v>
      </c>
      <c r="C3858" s="6" t="s">
        <v>196</v>
      </c>
      <c r="D3858" s="5">
        <v>44953</v>
      </c>
    </row>
    <row r="3859" spans="2:4">
      <c r="B3859" s="6" t="s">
        <v>180</v>
      </c>
      <c r="C3859" s="6" t="s">
        <v>203</v>
      </c>
      <c r="D3859" s="5">
        <v>44953</v>
      </c>
    </row>
    <row r="3860" spans="2:4">
      <c r="B3860" s="6" t="s">
        <v>189</v>
      </c>
      <c r="C3860" s="6" t="s">
        <v>198</v>
      </c>
      <c r="D3860" s="5">
        <v>44953</v>
      </c>
    </row>
    <row r="3861" spans="2:4">
      <c r="B3861" s="6" t="s">
        <v>28</v>
      </c>
      <c r="C3861" s="6" t="s">
        <v>84</v>
      </c>
      <c r="D3861" s="5">
        <v>44954</v>
      </c>
    </row>
    <row r="3862" spans="2:4">
      <c r="B3862" s="6" t="s">
        <v>86</v>
      </c>
      <c r="C3862" s="6" t="s">
        <v>30</v>
      </c>
      <c r="D3862" s="5">
        <v>44954</v>
      </c>
    </row>
    <row r="3863" spans="2:4">
      <c r="B3863" s="6" t="s">
        <v>395</v>
      </c>
      <c r="C3863" s="6" t="s">
        <v>270</v>
      </c>
      <c r="D3863" s="5">
        <v>44954</v>
      </c>
    </row>
    <row r="3864" spans="2:4">
      <c r="B3864" s="6" t="s">
        <v>362</v>
      </c>
      <c r="C3864" s="6" t="s">
        <v>414</v>
      </c>
      <c r="D3864" s="5">
        <v>44954</v>
      </c>
    </row>
    <row r="3865" spans="2:4">
      <c r="B3865" s="6" t="s">
        <v>396</v>
      </c>
      <c r="C3865" s="6" t="s">
        <v>165</v>
      </c>
      <c r="D3865" s="5">
        <v>44954</v>
      </c>
    </row>
    <row r="3866" spans="2:4">
      <c r="B3866" s="6" t="s">
        <v>167</v>
      </c>
      <c r="C3866" s="6" t="s">
        <v>599</v>
      </c>
      <c r="D3866" s="5">
        <v>44954</v>
      </c>
    </row>
    <row r="3867" spans="2:4">
      <c r="B3867" s="6" t="s">
        <v>356</v>
      </c>
      <c r="C3867" s="6" t="s">
        <v>128</v>
      </c>
      <c r="D3867" s="5">
        <v>44954</v>
      </c>
    </row>
    <row r="3868" spans="2:4">
      <c r="B3868" s="6" t="s">
        <v>32</v>
      </c>
      <c r="C3868" s="6" t="s">
        <v>83</v>
      </c>
      <c r="D3868" s="5">
        <v>44954</v>
      </c>
    </row>
    <row r="3869" spans="2:4">
      <c r="B3869" s="6" t="s">
        <v>188</v>
      </c>
      <c r="C3869" s="6" t="s">
        <v>54</v>
      </c>
      <c r="D3869" s="5">
        <v>44954</v>
      </c>
    </row>
    <row r="3870" spans="2:4">
      <c r="B3870" s="6" t="s">
        <v>411</v>
      </c>
      <c r="C3870" s="6" t="s">
        <v>145</v>
      </c>
      <c r="D3870" s="5">
        <v>44954</v>
      </c>
    </row>
    <row r="3871" spans="2:4">
      <c r="B3871" s="6" t="s">
        <v>46</v>
      </c>
      <c r="C3871" s="6" t="s">
        <v>43</v>
      </c>
      <c r="D3871" s="5">
        <v>44954</v>
      </c>
    </row>
    <row r="3872" spans="2:4">
      <c r="B3872" s="6" t="s">
        <v>68</v>
      </c>
      <c r="C3872" s="6" t="s">
        <v>63</v>
      </c>
      <c r="D3872" s="5">
        <v>44954</v>
      </c>
    </row>
    <row r="3873" spans="2:4">
      <c r="B3873" s="6" t="s">
        <v>118</v>
      </c>
      <c r="C3873" s="6" t="s">
        <v>272</v>
      </c>
      <c r="D3873" s="5">
        <v>44954</v>
      </c>
    </row>
    <row r="3874" spans="2:4">
      <c r="B3874" s="6" t="s">
        <v>38</v>
      </c>
      <c r="C3874" s="6" t="s">
        <v>39</v>
      </c>
      <c r="D3874" s="5">
        <v>44954</v>
      </c>
    </row>
    <row r="3875" spans="2:4">
      <c r="B3875" s="6" t="s">
        <v>580</v>
      </c>
      <c r="C3875" s="6" t="s">
        <v>113</v>
      </c>
      <c r="D3875" s="5">
        <v>44954</v>
      </c>
    </row>
    <row r="3876" spans="2:4">
      <c r="B3876" s="6" t="s">
        <v>148</v>
      </c>
      <c r="C3876" s="6" t="s">
        <v>131</v>
      </c>
      <c r="D3876" s="5">
        <v>44954</v>
      </c>
    </row>
    <row r="3877" spans="2:4">
      <c r="B3877" s="6" t="s">
        <v>325</v>
      </c>
      <c r="C3877" s="6" t="s">
        <v>318</v>
      </c>
      <c r="D3877" s="5">
        <v>44954</v>
      </c>
    </row>
    <row r="3878" spans="2:4">
      <c r="B3878" s="6" t="s">
        <v>53</v>
      </c>
      <c r="C3878" s="6" t="s">
        <v>149</v>
      </c>
      <c r="D3878" s="5">
        <v>44954</v>
      </c>
    </row>
    <row r="3879" spans="2:4">
      <c r="B3879" s="6" t="s">
        <v>253</v>
      </c>
      <c r="C3879" s="6" t="s">
        <v>269</v>
      </c>
      <c r="D3879" s="5">
        <v>44954</v>
      </c>
    </row>
    <row r="3880" spans="2:4">
      <c r="B3880" s="6" t="s">
        <v>205</v>
      </c>
      <c r="C3880" s="6" t="s">
        <v>301</v>
      </c>
      <c r="D3880" s="5">
        <v>44954</v>
      </c>
    </row>
    <row r="3881" spans="2:4">
      <c r="B3881" s="6" t="s">
        <v>261</v>
      </c>
      <c r="C3881" s="6" t="s">
        <v>287</v>
      </c>
      <c r="D3881" s="5">
        <v>44954</v>
      </c>
    </row>
    <row r="3882" spans="2:4">
      <c r="B3882" s="6" t="s">
        <v>282</v>
      </c>
      <c r="C3882" s="6" t="s">
        <v>171</v>
      </c>
      <c r="D3882" s="5">
        <v>44954</v>
      </c>
    </row>
    <row r="3883" spans="2:4">
      <c r="B3883" s="6" t="s">
        <v>246</v>
      </c>
      <c r="C3883" s="6" t="s">
        <v>338</v>
      </c>
      <c r="D3883" s="5">
        <v>44954</v>
      </c>
    </row>
    <row r="3884" spans="2:4">
      <c r="B3884" s="6" t="s">
        <v>587</v>
      </c>
      <c r="C3884" s="6" t="s">
        <v>405</v>
      </c>
      <c r="D3884" s="5">
        <v>44954</v>
      </c>
    </row>
    <row r="3885" spans="2:4">
      <c r="B3885" s="6" t="s">
        <v>610</v>
      </c>
      <c r="C3885" s="6" t="s">
        <v>142</v>
      </c>
      <c r="D3885" s="5">
        <v>44954</v>
      </c>
    </row>
    <row r="3886" spans="2:4">
      <c r="B3886" s="6" t="s">
        <v>29</v>
      </c>
      <c r="C3886" s="6" t="s">
        <v>82</v>
      </c>
      <c r="D3886" s="5">
        <v>44954</v>
      </c>
    </row>
    <row r="3887" spans="2:4">
      <c r="B3887" s="6" t="s">
        <v>81</v>
      </c>
      <c r="C3887" s="6" t="s">
        <v>27</v>
      </c>
      <c r="D3887" s="5">
        <v>44954</v>
      </c>
    </row>
    <row r="3888" spans="2:4">
      <c r="B3888" s="6" t="s">
        <v>176</v>
      </c>
      <c r="C3888" s="6" t="s">
        <v>137</v>
      </c>
      <c r="D3888" s="5">
        <v>44954</v>
      </c>
    </row>
    <row r="3889" spans="2:4">
      <c r="B3889" s="6" t="s">
        <v>312</v>
      </c>
      <c r="C3889" s="6" t="s">
        <v>320</v>
      </c>
      <c r="D3889" s="5">
        <v>44954</v>
      </c>
    </row>
    <row r="3890" spans="2:4">
      <c r="B3890" s="6" t="s">
        <v>126</v>
      </c>
      <c r="C3890" s="6" t="s">
        <v>106</v>
      </c>
      <c r="D3890" s="5">
        <v>44954</v>
      </c>
    </row>
    <row r="3891" spans="2:4">
      <c r="B3891" s="6" t="s">
        <v>220</v>
      </c>
      <c r="C3891" s="6" t="s">
        <v>360</v>
      </c>
      <c r="D3891" s="5">
        <v>44954</v>
      </c>
    </row>
    <row r="3892" spans="2:4">
      <c r="B3892" s="6" t="s">
        <v>419</v>
      </c>
      <c r="C3892" s="6" t="s">
        <v>108</v>
      </c>
      <c r="D3892" s="5">
        <v>44954</v>
      </c>
    </row>
    <row r="3893" spans="2:4">
      <c r="B3893" s="6" t="s">
        <v>351</v>
      </c>
      <c r="C3893" s="6" t="s">
        <v>138</v>
      </c>
      <c r="D3893" s="5">
        <v>44954</v>
      </c>
    </row>
    <row r="3894" spans="2:4">
      <c r="B3894" s="6" t="s">
        <v>125</v>
      </c>
      <c r="C3894" s="6" t="s">
        <v>107</v>
      </c>
      <c r="D3894" s="5">
        <v>44954</v>
      </c>
    </row>
    <row r="3895" spans="2:4">
      <c r="B3895" s="6" t="s">
        <v>155</v>
      </c>
      <c r="C3895" s="6" t="s">
        <v>37</v>
      </c>
      <c r="D3895" s="5">
        <v>44954</v>
      </c>
    </row>
    <row r="3896" spans="2:4">
      <c r="B3896" s="6" t="s">
        <v>124</v>
      </c>
      <c r="C3896" s="6" t="s">
        <v>210</v>
      </c>
      <c r="D3896" s="5">
        <v>44954</v>
      </c>
    </row>
    <row r="3897" spans="2:4">
      <c r="B3897" s="6" t="s">
        <v>349</v>
      </c>
      <c r="C3897" s="6" t="s">
        <v>337</v>
      </c>
      <c r="D3897" s="5">
        <v>44954</v>
      </c>
    </row>
    <row r="3898" spans="2:4">
      <c r="B3898" s="6" t="s">
        <v>273</v>
      </c>
      <c r="C3898" s="6" t="s">
        <v>202</v>
      </c>
      <c r="D3898" s="5">
        <v>44954</v>
      </c>
    </row>
    <row r="3899" spans="2:4">
      <c r="B3899" s="6" t="s">
        <v>192</v>
      </c>
      <c r="C3899" s="6" t="s">
        <v>191</v>
      </c>
      <c r="D3899" s="5">
        <v>44954</v>
      </c>
    </row>
    <row r="3900" spans="2:4">
      <c r="B3900" s="6" t="s">
        <v>425</v>
      </c>
      <c r="C3900" s="6" t="s">
        <v>110</v>
      </c>
      <c r="D3900" s="5">
        <v>44954</v>
      </c>
    </row>
    <row r="3901" spans="2:4">
      <c r="B3901" s="6" t="s">
        <v>298</v>
      </c>
      <c r="C3901" s="6" t="s">
        <v>297</v>
      </c>
      <c r="D3901" s="5">
        <v>44954</v>
      </c>
    </row>
    <row r="3902" spans="2:4">
      <c r="B3902" s="6" t="s">
        <v>103</v>
      </c>
      <c r="C3902" s="6" t="s">
        <v>102</v>
      </c>
      <c r="D3902" s="5">
        <v>44954</v>
      </c>
    </row>
    <row r="3903" spans="2:4">
      <c r="B3903" s="6" t="s">
        <v>87</v>
      </c>
      <c r="C3903" s="6" t="s">
        <v>31</v>
      </c>
      <c r="D3903" s="5">
        <v>44954</v>
      </c>
    </row>
    <row r="3904" spans="2:4">
      <c r="B3904" s="6" t="s">
        <v>140</v>
      </c>
      <c r="C3904" s="6" t="s">
        <v>288</v>
      </c>
      <c r="D3904" s="5">
        <v>44954</v>
      </c>
    </row>
    <row r="3905" spans="2:4">
      <c r="B3905" s="6" t="s">
        <v>105</v>
      </c>
      <c r="C3905" s="6" t="s">
        <v>127</v>
      </c>
      <c r="D3905" s="5">
        <v>44954</v>
      </c>
    </row>
    <row r="3906" spans="2:4">
      <c r="B3906" s="6" t="s">
        <v>590</v>
      </c>
      <c r="C3906" s="6" t="s">
        <v>336</v>
      </c>
      <c r="D3906" s="5">
        <v>44954</v>
      </c>
    </row>
    <row r="3907" spans="2:4">
      <c r="B3907" s="6" t="s">
        <v>268</v>
      </c>
      <c r="C3907" s="6" t="s">
        <v>115</v>
      </c>
      <c r="D3907" s="5">
        <v>44954</v>
      </c>
    </row>
    <row r="3908" spans="2:4">
      <c r="B3908" s="6" t="s">
        <v>212</v>
      </c>
      <c r="C3908" s="6" t="s">
        <v>187</v>
      </c>
      <c r="D3908" s="5">
        <v>44954</v>
      </c>
    </row>
    <row r="3909" spans="2:4">
      <c r="B3909" s="6" t="s">
        <v>50</v>
      </c>
      <c r="C3909" s="6" t="s">
        <v>44</v>
      </c>
      <c r="D3909" s="5">
        <v>44954</v>
      </c>
    </row>
    <row r="3910" spans="2:4">
      <c r="B3910" s="6" t="s">
        <v>65</v>
      </c>
      <c r="C3910" s="6" t="s">
        <v>60</v>
      </c>
      <c r="D3910" s="5">
        <v>44954</v>
      </c>
    </row>
    <row r="3911" spans="2:4">
      <c r="B3911" s="6" t="s">
        <v>347</v>
      </c>
      <c r="C3911" s="6" t="s">
        <v>710</v>
      </c>
      <c r="D3911" s="5">
        <v>44954</v>
      </c>
    </row>
    <row r="3912" spans="2:4">
      <c r="B3912" s="6" t="s">
        <v>143</v>
      </c>
      <c r="C3912" s="6" t="s">
        <v>195</v>
      </c>
      <c r="D3912" s="5">
        <v>44954</v>
      </c>
    </row>
    <row r="3913" spans="2:4">
      <c r="B3913" s="6" t="s">
        <v>175</v>
      </c>
      <c r="C3913" s="6" t="s">
        <v>410</v>
      </c>
      <c r="D3913" s="5">
        <v>44954</v>
      </c>
    </row>
    <row r="3914" spans="2:4">
      <c r="B3914" s="6" t="s">
        <v>316</v>
      </c>
      <c r="C3914" s="6" t="s">
        <v>150</v>
      </c>
      <c r="D3914" s="5">
        <v>44954</v>
      </c>
    </row>
    <row r="3915" spans="2:4">
      <c r="B3915" s="6" t="s">
        <v>330</v>
      </c>
      <c r="C3915" s="6" t="s">
        <v>385</v>
      </c>
      <c r="D3915" s="5">
        <v>44954</v>
      </c>
    </row>
    <row r="3916" spans="2:4">
      <c r="B3916" s="6" t="s">
        <v>305</v>
      </c>
      <c r="C3916" s="6" t="s">
        <v>370</v>
      </c>
      <c r="D3916" s="5">
        <v>44954</v>
      </c>
    </row>
    <row r="3917" spans="2:4">
      <c r="B3917" s="6" t="s">
        <v>209</v>
      </c>
      <c r="C3917" s="6" t="s">
        <v>247</v>
      </c>
      <c r="D3917" s="5">
        <v>44954</v>
      </c>
    </row>
    <row r="3918" spans="2:4">
      <c r="B3918" s="6" t="s">
        <v>85</v>
      </c>
      <c r="C3918" s="6" t="s">
        <v>34</v>
      </c>
      <c r="D3918" s="5">
        <v>44954</v>
      </c>
    </row>
    <row r="3919" spans="2:4">
      <c r="B3919" s="6" t="s">
        <v>214</v>
      </c>
      <c r="C3919" s="6" t="s">
        <v>200</v>
      </c>
      <c r="D3919" s="5">
        <v>44954</v>
      </c>
    </row>
    <row r="3920" spans="2:4">
      <c r="B3920" s="6" t="s">
        <v>170</v>
      </c>
      <c r="C3920" s="6" t="s">
        <v>308</v>
      </c>
      <c r="D3920" s="5">
        <v>44954</v>
      </c>
    </row>
    <row r="3921" spans="2:4">
      <c r="B3921" s="6" t="s">
        <v>232</v>
      </c>
      <c r="C3921" s="6" t="s">
        <v>314</v>
      </c>
      <c r="D3921" s="5">
        <v>44954</v>
      </c>
    </row>
    <row r="3922" spans="2:4">
      <c r="B3922" s="6" t="s">
        <v>264</v>
      </c>
      <c r="C3922" s="6" t="s">
        <v>238</v>
      </c>
      <c r="D3922" s="5">
        <v>44954</v>
      </c>
    </row>
    <row r="3923" spans="2:4">
      <c r="B3923" s="6" t="s">
        <v>335</v>
      </c>
      <c r="C3923" s="6" t="s">
        <v>116</v>
      </c>
      <c r="D3923" s="5">
        <v>44954</v>
      </c>
    </row>
    <row r="3924" spans="2:4">
      <c r="B3924" s="6" t="s">
        <v>421</v>
      </c>
      <c r="C3924" s="6" t="s">
        <v>313</v>
      </c>
      <c r="D3924" s="5">
        <v>44954</v>
      </c>
    </row>
    <row r="3925" spans="2:4">
      <c r="B3925" s="6" t="s">
        <v>49</v>
      </c>
      <c r="C3925" s="6" t="s">
        <v>48</v>
      </c>
      <c r="D3925" s="5">
        <v>44954</v>
      </c>
    </row>
    <row r="3926" spans="2:4">
      <c r="B3926" s="6" t="s">
        <v>368</v>
      </c>
      <c r="C3926" s="6" t="s">
        <v>373</v>
      </c>
      <c r="D3926" s="5">
        <v>44954</v>
      </c>
    </row>
    <row r="3927" spans="2:4">
      <c r="B3927" s="6" t="s">
        <v>310</v>
      </c>
      <c r="C3927" s="6" t="s">
        <v>276</v>
      </c>
      <c r="D3927" s="5">
        <v>44954</v>
      </c>
    </row>
    <row r="3928" spans="2:4">
      <c r="B3928" s="6" t="s">
        <v>42</v>
      </c>
      <c r="C3928" s="6" t="s">
        <v>36</v>
      </c>
      <c r="D3928" s="5">
        <v>44954</v>
      </c>
    </row>
    <row r="3929" spans="2:4">
      <c r="B3929" s="6" t="s">
        <v>300</v>
      </c>
      <c r="C3929" s="6" t="s">
        <v>284</v>
      </c>
      <c r="D3929" s="5">
        <v>44954</v>
      </c>
    </row>
    <row r="3930" spans="2:4">
      <c r="B3930" s="6" t="s">
        <v>383</v>
      </c>
      <c r="C3930" s="6" t="s">
        <v>375</v>
      </c>
      <c r="D3930" s="5">
        <v>44954</v>
      </c>
    </row>
    <row r="3931" spans="2:4">
      <c r="B3931" s="6" t="s">
        <v>436</v>
      </c>
      <c r="C3931" s="6" t="s">
        <v>104</v>
      </c>
      <c r="D3931" s="5">
        <v>44954</v>
      </c>
    </row>
    <row r="3932" spans="2:4">
      <c r="B3932" s="6" t="s">
        <v>306</v>
      </c>
      <c r="C3932" s="6" t="s">
        <v>194</v>
      </c>
      <c r="D3932" s="5">
        <v>44954</v>
      </c>
    </row>
    <row r="3933" spans="2:4">
      <c r="B3933" s="6" t="s">
        <v>409</v>
      </c>
      <c r="C3933" s="6" t="s">
        <v>333</v>
      </c>
      <c r="D3933" s="5">
        <v>44954</v>
      </c>
    </row>
    <row r="3934" spans="2:4">
      <c r="B3934" s="6" t="s">
        <v>294</v>
      </c>
      <c r="C3934" s="6" t="s">
        <v>136</v>
      </c>
      <c r="D3934" s="5">
        <v>44954</v>
      </c>
    </row>
    <row r="3935" spans="2:4">
      <c r="B3935" s="6" t="s">
        <v>304</v>
      </c>
      <c r="C3935" s="6" t="s">
        <v>240</v>
      </c>
      <c r="D3935" s="5">
        <v>44954</v>
      </c>
    </row>
    <row r="3936" spans="2:4">
      <c r="B3936" s="6" t="s">
        <v>256</v>
      </c>
      <c r="C3936" s="6" t="s">
        <v>358</v>
      </c>
      <c r="D3936" s="5">
        <v>44954</v>
      </c>
    </row>
    <row r="3937" spans="2:4">
      <c r="B3937" s="6" t="s">
        <v>123</v>
      </c>
      <c r="C3937" s="6" t="s">
        <v>413</v>
      </c>
      <c r="D3937" s="5">
        <v>44954</v>
      </c>
    </row>
    <row r="3938" spans="2:4">
      <c r="B3938" s="6" t="s">
        <v>129</v>
      </c>
      <c r="C3938" s="6" t="s">
        <v>146</v>
      </c>
      <c r="D3938" s="5">
        <v>44954</v>
      </c>
    </row>
    <row r="3939" spans="2:4">
      <c r="B3939" s="6" t="s">
        <v>432</v>
      </c>
      <c r="C3939" s="6" t="s">
        <v>178</v>
      </c>
      <c r="D3939" s="5">
        <v>44954</v>
      </c>
    </row>
    <row r="3940" spans="2:4">
      <c r="B3940" s="6" t="s">
        <v>179</v>
      </c>
      <c r="C3940" s="6" t="s">
        <v>99</v>
      </c>
      <c r="D3940" s="5">
        <v>44954</v>
      </c>
    </row>
    <row r="3941" spans="2:4">
      <c r="B3941" s="6" t="s">
        <v>420</v>
      </c>
      <c r="C3941" s="6" t="s">
        <v>141</v>
      </c>
      <c r="D3941" s="5">
        <v>44954</v>
      </c>
    </row>
    <row r="3942" spans="2:4">
      <c r="B3942" s="6" t="s">
        <v>403</v>
      </c>
      <c r="C3942" s="6" t="s">
        <v>426</v>
      </c>
      <c r="D3942" s="5">
        <v>44954</v>
      </c>
    </row>
    <row r="3943" spans="2:4">
      <c r="B3943" s="6" t="s">
        <v>355</v>
      </c>
      <c r="C3943" s="6" t="s">
        <v>120</v>
      </c>
      <c r="D3943" s="5">
        <v>44954</v>
      </c>
    </row>
    <row r="3944" spans="2:4">
      <c r="B3944" s="6" t="s">
        <v>353</v>
      </c>
      <c r="C3944" s="6" t="s">
        <v>147</v>
      </c>
      <c r="D3944" s="5">
        <v>44954</v>
      </c>
    </row>
    <row r="3945" spans="2:4">
      <c r="B3945" s="6" t="s">
        <v>640</v>
      </c>
      <c r="C3945" s="6" t="s">
        <v>342</v>
      </c>
      <c r="D3945" s="5">
        <v>44954</v>
      </c>
    </row>
    <row r="3946" spans="2:4">
      <c r="B3946" s="6" t="s">
        <v>343</v>
      </c>
      <c r="C3946" s="6" t="s">
        <v>94</v>
      </c>
      <c r="D3946" s="5">
        <v>44954</v>
      </c>
    </row>
    <row r="3947" spans="2:4">
      <c r="B3947" s="6" t="s">
        <v>56</v>
      </c>
      <c r="C3947" s="6" t="s">
        <v>67</v>
      </c>
      <c r="D3947" s="5">
        <v>44954</v>
      </c>
    </row>
    <row r="3948" spans="2:4">
      <c r="B3948" s="6" t="s">
        <v>400</v>
      </c>
      <c r="C3948" s="6" t="s">
        <v>109</v>
      </c>
      <c r="D3948" s="5">
        <v>44954</v>
      </c>
    </row>
    <row r="3949" spans="2:4">
      <c r="B3949" s="6" t="s">
        <v>286</v>
      </c>
      <c r="C3949" s="6" t="s">
        <v>367</v>
      </c>
      <c r="D3949" s="5">
        <v>44954</v>
      </c>
    </row>
    <row r="3950" spans="2:4">
      <c r="B3950" s="6" t="s">
        <v>250</v>
      </c>
      <c r="C3950" s="6" t="s">
        <v>615</v>
      </c>
      <c r="D3950" s="5">
        <v>44954</v>
      </c>
    </row>
    <row r="3951" spans="2:4">
      <c r="B3951" s="6" t="s">
        <v>329</v>
      </c>
      <c r="C3951" s="6" t="s">
        <v>321</v>
      </c>
      <c r="D3951" s="5">
        <v>44954</v>
      </c>
    </row>
    <row r="3952" spans="2:4">
      <c r="B3952" s="6" t="s">
        <v>309</v>
      </c>
      <c r="C3952" s="6" t="s">
        <v>603</v>
      </c>
      <c r="D3952" s="5">
        <v>44954</v>
      </c>
    </row>
    <row r="3953" spans="2:4">
      <c r="B3953" s="6" t="s">
        <v>45</v>
      </c>
      <c r="C3953" s="6" t="s">
        <v>51</v>
      </c>
      <c r="D3953" s="5">
        <v>44954</v>
      </c>
    </row>
    <row r="3954" spans="2:4">
      <c r="B3954" s="6" t="s">
        <v>233</v>
      </c>
      <c r="C3954" s="6" t="s">
        <v>244</v>
      </c>
      <c r="D3954" s="5">
        <v>44954</v>
      </c>
    </row>
    <row r="3955" spans="2:4">
      <c r="B3955" s="6" t="s">
        <v>134</v>
      </c>
      <c r="C3955" s="6" t="s">
        <v>183</v>
      </c>
      <c r="D3955" s="5">
        <v>44954</v>
      </c>
    </row>
    <row r="3956" spans="2:4">
      <c r="B3956" s="6" t="s">
        <v>295</v>
      </c>
      <c r="C3956" s="6" t="s">
        <v>319</v>
      </c>
      <c r="D3956" s="5">
        <v>44954</v>
      </c>
    </row>
    <row r="3957" spans="2:4">
      <c r="B3957" s="6" t="s">
        <v>160</v>
      </c>
      <c r="C3957" s="6" t="s">
        <v>427</v>
      </c>
      <c r="D3957" s="5">
        <v>44954</v>
      </c>
    </row>
    <row r="3958" spans="2:4">
      <c r="B3958" s="6" t="s">
        <v>158</v>
      </c>
      <c r="C3958" s="6" t="s">
        <v>153</v>
      </c>
      <c r="D3958" s="5">
        <v>44954</v>
      </c>
    </row>
    <row r="3959" spans="2:4">
      <c r="B3959" s="6" t="s">
        <v>393</v>
      </c>
      <c r="C3959" s="6" t="s">
        <v>206</v>
      </c>
      <c r="D3959" s="5">
        <v>44954</v>
      </c>
    </row>
    <row r="3960" spans="2:4">
      <c r="B3960" s="6" t="s">
        <v>71</v>
      </c>
      <c r="C3960" s="6" t="s">
        <v>70</v>
      </c>
      <c r="D3960" s="5">
        <v>44954</v>
      </c>
    </row>
    <row r="3961" spans="2:4">
      <c r="B3961" s="6" t="s">
        <v>588</v>
      </c>
      <c r="C3961" s="6" t="s">
        <v>584</v>
      </c>
      <c r="D3961" s="5">
        <v>44954</v>
      </c>
    </row>
    <row r="3962" spans="2:4">
      <c r="B3962" s="6" t="s">
        <v>290</v>
      </c>
      <c r="C3962" s="6" t="s">
        <v>424</v>
      </c>
      <c r="D3962" s="5">
        <v>44954</v>
      </c>
    </row>
    <row r="3963" spans="2:4">
      <c r="B3963" s="6" t="s">
        <v>96</v>
      </c>
      <c r="C3963" s="6" t="s">
        <v>277</v>
      </c>
      <c r="D3963" s="5">
        <v>44954</v>
      </c>
    </row>
    <row r="3964" spans="2:4">
      <c r="B3964" s="6" t="s">
        <v>135</v>
      </c>
      <c r="C3964" s="6" t="s">
        <v>376</v>
      </c>
      <c r="D3964" s="5">
        <v>44954</v>
      </c>
    </row>
    <row r="3965" spans="2:4">
      <c r="B3965" s="6" t="s">
        <v>89</v>
      </c>
      <c r="C3965" s="6" t="s">
        <v>90</v>
      </c>
      <c r="D3965" s="5">
        <v>44954</v>
      </c>
    </row>
    <row r="3966" spans="2:4">
      <c r="B3966" s="6" t="s">
        <v>121</v>
      </c>
      <c r="C3966" s="6" t="s">
        <v>252</v>
      </c>
      <c r="D3966" s="5">
        <v>44954</v>
      </c>
    </row>
    <row r="3967" spans="2:4">
      <c r="B3967" s="6" t="s">
        <v>33</v>
      </c>
      <c r="C3967" s="6" t="s">
        <v>79</v>
      </c>
      <c r="D3967" s="5">
        <v>44954</v>
      </c>
    </row>
    <row r="3968" spans="2:4">
      <c r="B3968" s="6" t="s">
        <v>173</v>
      </c>
      <c r="C3968" s="6" t="s">
        <v>354</v>
      </c>
      <c r="D3968" s="5">
        <v>44954</v>
      </c>
    </row>
    <row r="3969" spans="2:4">
      <c r="B3969" s="6" t="s">
        <v>332</v>
      </c>
      <c r="C3969" s="6" t="s">
        <v>303</v>
      </c>
      <c r="D3969" s="5">
        <v>44954</v>
      </c>
    </row>
    <row r="3970" spans="2:4">
      <c r="B3970" s="6" t="s">
        <v>382</v>
      </c>
      <c r="C3970" s="6" t="s">
        <v>364</v>
      </c>
      <c r="D3970" s="5">
        <v>44954</v>
      </c>
    </row>
    <row r="3971" spans="2:4">
      <c r="B3971" s="6" t="s">
        <v>181</v>
      </c>
      <c r="C3971" s="6" t="s">
        <v>156</v>
      </c>
      <c r="D3971" s="5">
        <v>44954</v>
      </c>
    </row>
    <row r="3972" spans="2:4">
      <c r="B3972" s="6" t="s">
        <v>161</v>
      </c>
      <c r="C3972" s="6" t="s">
        <v>132</v>
      </c>
      <c r="D3972" s="5">
        <v>44954</v>
      </c>
    </row>
    <row r="3973" spans="2:4">
      <c r="B3973" s="6" t="s">
        <v>139</v>
      </c>
      <c r="C3973" s="6" t="s">
        <v>213</v>
      </c>
      <c r="D3973" s="5">
        <v>44954</v>
      </c>
    </row>
    <row r="3974" spans="2:4">
      <c r="B3974" s="6" t="s">
        <v>274</v>
      </c>
      <c r="C3974" s="6" t="s">
        <v>242</v>
      </c>
      <c r="D3974" s="5">
        <v>44954</v>
      </c>
    </row>
    <row r="3975" spans="2:4">
      <c r="B3975" s="6" t="s">
        <v>52</v>
      </c>
      <c r="C3975" s="6" t="s">
        <v>47</v>
      </c>
      <c r="D3975" s="5">
        <v>44954</v>
      </c>
    </row>
    <row r="3976" spans="2:4">
      <c r="B3976" s="6" t="s">
        <v>215</v>
      </c>
      <c r="C3976" s="6" t="s">
        <v>174</v>
      </c>
      <c r="D3976" s="5">
        <v>44954</v>
      </c>
    </row>
    <row r="3977" spans="2:4">
      <c r="B3977" s="6" t="s">
        <v>100</v>
      </c>
      <c r="C3977" s="6" t="s">
        <v>97</v>
      </c>
      <c r="D3977" s="5">
        <v>44954</v>
      </c>
    </row>
    <row r="3978" spans="2:4">
      <c r="B3978" s="6" t="s">
        <v>394</v>
      </c>
      <c r="C3978" s="6" t="s">
        <v>168</v>
      </c>
      <c r="D3978" s="5">
        <v>44954</v>
      </c>
    </row>
    <row r="3979" spans="2:4">
      <c r="B3979" s="6" t="s">
        <v>345</v>
      </c>
      <c r="C3979" s="6" t="s">
        <v>607</v>
      </c>
      <c r="D3979" s="5">
        <v>44954</v>
      </c>
    </row>
    <row r="3980" spans="2:4">
      <c r="B3980" s="6" t="s">
        <v>193</v>
      </c>
      <c r="C3980" s="6" t="s">
        <v>259</v>
      </c>
      <c r="D3980" s="5">
        <v>44954</v>
      </c>
    </row>
    <row r="3981" spans="2:4">
      <c r="B3981" s="6" t="s">
        <v>266</v>
      </c>
      <c r="C3981" s="6" t="s">
        <v>324</v>
      </c>
      <c r="D3981" s="5">
        <v>44954</v>
      </c>
    </row>
    <row r="3982" spans="2:4">
      <c r="B3982" s="6" t="s">
        <v>201</v>
      </c>
      <c r="C3982" s="6" t="s">
        <v>292</v>
      </c>
      <c r="D3982" s="5">
        <v>44954</v>
      </c>
    </row>
    <row r="3983" spans="2:4">
      <c r="B3983" s="6" t="s">
        <v>255</v>
      </c>
      <c r="C3983" s="6" t="s">
        <v>248</v>
      </c>
      <c r="D3983" s="5">
        <v>44954</v>
      </c>
    </row>
    <row r="3984" spans="2:4">
      <c r="B3984" s="6" t="s">
        <v>344</v>
      </c>
      <c r="C3984" s="6" t="s">
        <v>159</v>
      </c>
      <c r="D3984" s="5">
        <v>44954</v>
      </c>
    </row>
    <row r="3985" spans="2:4">
      <c r="B3985" s="6" t="s">
        <v>80</v>
      </c>
      <c r="C3985" s="6" t="s">
        <v>26</v>
      </c>
      <c r="D3985" s="5">
        <v>44954</v>
      </c>
    </row>
    <row r="3986" spans="2:4">
      <c r="B3986" s="6" t="s">
        <v>62</v>
      </c>
      <c r="C3986" s="6" t="s">
        <v>57</v>
      </c>
      <c r="D3986" s="5">
        <v>44954</v>
      </c>
    </row>
    <row r="3987" spans="2:4">
      <c r="B3987" s="6" t="s">
        <v>69</v>
      </c>
      <c r="C3987" s="6" t="s">
        <v>77</v>
      </c>
      <c r="D3987" s="5">
        <v>44954</v>
      </c>
    </row>
    <row r="3988" spans="2:4">
      <c r="B3988" s="6" t="s">
        <v>78</v>
      </c>
      <c r="C3988" s="6" t="s">
        <v>73</v>
      </c>
      <c r="D3988" s="5">
        <v>44954</v>
      </c>
    </row>
    <row r="3989" spans="2:4">
      <c r="B3989" s="6" t="s">
        <v>162</v>
      </c>
      <c r="C3989" s="6" t="s">
        <v>386</v>
      </c>
      <c r="D3989" s="5">
        <v>44954</v>
      </c>
    </row>
    <row r="3990" spans="2:4">
      <c r="B3990" s="6" t="s">
        <v>388</v>
      </c>
      <c r="C3990" s="6" t="s">
        <v>381</v>
      </c>
      <c r="D3990" s="5">
        <v>44954</v>
      </c>
    </row>
    <row r="3991" spans="2:4">
      <c r="B3991" s="6" t="s">
        <v>322</v>
      </c>
      <c r="C3991" s="6" t="s">
        <v>88</v>
      </c>
      <c r="D3991" s="5">
        <v>44954</v>
      </c>
    </row>
    <row r="3992" spans="2:4">
      <c r="B3992" s="6" t="s">
        <v>365</v>
      </c>
      <c r="C3992" s="6" t="s">
        <v>289</v>
      </c>
      <c r="D3992" s="5">
        <v>44954</v>
      </c>
    </row>
    <row r="3993" spans="2:4">
      <c r="B3993" s="6" t="s">
        <v>348</v>
      </c>
      <c r="C3993" s="6" t="s">
        <v>208</v>
      </c>
      <c r="D3993" s="5">
        <v>44954</v>
      </c>
    </row>
    <row r="3994" spans="2:4">
      <c r="B3994" s="6" t="s">
        <v>184</v>
      </c>
      <c r="C3994" s="6" t="s">
        <v>357</v>
      </c>
      <c r="D3994" s="5">
        <v>44954</v>
      </c>
    </row>
    <row r="3995" spans="2:4">
      <c r="B3995" s="6" t="s">
        <v>331</v>
      </c>
      <c r="C3995" s="6" t="s">
        <v>151</v>
      </c>
      <c r="D3995" s="5">
        <v>44954</v>
      </c>
    </row>
    <row r="3996" spans="2:4">
      <c r="B3996" s="6" t="s">
        <v>154</v>
      </c>
      <c r="C3996" s="6" t="s">
        <v>236</v>
      </c>
      <c r="D3996" s="5">
        <v>44954</v>
      </c>
    </row>
    <row r="3997" spans="2:4">
      <c r="B3997" s="6" t="s">
        <v>91</v>
      </c>
      <c r="C3997" s="6" t="s">
        <v>185</v>
      </c>
      <c r="D3997" s="5">
        <v>44954</v>
      </c>
    </row>
    <row r="3998" spans="2:4">
      <c r="B3998" s="6" t="s">
        <v>392</v>
      </c>
      <c r="C3998" s="6" t="s">
        <v>433</v>
      </c>
      <c r="D3998" s="5">
        <v>44954</v>
      </c>
    </row>
    <row r="3999" spans="2:4">
      <c r="B3999" s="6" t="s">
        <v>249</v>
      </c>
      <c r="C3999" s="6" t="s">
        <v>399</v>
      </c>
      <c r="D3999" s="5">
        <v>44954</v>
      </c>
    </row>
    <row r="4000" spans="2:4">
      <c r="B4000" s="6" t="s">
        <v>93</v>
      </c>
      <c r="C4000" s="6" t="s">
        <v>164</v>
      </c>
      <c r="D4000" s="5">
        <v>44954</v>
      </c>
    </row>
    <row r="4001" spans="2:4">
      <c r="B4001" s="6" t="s">
        <v>163</v>
      </c>
      <c r="C4001" s="6" t="s">
        <v>169</v>
      </c>
      <c r="D4001" s="5">
        <v>44954</v>
      </c>
    </row>
    <row r="4002" spans="2:4">
      <c r="B4002" s="6" t="s">
        <v>166</v>
      </c>
      <c r="C4002" s="6" t="s">
        <v>404</v>
      </c>
      <c r="D4002" s="5">
        <v>44954</v>
      </c>
    </row>
    <row r="4003" spans="2:4">
      <c r="B4003" s="6" t="s">
        <v>157</v>
      </c>
      <c r="C4003" s="6" t="s">
        <v>398</v>
      </c>
      <c r="D4003" s="5">
        <v>44954</v>
      </c>
    </row>
    <row r="4004" spans="2:4">
      <c r="B4004" s="6" t="s">
        <v>207</v>
      </c>
      <c r="C4004" s="6" t="s">
        <v>621</v>
      </c>
      <c r="D4004" s="5">
        <v>44954</v>
      </c>
    </row>
    <row r="4005" spans="2:4">
      <c r="B4005" s="6" t="s">
        <v>389</v>
      </c>
      <c r="C4005" s="6" t="s">
        <v>391</v>
      </c>
      <c r="D4005" s="5">
        <v>44954</v>
      </c>
    </row>
    <row r="4006" spans="2:4">
      <c r="B4006" s="6" t="s">
        <v>402</v>
      </c>
      <c r="C4006" s="6" t="s">
        <v>190</v>
      </c>
      <c r="D4006" s="5">
        <v>44954</v>
      </c>
    </row>
    <row r="4007" spans="2:4">
      <c r="B4007" s="6" t="s">
        <v>76</v>
      </c>
      <c r="C4007" s="6" t="s">
        <v>72</v>
      </c>
      <c r="D4007" s="5">
        <v>44954</v>
      </c>
    </row>
    <row r="4008" spans="2:4">
      <c r="B4008" s="6" t="s">
        <v>428</v>
      </c>
      <c r="C4008" s="6" t="s">
        <v>586</v>
      </c>
      <c r="D4008" s="5">
        <v>44954</v>
      </c>
    </row>
    <row r="4009" spans="2:4">
      <c r="B4009" s="6" t="s">
        <v>35</v>
      </c>
      <c r="C4009" s="6" t="s">
        <v>40</v>
      </c>
      <c r="D4009" s="5">
        <v>44955</v>
      </c>
    </row>
    <row r="4010" spans="2:4">
      <c r="B4010" s="6" t="s">
        <v>66</v>
      </c>
      <c r="C4010" s="6" t="s">
        <v>59</v>
      </c>
      <c r="D4010" s="5">
        <v>44955</v>
      </c>
    </row>
    <row r="4011" spans="2:4">
      <c r="B4011" s="6" t="s">
        <v>275</v>
      </c>
      <c r="C4011" s="6" t="s">
        <v>352</v>
      </c>
      <c r="D4011" s="5">
        <v>44955</v>
      </c>
    </row>
    <row r="4012" spans="2:4">
      <c r="B4012" s="6" t="s">
        <v>114</v>
      </c>
      <c r="C4012" s="6" t="s">
        <v>278</v>
      </c>
      <c r="D4012" s="5">
        <v>44955</v>
      </c>
    </row>
    <row r="4013" spans="2:4">
      <c r="B4013" s="6" t="s">
        <v>281</v>
      </c>
      <c r="C4013" s="6" t="s">
        <v>334</v>
      </c>
      <c r="D4013" s="5">
        <v>44955</v>
      </c>
    </row>
    <row r="4014" spans="2:4">
      <c r="B4014" s="6" t="s">
        <v>58</v>
      </c>
      <c r="C4014" s="6" t="s">
        <v>55</v>
      </c>
      <c r="D4014" s="5">
        <v>44955</v>
      </c>
    </row>
    <row r="4015" spans="2:4">
      <c r="B4015" s="6" t="s">
        <v>285</v>
      </c>
      <c r="C4015" s="6" t="s">
        <v>216</v>
      </c>
      <c r="D4015" s="5">
        <v>44955</v>
      </c>
    </row>
    <row r="4016" spans="2:4">
      <c r="B4016" s="6" t="s">
        <v>211</v>
      </c>
      <c r="C4016" s="6" t="s">
        <v>230</v>
      </c>
      <c r="D4016" s="5">
        <v>44955</v>
      </c>
    </row>
    <row r="4017" spans="2:4">
      <c r="B4017" s="6" t="s">
        <v>412</v>
      </c>
      <c r="C4017" s="6" t="s">
        <v>101</v>
      </c>
      <c r="D4017" s="5">
        <v>44955</v>
      </c>
    </row>
    <row r="4018" spans="2:4">
      <c r="B4018" s="6" t="s">
        <v>361</v>
      </c>
      <c r="C4018" s="6" t="s">
        <v>130</v>
      </c>
      <c r="D4018" s="5">
        <v>44955</v>
      </c>
    </row>
    <row r="4019" spans="2:4">
      <c r="B4019" s="6" t="s">
        <v>112</v>
      </c>
      <c r="C4019" s="6" t="s">
        <v>117</v>
      </c>
      <c r="D4019" s="5">
        <v>44955</v>
      </c>
    </row>
    <row r="4020" spans="2:4">
      <c r="B4020" s="6" t="s">
        <v>302</v>
      </c>
      <c r="C4020" s="6" t="s">
        <v>41</v>
      </c>
      <c r="D4020" s="5">
        <v>44955</v>
      </c>
    </row>
    <row r="4021" spans="2:4">
      <c r="B4021" s="6" t="s">
        <v>61</v>
      </c>
      <c r="C4021" s="6" t="s">
        <v>64</v>
      </c>
      <c r="D4021" s="5">
        <v>44955</v>
      </c>
    </row>
    <row r="4022" spans="2:4">
      <c r="B4022" s="6" t="s">
        <v>418</v>
      </c>
      <c r="C4022" s="6" t="s">
        <v>422</v>
      </c>
      <c r="D4022" s="5">
        <v>44955</v>
      </c>
    </row>
    <row r="4023" spans="2:4">
      <c r="B4023" s="6" t="s">
        <v>326</v>
      </c>
      <c r="C4023" s="6" t="s">
        <v>241</v>
      </c>
      <c r="D4023" s="5">
        <v>44955</v>
      </c>
    </row>
    <row r="4024" spans="2:4">
      <c r="B4024" s="6" t="s">
        <v>186</v>
      </c>
      <c r="C4024" s="6" t="s">
        <v>363</v>
      </c>
      <c r="D4024" s="5">
        <v>44955</v>
      </c>
    </row>
    <row r="4025" spans="2:4">
      <c r="B4025" s="6" t="s">
        <v>280</v>
      </c>
      <c r="C4025" s="6" t="s">
        <v>119</v>
      </c>
      <c r="D4025" s="5">
        <v>44955</v>
      </c>
    </row>
    <row r="4026" spans="2:4">
      <c r="B4026" s="6" t="s">
        <v>267</v>
      </c>
      <c r="C4026" s="6" t="s">
        <v>111</v>
      </c>
      <c r="D4026" s="5">
        <v>44955</v>
      </c>
    </row>
    <row r="4027" spans="2:4">
      <c r="B4027" s="6" t="s">
        <v>397</v>
      </c>
      <c r="C4027" s="6" t="s">
        <v>172</v>
      </c>
      <c r="D4027" s="5">
        <v>44955</v>
      </c>
    </row>
    <row r="4028" spans="2:4">
      <c r="B4028" s="6" t="s">
        <v>341</v>
      </c>
      <c r="C4028" s="6" t="s">
        <v>231</v>
      </c>
      <c r="D4028" s="5">
        <v>44955</v>
      </c>
    </row>
    <row r="4029" spans="2:4">
      <c r="B4029" s="6" t="s">
        <v>95</v>
      </c>
      <c r="C4029" s="6" t="s">
        <v>144</v>
      </c>
      <c r="D4029" s="5">
        <v>44955</v>
      </c>
    </row>
    <row r="4030" spans="2:4">
      <c r="B4030" s="6" t="s">
        <v>47</v>
      </c>
      <c r="C4030" s="6" t="s">
        <v>188</v>
      </c>
      <c r="D4030" s="5">
        <v>44956</v>
      </c>
    </row>
    <row r="4031" spans="2:4">
      <c r="B4031" s="6" t="s">
        <v>282</v>
      </c>
      <c r="C4031" s="6" t="s">
        <v>347</v>
      </c>
      <c r="D4031" s="5">
        <v>44956</v>
      </c>
    </row>
    <row r="4032" spans="2:4">
      <c r="B4032" s="6" t="s">
        <v>176</v>
      </c>
      <c r="C4032" s="6" t="s">
        <v>580</v>
      </c>
      <c r="D4032" s="5">
        <v>44956</v>
      </c>
    </row>
    <row r="4033" spans="2:4">
      <c r="B4033" s="6" t="s">
        <v>310</v>
      </c>
      <c r="C4033" s="6" t="s">
        <v>277</v>
      </c>
      <c r="D4033" s="5">
        <v>44956</v>
      </c>
    </row>
    <row r="4034" spans="2:4">
      <c r="B4034" s="6" t="s">
        <v>96</v>
      </c>
      <c r="C4034" s="6" t="s">
        <v>276</v>
      </c>
      <c r="D4034" s="5">
        <v>44956</v>
      </c>
    </row>
    <row r="4035" spans="2:4">
      <c r="B4035" s="6" t="s">
        <v>238</v>
      </c>
      <c r="C4035" s="6" t="s">
        <v>335</v>
      </c>
      <c r="D4035" s="5">
        <v>44956</v>
      </c>
    </row>
    <row r="4036" spans="2:4">
      <c r="B4036" s="6" t="s">
        <v>232</v>
      </c>
      <c r="C4036" s="6" t="s">
        <v>308</v>
      </c>
      <c r="D4036" s="5">
        <v>44956</v>
      </c>
    </row>
    <row r="4037" spans="2:4">
      <c r="B4037" s="6" t="s">
        <v>170</v>
      </c>
      <c r="C4037" s="6" t="s">
        <v>314</v>
      </c>
      <c r="D4037" s="5">
        <v>44956</v>
      </c>
    </row>
    <row r="4038" spans="2:4">
      <c r="B4038" s="6" t="s">
        <v>116</v>
      </c>
      <c r="C4038" s="6" t="s">
        <v>264</v>
      </c>
      <c r="D4038" s="5">
        <v>44956</v>
      </c>
    </row>
    <row r="4039" spans="2:4">
      <c r="B4039" s="6" t="s">
        <v>382</v>
      </c>
      <c r="C4039" s="6" t="s">
        <v>156</v>
      </c>
      <c r="D4039" s="5">
        <v>44956</v>
      </c>
    </row>
    <row r="4040" spans="2:4">
      <c r="B4040" s="6" t="s">
        <v>30</v>
      </c>
      <c r="C4040" s="6" t="s">
        <v>28</v>
      </c>
      <c r="D4040" s="5">
        <v>44956</v>
      </c>
    </row>
    <row r="4041" spans="2:4">
      <c r="B4041" s="6" t="s">
        <v>27</v>
      </c>
      <c r="C4041" s="6" t="s">
        <v>31</v>
      </c>
      <c r="D4041" s="5">
        <v>44956</v>
      </c>
    </row>
    <row r="4042" spans="2:4">
      <c r="B4042" s="6" t="s">
        <v>181</v>
      </c>
      <c r="C4042" s="6" t="s">
        <v>364</v>
      </c>
      <c r="D4042" s="5">
        <v>44956</v>
      </c>
    </row>
    <row r="4043" spans="2:4">
      <c r="B4043" s="6" t="s">
        <v>203</v>
      </c>
      <c r="C4043" s="6" t="s">
        <v>105</v>
      </c>
      <c r="D4043" s="5">
        <v>44957</v>
      </c>
    </row>
    <row r="4044" spans="2:4">
      <c r="B4044" s="6" t="s">
        <v>90</v>
      </c>
      <c r="C4044" s="6" t="s">
        <v>85</v>
      </c>
      <c r="D4044" s="5">
        <v>44957</v>
      </c>
    </row>
    <row r="4045" spans="2:4">
      <c r="B4045" s="6" t="s">
        <v>44</v>
      </c>
      <c r="C4045" s="6" t="s">
        <v>53</v>
      </c>
      <c r="D4045" s="5">
        <v>44957</v>
      </c>
    </row>
    <row r="4046" spans="2:4">
      <c r="B4046" s="6" t="s">
        <v>84</v>
      </c>
      <c r="C4046" s="6" t="s">
        <v>91</v>
      </c>
      <c r="D4046" s="5">
        <v>44957</v>
      </c>
    </row>
    <row r="4047" spans="2:4">
      <c r="B4047" s="6" t="s">
        <v>48</v>
      </c>
      <c r="C4047" s="6" t="s">
        <v>52</v>
      </c>
      <c r="D4047" s="5">
        <v>44957</v>
      </c>
    </row>
    <row r="4048" spans="2:4">
      <c r="B4048" s="6" t="s">
        <v>54</v>
      </c>
      <c r="C4048" s="6" t="s">
        <v>51</v>
      </c>
      <c r="D4048" s="5">
        <v>44957</v>
      </c>
    </row>
    <row r="4049" spans="2:4">
      <c r="B4049" s="6" t="s">
        <v>216</v>
      </c>
      <c r="C4049" s="6" t="s">
        <v>361</v>
      </c>
      <c r="D4049" s="5">
        <v>44957</v>
      </c>
    </row>
    <row r="4050" spans="2:4">
      <c r="B4050" s="6" t="s">
        <v>199</v>
      </c>
      <c r="C4050" s="6" t="s">
        <v>121</v>
      </c>
      <c r="D4050" s="5">
        <v>44957</v>
      </c>
    </row>
    <row r="4051" spans="2:4">
      <c r="B4051" s="6" t="s">
        <v>349</v>
      </c>
      <c r="C4051" s="6" t="s">
        <v>133</v>
      </c>
      <c r="D4051" s="5">
        <v>44957</v>
      </c>
    </row>
    <row r="4052" spans="2:4">
      <c r="B4052" s="6" t="s">
        <v>247</v>
      </c>
      <c r="C4052" s="6" t="s">
        <v>127</v>
      </c>
      <c r="D4052" s="5">
        <v>44957</v>
      </c>
    </row>
    <row r="4053" spans="2:4">
      <c r="B4053" s="6" t="s">
        <v>180</v>
      </c>
      <c r="C4053" s="6" t="s">
        <v>362</v>
      </c>
      <c r="D4053" s="5">
        <v>44957</v>
      </c>
    </row>
    <row r="4054" spans="2:4">
      <c r="B4054" s="6" t="s">
        <v>209</v>
      </c>
      <c r="C4054" s="6" t="s">
        <v>140</v>
      </c>
      <c r="D4054" s="5">
        <v>44957</v>
      </c>
    </row>
    <row r="4055" spans="2:4">
      <c r="B4055" s="6" t="s">
        <v>288</v>
      </c>
      <c r="C4055" s="6" t="s">
        <v>109</v>
      </c>
      <c r="D4055" s="5">
        <v>44957</v>
      </c>
    </row>
    <row r="4056" spans="2:4">
      <c r="B4056" s="6" t="s">
        <v>414</v>
      </c>
      <c r="C4056" s="6" t="s">
        <v>400</v>
      </c>
      <c r="D4056" s="5">
        <v>44957</v>
      </c>
    </row>
    <row r="4057" spans="2:4">
      <c r="B4057" s="6" t="s">
        <v>60</v>
      </c>
      <c r="C4057" s="6" t="s">
        <v>67</v>
      </c>
      <c r="D4057" s="5">
        <v>44957</v>
      </c>
    </row>
    <row r="4058" spans="2:4">
      <c r="B4058" s="6" t="s">
        <v>26</v>
      </c>
      <c r="C4058" s="6" t="s">
        <v>33</v>
      </c>
      <c r="D4058" s="5">
        <v>44957</v>
      </c>
    </row>
    <row r="4059" spans="2:4">
      <c r="B4059" s="6" t="s">
        <v>155</v>
      </c>
      <c r="C4059" s="6" t="s">
        <v>245</v>
      </c>
      <c r="D4059" s="5">
        <v>44957</v>
      </c>
    </row>
    <row r="4060" spans="2:4">
      <c r="B4060" s="6" t="s">
        <v>82</v>
      </c>
      <c r="C4060" s="6" t="s">
        <v>185</v>
      </c>
      <c r="D4060" s="5">
        <v>44957</v>
      </c>
    </row>
    <row r="4061" spans="2:4">
      <c r="B4061" s="6" t="s">
        <v>88</v>
      </c>
      <c r="C4061" s="6" t="s">
        <v>80</v>
      </c>
      <c r="D4061" s="5">
        <v>44957</v>
      </c>
    </row>
    <row r="4062" spans="2:4">
      <c r="B4062" s="6" t="s">
        <v>56</v>
      </c>
      <c r="C4062" s="6" t="s">
        <v>62</v>
      </c>
      <c r="D4062" s="5">
        <v>44957</v>
      </c>
    </row>
    <row r="4063" spans="2:4">
      <c r="B4063" s="6" t="s">
        <v>34</v>
      </c>
      <c r="C4063" s="6" t="s">
        <v>32</v>
      </c>
      <c r="D4063" s="5">
        <v>44957</v>
      </c>
    </row>
    <row r="4064" spans="2:4">
      <c r="B4064" s="6" t="s">
        <v>214</v>
      </c>
      <c r="C4064" s="6" t="s">
        <v>350</v>
      </c>
      <c r="D4064" s="5">
        <v>44957</v>
      </c>
    </row>
    <row r="4065" spans="2:4">
      <c r="B4065" s="6" t="s">
        <v>386</v>
      </c>
      <c r="C4065" s="6" t="s">
        <v>163</v>
      </c>
      <c r="D4065" s="5">
        <v>44957</v>
      </c>
    </row>
    <row r="4066" spans="2:4">
      <c r="B4066" s="6" t="s">
        <v>198</v>
      </c>
      <c r="C4066" s="6" t="s">
        <v>162</v>
      </c>
      <c r="D4066" s="5">
        <v>44957</v>
      </c>
    </row>
    <row r="4067" spans="2:4">
      <c r="B4067" s="6" t="s">
        <v>152</v>
      </c>
      <c r="C4067" s="6" t="s">
        <v>394</v>
      </c>
      <c r="D4067" s="5">
        <v>44957</v>
      </c>
    </row>
    <row r="4068" spans="2:4">
      <c r="B4068" s="6" t="s">
        <v>169</v>
      </c>
      <c r="C4068" s="6" t="s">
        <v>392</v>
      </c>
      <c r="D4068" s="5">
        <v>44957</v>
      </c>
    </row>
    <row r="4069" spans="2:4">
      <c r="B4069" s="6" t="s">
        <v>269</v>
      </c>
      <c r="C4069" s="6" t="s">
        <v>215</v>
      </c>
      <c r="D4069" s="5">
        <v>44958</v>
      </c>
    </row>
    <row r="4070" spans="2:4">
      <c r="B4070" s="6" t="s">
        <v>41</v>
      </c>
      <c r="C4070" s="6" t="s">
        <v>38</v>
      </c>
      <c r="D4070" s="5">
        <v>44958</v>
      </c>
    </row>
    <row r="4071" spans="2:4">
      <c r="B4071" s="6" t="s">
        <v>39</v>
      </c>
      <c r="C4071" s="6" t="s">
        <v>40</v>
      </c>
      <c r="D4071" s="5">
        <v>44958</v>
      </c>
    </row>
    <row r="4072" spans="2:4">
      <c r="B4072" s="6" t="s">
        <v>58</v>
      </c>
      <c r="C4072" s="6" t="s">
        <v>66</v>
      </c>
      <c r="D4072" s="5">
        <v>44958</v>
      </c>
    </row>
    <row r="4073" spans="2:4">
      <c r="B4073" s="6" t="s">
        <v>297</v>
      </c>
      <c r="C4073" s="6" t="s">
        <v>110</v>
      </c>
      <c r="D4073" s="5">
        <v>44958</v>
      </c>
    </row>
    <row r="4074" spans="2:4">
      <c r="B4074" s="6" t="s">
        <v>251</v>
      </c>
      <c r="C4074" s="6" t="s">
        <v>49</v>
      </c>
      <c r="D4074" s="5">
        <v>44958</v>
      </c>
    </row>
    <row r="4075" spans="2:4">
      <c r="B4075" s="6" t="s">
        <v>79</v>
      </c>
      <c r="C4075" s="6" t="s">
        <v>86</v>
      </c>
      <c r="D4075" s="5">
        <v>44958</v>
      </c>
    </row>
    <row r="4076" spans="2:4">
      <c r="B4076" s="6" t="s">
        <v>83</v>
      </c>
      <c r="C4076" s="6" t="s">
        <v>89</v>
      </c>
      <c r="D4076" s="5">
        <v>44958</v>
      </c>
    </row>
    <row r="4077" spans="2:4">
      <c r="B4077" s="6" t="s">
        <v>187</v>
      </c>
      <c r="C4077" s="6" t="s">
        <v>95</v>
      </c>
      <c r="D4077" s="5">
        <v>44958</v>
      </c>
    </row>
    <row r="4078" spans="2:4">
      <c r="B4078" s="6" t="s">
        <v>231</v>
      </c>
      <c r="C4078" s="6" t="s">
        <v>275</v>
      </c>
      <c r="D4078" s="5">
        <v>44958</v>
      </c>
    </row>
    <row r="4079" spans="2:4">
      <c r="B4079" s="6" t="s">
        <v>278</v>
      </c>
      <c r="C4079" s="6" t="s">
        <v>131</v>
      </c>
      <c r="D4079" s="5">
        <v>44958</v>
      </c>
    </row>
    <row r="4080" spans="2:4">
      <c r="B4080" s="6" t="s">
        <v>114</v>
      </c>
      <c r="C4080" s="6" t="s">
        <v>148</v>
      </c>
      <c r="D4080" s="5">
        <v>44958</v>
      </c>
    </row>
    <row r="4081" spans="2:4">
      <c r="B4081" s="6" t="s">
        <v>360</v>
      </c>
      <c r="C4081" s="6" t="s">
        <v>113</v>
      </c>
      <c r="D4081" s="5">
        <v>44958</v>
      </c>
    </row>
    <row r="4082" spans="2:4">
      <c r="B4082" s="6" t="s">
        <v>119</v>
      </c>
      <c r="C4082" s="6" t="s">
        <v>241</v>
      </c>
      <c r="D4082" s="5">
        <v>44958</v>
      </c>
    </row>
    <row r="4083" spans="2:4">
      <c r="B4083" s="6" t="s">
        <v>43</v>
      </c>
      <c r="C4083" s="6" t="s">
        <v>50</v>
      </c>
      <c r="D4083" s="5">
        <v>44958</v>
      </c>
    </row>
    <row r="4084" spans="2:4">
      <c r="B4084" s="6" t="s">
        <v>177</v>
      </c>
      <c r="C4084" s="6" t="s">
        <v>253</v>
      </c>
      <c r="D4084" s="5">
        <v>44958</v>
      </c>
    </row>
    <row r="4085" spans="2:4">
      <c r="B4085" s="6" t="s">
        <v>106</v>
      </c>
      <c r="C4085" s="6" t="s">
        <v>174</v>
      </c>
      <c r="D4085" s="5">
        <v>44958</v>
      </c>
    </row>
    <row r="4086" spans="2:4">
      <c r="B4086" s="6" t="s">
        <v>301</v>
      </c>
      <c r="C4086" s="6" t="s">
        <v>126</v>
      </c>
      <c r="D4086" s="5">
        <v>44958</v>
      </c>
    </row>
    <row r="4087" spans="2:4">
      <c r="B4087" s="6" t="s">
        <v>137</v>
      </c>
      <c r="C4087" s="6" t="s">
        <v>220</v>
      </c>
      <c r="D4087" s="5">
        <v>44958</v>
      </c>
    </row>
    <row r="4088" spans="2:4">
      <c r="B4088" s="6" t="s">
        <v>200</v>
      </c>
      <c r="C4088" s="6" t="s">
        <v>252</v>
      </c>
      <c r="D4088" s="5">
        <v>44958</v>
      </c>
    </row>
    <row r="4089" spans="2:4">
      <c r="B4089" s="6" t="s">
        <v>334</v>
      </c>
      <c r="C4089" s="6" t="s">
        <v>124</v>
      </c>
      <c r="D4089" s="5">
        <v>44958</v>
      </c>
    </row>
    <row r="4090" spans="2:4">
      <c r="B4090" s="6" t="s">
        <v>281</v>
      </c>
      <c r="C4090" s="6" t="s">
        <v>300</v>
      </c>
      <c r="D4090" s="5">
        <v>44958</v>
      </c>
    </row>
    <row r="4091" spans="2:4">
      <c r="B4091" s="6" t="s">
        <v>210</v>
      </c>
      <c r="C4091" s="6" t="s">
        <v>337</v>
      </c>
      <c r="D4091" s="5">
        <v>44958</v>
      </c>
    </row>
    <row r="4092" spans="2:4">
      <c r="B4092" s="6" t="s">
        <v>192</v>
      </c>
      <c r="C4092" s="6" t="s">
        <v>202</v>
      </c>
      <c r="D4092" s="5">
        <v>44958</v>
      </c>
    </row>
    <row r="4093" spans="2:4">
      <c r="B4093" s="6" t="s">
        <v>191</v>
      </c>
      <c r="C4093" s="6" t="s">
        <v>395</v>
      </c>
      <c r="D4093" s="5">
        <v>44958</v>
      </c>
    </row>
    <row r="4094" spans="2:4">
      <c r="B4094" s="6" t="s">
        <v>270</v>
      </c>
      <c r="C4094" s="6" t="s">
        <v>425</v>
      </c>
      <c r="D4094" s="5">
        <v>44958</v>
      </c>
    </row>
    <row r="4095" spans="2:4">
      <c r="B4095" s="6" t="s">
        <v>298</v>
      </c>
      <c r="C4095" s="6" t="s">
        <v>273</v>
      </c>
      <c r="D4095" s="5">
        <v>44958</v>
      </c>
    </row>
    <row r="4096" spans="2:4">
      <c r="B4096" s="6" t="s">
        <v>287</v>
      </c>
      <c r="C4096" s="6" t="s">
        <v>102</v>
      </c>
      <c r="D4096" s="5">
        <v>44958</v>
      </c>
    </row>
    <row r="4097" spans="2:4">
      <c r="B4097" s="6" t="s">
        <v>111</v>
      </c>
      <c r="C4097" s="6" t="s">
        <v>104</v>
      </c>
      <c r="D4097" s="5">
        <v>44958</v>
      </c>
    </row>
    <row r="4098" spans="2:4">
      <c r="B4098" s="6" t="s">
        <v>436</v>
      </c>
      <c r="C4098" s="6" t="s">
        <v>103</v>
      </c>
      <c r="D4098" s="5">
        <v>44958</v>
      </c>
    </row>
    <row r="4099" spans="2:4">
      <c r="B4099" s="6" t="s">
        <v>344</v>
      </c>
      <c r="C4099" s="6" t="s">
        <v>415</v>
      </c>
      <c r="D4099" s="5">
        <v>44958</v>
      </c>
    </row>
    <row r="4100" spans="2:4">
      <c r="B4100" s="6" t="s">
        <v>320</v>
      </c>
      <c r="C4100" s="6" t="s">
        <v>139</v>
      </c>
      <c r="D4100" s="5">
        <v>44958</v>
      </c>
    </row>
    <row r="4101" spans="2:4">
      <c r="B4101" s="6" t="s">
        <v>326</v>
      </c>
      <c r="C4101" s="6" t="s">
        <v>280</v>
      </c>
      <c r="D4101" s="5">
        <v>44958</v>
      </c>
    </row>
    <row r="4102" spans="2:4">
      <c r="B4102" s="6" t="s">
        <v>312</v>
      </c>
      <c r="C4102" s="6" t="s">
        <v>186</v>
      </c>
      <c r="D4102" s="5">
        <v>44958</v>
      </c>
    </row>
    <row r="4103" spans="2:4">
      <c r="B4103" s="6" t="s">
        <v>213</v>
      </c>
      <c r="C4103" s="6" t="s">
        <v>325</v>
      </c>
      <c r="D4103" s="5">
        <v>44958</v>
      </c>
    </row>
    <row r="4104" spans="2:4">
      <c r="B4104" s="6" t="s">
        <v>323</v>
      </c>
      <c r="C4104" s="6" t="s">
        <v>388</v>
      </c>
      <c r="D4104" s="5">
        <v>44958</v>
      </c>
    </row>
    <row r="4105" spans="2:4">
      <c r="B4105" s="6" t="s">
        <v>37</v>
      </c>
      <c r="C4105" s="6" t="s">
        <v>35</v>
      </c>
      <c r="D4105" s="5">
        <v>44958</v>
      </c>
    </row>
    <row r="4106" spans="2:4">
      <c r="B4106" s="6" t="s">
        <v>302</v>
      </c>
      <c r="C4106" s="6" t="s">
        <v>36</v>
      </c>
      <c r="D4106" s="5">
        <v>44958</v>
      </c>
    </row>
    <row r="4107" spans="2:4">
      <c r="B4107" s="6" t="s">
        <v>64</v>
      </c>
      <c r="C4107" s="6" t="s">
        <v>63</v>
      </c>
      <c r="D4107" s="5">
        <v>44958</v>
      </c>
    </row>
    <row r="4108" spans="2:4">
      <c r="B4108" s="6" t="s">
        <v>29</v>
      </c>
      <c r="C4108" s="6" t="s">
        <v>322</v>
      </c>
      <c r="D4108" s="5">
        <v>44958</v>
      </c>
    </row>
    <row r="4109" spans="2:4">
      <c r="B4109" s="6" t="s">
        <v>221</v>
      </c>
      <c r="C4109" s="6" t="s">
        <v>341</v>
      </c>
      <c r="D4109" s="5">
        <v>44958</v>
      </c>
    </row>
    <row r="4110" spans="2:4">
      <c r="B4110" s="6" t="s">
        <v>363</v>
      </c>
      <c r="C4110" s="6" t="s">
        <v>318</v>
      </c>
      <c r="D4110" s="5">
        <v>44958</v>
      </c>
    </row>
    <row r="4111" spans="2:4">
      <c r="B4111" s="6" t="s">
        <v>149</v>
      </c>
      <c r="C4111" s="6" t="s">
        <v>45</v>
      </c>
      <c r="D4111" s="5">
        <v>44958</v>
      </c>
    </row>
    <row r="4112" spans="2:4">
      <c r="B4112" s="6" t="s">
        <v>87</v>
      </c>
      <c r="C4112" s="6" t="s">
        <v>81</v>
      </c>
      <c r="D4112" s="5">
        <v>44958</v>
      </c>
    </row>
    <row r="4113" spans="2:4">
      <c r="B4113" s="6" t="s">
        <v>159</v>
      </c>
      <c r="C4113" s="6" t="s">
        <v>378</v>
      </c>
      <c r="D4113" s="5">
        <v>44958</v>
      </c>
    </row>
    <row r="4114" spans="2:4">
      <c r="B4114" s="6" t="s">
        <v>424</v>
      </c>
      <c r="C4114" s="6" t="s">
        <v>345</v>
      </c>
      <c r="D4114" s="5">
        <v>44958</v>
      </c>
    </row>
    <row r="4115" spans="2:4">
      <c r="B4115" s="6" t="s">
        <v>168</v>
      </c>
      <c r="C4115" s="6" t="s">
        <v>189</v>
      </c>
      <c r="D4115" s="5">
        <v>44958</v>
      </c>
    </row>
    <row r="4116" spans="2:4">
      <c r="B4116" s="6" t="s">
        <v>427</v>
      </c>
      <c r="C4116" s="6" t="s">
        <v>165</v>
      </c>
      <c r="D4116" s="5">
        <v>44959</v>
      </c>
    </row>
    <row r="4117" spans="2:4">
      <c r="B4117" s="6" t="s">
        <v>172</v>
      </c>
      <c r="C4117" s="6" t="s">
        <v>358</v>
      </c>
      <c r="D4117" s="5">
        <v>44959</v>
      </c>
    </row>
    <row r="4118" spans="2:4">
      <c r="B4118" s="6" t="s">
        <v>587</v>
      </c>
      <c r="C4118" s="6" t="s">
        <v>246</v>
      </c>
      <c r="D4118" s="5">
        <v>44959</v>
      </c>
    </row>
    <row r="4119" spans="2:4">
      <c r="B4119" s="6" t="s">
        <v>286</v>
      </c>
      <c r="C4119" s="6" t="s">
        <v>193</v>
      </c>
      <c r="D4119" s="5">
        <v>44959</v>
      </c>
    </row>
    <row r="4120" spans="2:4">
      <c r="B4120" s="6" t="s">
        <v>255</v>
      </c>
      <c r="C4120" s="6" t="s">
        <v>353</v>
      </c>
      <c r="D4120" s="5">
        <v>44959</v>
      </c>
    </row>
    <row r="4121" spans="2:4">
      <c r="B4121" s="6" t="s">
        <v>68</v>
      </c>
      <c r="C4121" s="6" t="s">
        <v>59</v>
      </c>
      <c r="D4121" s="5">
        <v>44959</v>
      </c>
    </row>
    <row r="4122" spans="2:4">
      <c r="B4122" s="6" t="s">
        <v>335</v>
      </c>
      <c r="C4122" s="6" t="s">
        <v>407</v>
      </c>
      <c r="D4122" s="5">
        <v>44959</v>
      </c>
    </row>
    <row r="4123" spans="2:4">
      <c r="B4123" s="6" t="s">
        <v>195</v>
      </c>
      <c r="C4123" s="6" t="s">
        <v>421</v>
      </c>
      <c r="D4123" s="5">
        <v>44959</v>
      </c>
    </row>
    <row r="4124" spans="2:4">
      <c r="B4124" s="6" t="s">
        <v>373</v>
      </c>
      <c r="C4124" s="6" t="s">
        <v>143</v>
      </c>
      <c r="D4124" s="5">
        <v>44959</v>
      </c>
    </row>
    <row r="4125" spans="2:4">
      <c r="B4125" s="6" t="s">
        <v>182</v>
      </c>
      <c r="C4125" s="6" t="s">
        <v>274</v>
      </c>
      <c r="D4125" s="5">
        <v>44959</v>
      </c>
    </row>
    <row r="4126" spans="2:4">
      <c r="B4126" s="6" t="s">
        <v>57</v>
      </c>
      <c r="C4126" s="6" t="s">
        <v>65</v>
      </c>
      <c r="D4126" s="5">
        <v>44959</v>
      </c>
    </row>
    <row r="4127" spans="2:4">
      <c r="B4127" s="6" t="s">
        <v>171</v>
      </c>
      <c r="C4127" s="6" t="s">
        <v>267</v>
      </c>
      <c r="D4127" s="5">
        <v>44959</v>
      </c>
    </row>
    <row r="4128" spans="2:4">
      <c r="B4128" s="6" t="s">
        <v>282</v>
      </c>
      <c r="C4128" s="6" t="s">
        <v>261</v>
      </c>
      <c r="D4128" s="5">
        <v>44959</v>
      </c>
    </row>
    <row r="4129" spans="2:4">
      <c r="B4129" s="6" t="s">
        <v>590</v>
      </c>
      <c r="C4129" s="6" t="s">
        <v>338</v>
      </c>
      <c r="D4129" s="5">
        <v>44959</v>
      </c>
    </row>
    <row r="4130" spans="2:4">
      <c r="B4130" s="6" t="s">
        <v>336</v>
      </c>
      <c r="C4130" s="6" t="s">
        <v>98</v>
      </c>
      <c r="D4130" s="5">
        <v>44959</v>
      </c>
    </row>
    <row r="4131" spans="2:4">
      <c r="B4131" s="6" t="s">
        <v>175</v>
      </c>
      <c r="C4131" s="6" t="s">
        <v>405</v>
      </c>
      <c r="D4131" s="5">
        <v>44959</v>
      </c>
    </row>
    <row r="4132" spans="2:4">
      <c r="B4132" s="6" t="s">
        <v>194</v>
      </c>
      <c r="C4132" s="6" t="s">
        <v>316</v>
      </c>
      <c r="D4132" s="5">
        <v>44959</v>
      </c>
    </row>
    <row r="4133" spans="2:4">
      <c r="B4133" s="6" t="s">
        <v>136</v>
      </c>
      <c r="C4133" s="6" t="s">
        <v>409</v>
      </c>
      <c r="D4133" s="5">
        <v>44959</v>
      </c>
    </row>
    <row r="4134" spans="2:4">
      <c r="B4134" s="6" t="s">
        <v>259</v>
      </c>
      <c r="C4134" s="6" t="s">
        <v>289</v>
      </c>
      <c r="D4134" s="5">
        <v>44959</v>
      </c>
    </row>
    <row r="4135" spans="2:4">
      <c r="B4135" s="6" t="s">
        <v>370</v>
      </c>
      <c r="C4135" s="6" t="s">
        <v>250</v>
      </c>
      <c r="D4135" s="5">
        <v>44959</v>
      </c>
    </row>
    <row r="4136" spans="2:4">
      <c r="B4136" s="6" t="s">
        <v>305</v>
      </c>
      <c r="C4136" s="6" t="s">
        <v>304</v>
      </c>
      <c r="D4136" s="5">
        <v>44959</v>
      </c>
    </row>
    <row r="4137" spans="2:4">
      <c r="B4137" s="6" t="s">
        <v>418</v>
      </c>
      <c r="C4137" s="6" t="s">
        <v>266</v>
      </c>
      <c r="D4137" s="5">
        <v>44959</v>
      </c>
    </row>
    <row r="4138" spans="2:4">
      <c r="B4138" s="6" t="s">
        <v>412</v>
      </c>
      <c r="C4138" s="6" t="s">
        <v>256</v>
      </c>
      <c r="D4138" s="5">
        <v>44959</v>
      </c>
    </row>
    <row r="4139" spans="2:4">
      <c r="B4139" s="6" t="s">
        <v>101</v>
      </c>
      <c r="C4139" s="6" t="s">
        <v>296</v>
      </c>
      <c r="D4139" s="5">
        <v>44959</v>
      </c>
    </row>
    <row r="4140" spans="2:4">
      <c r="B4140" s="6" t="s">
        <v>422</v>
      </c>
      <c r="C4140" s="6" t="s">
        <v>397</v>
      </c>
      <c r="D4140" s="5">
        <v>44959</v>
      </c>
    </row>
    <row r="4141" spans="2:4">
      <c r="B4141" s="6" t="s">
        <v>146</v>
      </c>
      <c r="C4141" s="6" t="s">
        <v>432</v>
      </c>
      <c r="D4141" s="5">
        <v>44959</v>
      </c>
    </row>
    <row r="4142" spans="2:4">
      <c r="B4142" s="6" t="s">
        <v>327</v>
      </c>
      <c r="C4142" s="6" t="s">
        <v>268</v>
      </c>
      <c r="D4142" s="5">
        <v>44959</v>
      </c>
    </row>
    <row r="4143" spans="2:4">
      <c r="B4143" s="6" t="s">
        <v>99</v>
      </c>
      <c r="C4143" s="6" t="s">
        <v>129</v>
      </c>
      <c r="D4143" s="5">
        <v>44959</v>
      </c>
    </row>
    <row r="4144" spans="2:4">
      <c r="B4144" s="6" t="s">
        <v>179</v>
      </c>
      <c r="C4144" s="6" t="s">
        <v>413</v>
      </c>
      <c r="D4144" s="5">
        <v>44959</v>
      </c>
    </row>
    <row r="4145" spans="2:4">
      <c r="B4145" s="6" t="s">
        <v>178</v>
      </c>
      <c r="C4145" s="6" t="s">
        <v>123</v>
      </c>
      <c r="D4145" s="5">
        <v>44959</v>
      </c>
    </row>
    <row r="4146" spans="2:4">
      <c r="B4146" s="6" t="s">
        <v>115</v>
      </c>
      <c r="C4146" s="6" t="s">
        <v>118</v>
      </c>
      <c r="D4146" s="5">
        <v>44959</v>
      </c>
    </row>
    <row r="4147" spans="2:4">
      <c r="B4147" s="6" t="s">
        <v>120</v>
      </c>
      <c r="C4147" s="6" t="s">
        <v>354</v>
      </c>
      <c r="D4147" s="5">
        <v>44959</v>
      </c>
    </row>
    <row r="4148" spans="2:4">
      <c r="B4148" s="6" t="s">
        <v>292</v>
      </c>
      <c r="C4148" s="6" t="s">
        <v>355</v>
      </c>
      <c r="D4148" s="5">
        <v>44959</v>
      </c>
    </row>
    <row r="4149" spans="2:4">
      <c r="B4149" s="6" t="s">
        <v>142</v>
      </c>
      <c r="C4149" s="6" t="s">
        <v>173</v>
      </c>
      <c r="D4149" s="5">
        <v>44959</v>
      </c>
    </row>
    <row r="4150" spans="2:4">
      <c r="B4150" s="6" t="s">
        <v>333</v>
      </c>
      <c r="C4150" s="6" t="s">
        <v>294</v>
      </c>
      <c r="D4150" s="5">
        <v>44959</v>
      </c>
    </row>
    <row r="4151" spans="2:4">
      <c r="B4151" s="6" t="s">
        <v>248</v>
      </c>
      <c r="C4151" s="6" t="s">
        <v>356</v>
      </c>
      <c r="D4151" s="5">
        <v>44959</v>
      </c>
    </row>
    <row r="4152" spans="2:4">
      <c r="B4152" s="6" t="s">
        <v>77</v>
      </c>
      <c r="C4152" s="6" t="s">
        <v>93</v>
      </c>
      <c r="D4152" s="5">
        <v>44959</v>
      </c>
    </row>
    <row r="4153" spans="2:4">
      <c r="B4153" s="6" t="s">
        <v>73</v>
      </c>
      <c r="C4153" s="6" t="s">
        <v>76</v>
      </c>
      <c r="D4153" s="5">
        <v>44959</v>
      </c>
    </row>
    <row r="4154" spans="2:4">
      <c r="B4154" s="6" t="s">
        <v>313</v>
      </c>
      <c r="C4154" s="6" t="s">
        <v>368</v>
      </c>
      <c r="D4154" s="5">
        <v>44959</v>
      </c>
    </row>
    <row r="4155" spans="2:4">
      <c r="B4155" s="6" t="s">
        <v>319</v>
      </c>
      <c r="C4155" s="6" t="s">
        <v>588</v>
      </c>
      <c r="D4155" s="5">
        <v>44959</v>
      </c>
    </row>
    <row r="4156" spans="2:4">
      <c r="B4156" s="6" t="s">
        <v>134</v>
      </c>
      <c r="C4156" s="6" t="s">
        <v>640</v>
      </c>
      <c r="D4156" s="5">
        <v>44959</v>
      </c>
    </row>
    <row r="4157" spans="2:4">
      <c r="B4157" s="6" t="s">
        <v>584</v>
      </c>
      <c r="C4157" s="6" t="s">
        <v>343</v>
      </c>
      <c r="D4157" s="5">
        <v>44959</v>
      </c>
    </row>
    <row r="4158" spans="2:4">
      <c r="B4158" s="6" t="s">
        <v>367</v>
      </c>
      <c r="C4158" s="6" t="s">
        <v>306</v>
      </c>
      <c r="D4158" s="5">
        <v>44959</v>
      </c>
    </row>
    <row r="4159" spans="2:4">
      <c r="B4159" s="6" t="s">
        <v>365</v>
      </c>
      <c r="C4159" s="6" t="s">
        <v>150</v>
      </c>
      <c r="D4159" s="5">
        <v>44959</v>
      </c>
    </row>
    <row r="4160" spans="2:4">
      <c r="B4160" s="6" t="s">
        <v>385</v>
      </c>
      <c r="C4160" s="6" t="s">
        <v>196</v>
      </c>
      <c r="D4160" s="5">
        <v>44959</v>
      </c>
    </row>
    <row r="4161" spans="2:4">
      <c r="B4161" s="6" t="s">
        <v>208</v>
      </c>
      <c r="C4161" s="6" t="s">
        <v>359</v>
      </c>
      <c r="D4161" s="5">
        <v>44959</v>
      </c>
    </row>
    <row r="4162" spans="2:4">
      <c r="B4162" s="6" t="s">
        <v>357</v>
      </c>
      <c r="C4162" s="6" t="s">
        <v>348</v>
      </c>
      <c r="D4162" s="5">
        <v>44959</v>
      </c>
    </row>
    <row r="4163" spans="2:4">
      <c r="B4163" s="6" t="s">
        <v>321</v>
      </c>
      <c r="C4163" s="6" t="s">
        <v>240</v>
      </c>
      <c r="D4163" s="5">
        <v>44959</v>
      </c>
    </row>
    <row r="4164" spans="2:4">
      <c r="B4164" s="6" t="s">
        <v>147</v>
      </c>
      <c r="C4164" s="6" t="s">
        <v>201</v>
      </c>
      <c r="D4164" s="5">
        <v>44959</v>
      </c>
    </row>
    <row r="4165" spans="2:4">
      <c r="B4165" s="6" t="s">
        <v>128</v>
      </c>
      <c r="C4165" s="6" t="s">
        <v>610</v>
      </c>
      <c r="D4165" s="5">
        <v>44959</v>
      </c>
    </row>
    <row r="4166" spans="2:4">
      <c r="B4166" s="6" t="s">
        <v>183</v>
      </c>
      <c r="C4166" s="6" t="s">
        <v>295</v>
      </c>
      <c r="D4166" s="5">
        <v>44959</v>
      </c>
    </row>
    <row r="4167" spans="2:4">
      <c r="B4167" s="6" t="s">
        <v>342</v>
      </c>
      <c r="C4167" s="6" t="s">
        <v>94</v>
      </c>
      <c r="D4167" s="5">
        <v>44959</v>
      </c>
    </row>
    <row r="4168" spans="2:4">
      <c r="B4168" s="6" t="s">
        <v>615</v>
      </c>
      <c r="C4168" s="6" t="s">
        <v>309</v>
      </c>
      <c r="D4168" s="5">
        <v>44959</v>
      </c>
    </row>
    <row r="4169" spans="2:4">
      <c r="B4169" s="6" t="s">
        <v>352</v>
      </c>
      <c r="C4169" s="6" t="s">
        <v>212</v>
      </c>
      <c r="D4169" s="5">
        <v>44959</v>
      </c>
    </row>
    <row r="4170" spans="2:4">
      <c r="B4170" s="6" t="s">
        <v>75</v>
      </c>
      <c r="C4170" s="6" t="s">
        <v>71</v>
      </c>
      <c r="D4170" s="5">
        <v>44959</v>
      </c>
    </row>
    <row r="4171" spans="2:4">
      <c r="B4171" s="6" t="s">
        <v>242</v>
      </c>
      <c r="C4171" s="6" t="s">
        <v>376</v>
      </c>
      <c r="D4171" s="5">
        <v>44959</v>
      </c>
    </row>
    <row r="4172" spans="2:4">
      <c r="B4172" s="6" t="s">
        <v>375</v>
      </c>
      <c r="C4172" s="6" t="s">
        <v>290</v>
      </c>
      <c r="D4172" s="5">
        <v>44959</v>
      </c>
    </row>
    <row r="4173" spans="2:4">
      <c r="B4173" s="6" t="s">
        <v>607</v>
      </c>
      <c r="C4173" s="6" t="s">
        <v>383</v>
      </c>
      <c r="D4173" s="5">
        <v>44959</v>
      </c>
    </row>
    <row r="4174" spans="2:4">
      <c r="B4174" s="6" t="s">
        <v>157</v>
      </c>
      <c r="C4174" s="6" t="s">
        <v>396</v>
      </c>
      <c r="D4174" s="5">
        <v>44959</v>
      </c>
    </row>
    <row r="4175" spans="2:4">
      <c r="B4175" s="6" t="s">
        <v>151</v>
      </c>
      <c r="C4175" s="6" t="s">
        <v>330</v>
      </c>
      <c r="D4175" s="5">
        <v>44959</v>
      </c>
    </row>
    <row r="4176" spans="2:4">
      <c r="B4176" s="6" t="s">
        <v>603</v>
      </c>
      <c r="C4176" s="6" t="s">
        <v>329</v>
      </c>
      <c r="D4176" s="5">
        <v>44959</v>
      </c>
    </row>
    <row r="4177" spans="2:4">
      <c r="B4177" s="6" t="s">
        <v>141</v>
      </c>
      <c r="C4177" s="6" t="s">
        <v>428</v>
      </c>
      <c r="D4177" s="5">
        <v>44959</v>
      </c>
    </row>
    <row r="4178" spans="2:4">
      <c r="B4178" s="6" t="s">
        <v>391</v>
      </c>
      <c r="C4178" s="6" t="s">
        <v>403</v>
      </c>
      <c r="D4178" s="5">
        <v>44959</v>
      </c>
    </row>
    <row r="4179" spans="2:4">
      <c r="B4179" s="6" t="s">
        <v>190</v>
      </c>
      <c r="C4179" s="6" t="s">
        <v>426</v>
      </c>
      <c r="D4179" s="5">
        <v>44959</v>
      </c>
    </row>
    <row r="4180" spans="2:4">
      <c r="B4180" s="6" t="s">
        <v>72</v>
      </c>
      <c r="C4180" s="6" t="s">
        <v>164</v>
      </c>
      <c r="D4180" s="5">
        <v>44959</v>
      </c>
    </row>
    <row r="4181" spans="2:4">
      <c r="B4181" s="6" t="s">
        <v>166</v>
      </c>
      <c r="C4181" s="6" t="s">
        <v>161</v>
      </c>
      <c r="D4181" s="5">
        <v>44959</v>
      </c>
    </row>
    <row r="4182" spans="2:4">
      <c r="B4182" s="6" t="s">
        <v>423</v>
      </c>
      <c r="C4182" s="6" t="s">
        <v>207</v>
      </c>
      <c r="D4182" s="5">
        <v>44959</v>
      </c>
    </row>
    <row r="4183" spans="2:4">
      <c r="B4183" s="6" t="s">
        <v>621</v>
      </c>
      <c r="C4183" s="6" t="s">
        <v>420</v>
      </c>
      <c r="D4183" s="5">
        <v>44959</v>
      </c>
    </row>
    <row r="4184" spans="2:4">
      <c r="B4184" s="6" t="s">
        <v>586</v>
      </c>
      <c r="C4184" s="6" t="s">
        <v>154</v>
      </c>
      <c r="D4184" s="5">
        <v>44959</v>
      </c>
    </row>
    <row r="4185" spans="2:4">
      <c r="B4185" s="6" t="s">
        <v>236</v>
      </c>
      <c r="C4185" s="6" t="s">
        <v>167</v>
      </c>
      <c r="D4185" s="5">
        <v>44959</v>
      </c>
    </row>
    <row r="4186" spans="2:4">
      <c r="B4186" s="6" t="s">
        <v>402</v>
      </c>
      <c r="C4186" s="6" t="s">
        <v>158</v>
      </c>
      <c r="D4186" s="5">
        <v>44959</v>
      </c>
    </row>
    <row r="4187" spans="2:4">
      <c r="B4187" s="6" t="s">
        <v>389</v>
      </c>
      <c r="C4187" s="6" t="s">
        <v>393</v>
      </c>
      <c r="D4187" s="5">
        <v>44959</v>
      </c>
    </row>
    <row r="4188" spans="2:4">
      <c r="B4188" s="6" t="s">
        <v>70</v>
      </c>
      <c r="C4188" s="6" t="s">
        <v>69</v>
      </c>
      <c r="D4188" s="5">
        <v>44959</v>
      </c>
    </row>
    <row r="4189" spans="2:4">
      <c r="B4189" s="6" t="s">
        <v>132</v>
      </c>
      <c r="C4189" s="6" t="s">
        <v>160</v>
      </c>
      <c r="D4189" s="5">
        <v>44959</v>
      </c>
    </row>
    <row r="4190" spans="2:4">
      <c r="B4190" s="6" t="s">
        <v>74</v>
      </c>
      <c r="C4190" s="6" t="s">
        <v>78</v>
      </c>
      <c r="D4190" s="5">
        <v>44959</v>
      </c>
    </row>
    <row r="4191" spans="2:4">
      <c r="B4191" s="6" t="s">
        <v>398</v>
      </c>
      <c r="C4191" s="6" t="s">
        <v>404</v>
      </c>
      <c r="D4191" s="5">
        <v>44959</v>
      </c>
    </row>
    <row r="4192" spans="2:4">
      <c r="B4192" s="6" t="s">
        <v>108</v>
      </c>
      <c r="C4192" s="6" t="s">
        <v>100</v>
      </c>
      <c r="D4192" s="5">
        <v>44960</v>
      </c>
    </row>
    <row r="4193" spans="2:4">
      <c r="B4193" s="6" t="s">
        <v>351</v>
      </c>
      <c r="C4193" s="6" t="s">
        <v>107</v>
      </c>
      <c r="D4193" s="5">
        <v>44960</v>
      </c>
    </row>
    <row r="4194" spans="2:4">
      <c r="B4194" s="6" t="s">
        <v>97</v>
      </c>
      <c r="C4194" s="6" t="s">
        <v>125</v>
      </c>
      <c r="D4194" s="5">
        <v>44960</v>
      </c>
    </row>
    <row r="4195" spans="2:4">
      <c r="B4195" s="6" t="s">
        <v>419</v>
      </c>
      <c r="C4195" s="6" t="s">
        <v>138</v>
      </c>
      <c r="D4195" s="5">
        <v>44960</v>
      </c>
    </row>
    <row r="4196" spans="2:4">
      <c r="B4196" s="6" t="s">
        <v>117</v>
      </c>
      <c r="C4196" s="6" t="s">
        <v>244</v>
      </c>
      <c r="D4196" s="5">
        <v>44960</v>
      </c>
    </row>
    <row r="4197" spans="2:4">
      <c r="B4197" s="6" t="s">
        <v>216</v>
      </c>
      <c r="C4197" s="6" t="s">
        <v>112</v>
      </c>
      <c r="D4197" s="5">
        <v>44960</v>
      </c>
    </row>
    <row r="4198" spans="2:4">
      <c r="B4198" s="6" t="s">
        <v>230</v>
      </c>
      <c r="C4198" s="6" t="s">
        <v>130</v>
      </c>
      <c r="D4198" s="5">
        <v>44960</v>
      </c>
    </row>
    <row r="4199" spans="2:4">
      <c r="B4199" s="6" t="s">
        <v>285</v>
      </c>
      <c r="C4199" s="6" t="s">
        <v>233</v>
      </c>
      <c r="D4199" s="5">
        <v>44960</v>
      </c>
    </row>
    <row r="4200" spans="2:4">
      <c r="B4200" s="6" t="s">
        <v>133</v>
      </c>
      <c r="C4200" s="6" t="s">
        <v>121</v>
      </c>
      <c r="D4200" s="5">
        <v>44960</v>
      </c>
    </row>
    <row r="4201" spans="2:4">
      <c r="B4201" s="6" t="s">
        <v>204</v>
      </c>
      <c r="C4201" s="6" t="s">
        <v>211</v>
      </c>
      <c r="D4201" s="5">
        <v>44960</v>
      </c>
    </row>
    <row r="4202" spans="2:4">
      <c r="B4202" s="6" t="s">
        <v>392</v>
      </c>
      <c r="C4202" s="6" t="s">
        <v>162</v>
      </c>
      <c r="D4202" s="5">
        <v>44960</v>
      </c>
    </row>
    <row r="4203" spans="2:4">
      <c r="B4203" s="6" t="s">
        <v>163</v>
      </c>
      <c r="C4203" s="6" t="s">
        <v>394</v>
      </c>
      <c r="D4203" s="5">
        <v>44960</v>
      </c>
    </row>
    <row r="4204" spans="2:4">
      <c r="B4204" s="6" t="s">
        <v>169</v>
      </c>
      <c r="C4204" s="6" t="s">
        <v>198</v>
      </c>
      <c r="D4204" s="5">
        <v>44960</v>
      </c>
    </row>
    <row r="4205" spans="2:4">
      <c r="B4205" s="6" t="s">
        <v>398</v>
      </c>
      <c r="C4205" s="6" t="s">
        <v>132</v>
      </c>
      <c r="D4205" s="5">
        <v>44961</v>
      </c>
    </row>
    <row r="4206" spans="2:4">
      <c r="B4206" s="6" t="s">
        <v>73</v>
      </c>
      <c r="C4206" s="6" t="s">
        <v>69</v>
      </c>
      <c r="D4206" s="5">
        <v>44961</v>
      </c>
    </row>
    <row r="4207" spans="2:4">
      <c r="B4207" s="6" t="s">
        <v>249</v>
      </c>
      <c r="C4207" s="6" t="s">
        <v>170</v>
      </c>
      <c r="D4207" s="5">
        <v>44961</v>
      </c>
    </row>
    <row r="4208" spans="2:4">
      <c r="B4208" s="6" t="s">
        <v>264</v>
      </c>
      <c r="C4208" s="6" t="s">
        <v>238</v>
      </c>
      <c r="D4208" s="5">
        <v>44961</v>
      </c>
    </row>
    <row r="4209" spans="2:4">
      <c r="B4209" s="6" t="s">
        <v>395</v>
      </c>
      <c r="C4209" s="6" t="s">
        <v>298</v>
      </c>
      <c r="D4209" s="5">
        <v>44961</v>
      </c>
    </row>
    <row r="4210" spans="2:4">
      <c r="B4210" s="6" t="s">
        <v>105</v>
      </c>
      <c r="C4210" s="6" t="s">
        <v>180</v>
      </c>
      <c r="D4210" s="5">
        <v>44961</v>
      </c>
    </row>
    <row r="4211" spans="2:4">
      <c r="B4211" s="6" t="s">
        <v>31</v>
      </c>
      <c r="C4211" s="6" t="s">
        <v>26</v>
      </c>
      <c r="D4211" s="5">
        <v>44961</v>
      </c>
    </row>
    <row r="4212" spans="2:4">
      <c r="B4212" s="6" t="s">
        <v>52</v>
      </c>
      <c r="C4212" s="6" t="s">
        <v>188</v>
      </c>
      <c r="D4212" s="5">
        <v>44961</v>
      </c>
    </row>
    <row r="4213" spans="2:4">
      <c r="B4213" s="6" t="s">
        <v>187</v>
      </c>
      <c r="C4213" s="6" t="s">
        <v>411</v>
      </c>
      <c r="D4213" s="5">
        <v>44961</v>
      </c>
    </row>
    <row r="4214" spans="2:4">
      <c r="B4214" s="6" t="s">
        <v>41</v>
      </c>
      <c r="C4214" s="6" t="s">
        <v>245</v>
      </c>
      <c r="D4214" s="5">
        <v>44961</v>
      </c>
    </row>
    <row r="4215" spans="2:4">
      <c r="B4215" s="6" t="s">
        <v>64</v>
      </c>
      <c r="C4215" s="6" t="s">
        <v>55</v>
      </c>
      <c r="D4215" s="5">
        <v>44961</v>
      </c>
    </row>
    <row r="4216" spans="2:4">
      <c r="B4216" s="6" t="s">
        <v>172</v>
      </c>
      <c r="C4216" s="6" t="s">
        <v>324</v>
      </c>
      <c r="D4216" s="5">
        <v>44961</v>
      </c>
    </row>
    <row r="4217" spans="2:4">
      <c r="B4217" s="6" t="s">
        <v>300</v>
      </c>
      <c r="C4217" s="6" t="s">
        <v>199</v>
      </c>
      <c r="D4217" s="5">
        <v>44961</v>
      </c>
    </row>
    <row r="4218" spans="2:4">
      <c r="B4218" s="6" t="s">
        <v>28</v>
      </c>
      <c r="C4218" s="6" t="s">
        <v>27</v>
      </c>
      <c r="D4218" s="5">
        <v>44961</v>
      </c>
    </row>
    <row r="4219" spans="2:4">
      <c r="B4219" s="6" t="s">
        <v>137</v>
      </c>
      <c r="C4219" s="6" t="s">
        <v>114</v>
      </c>
      <c r="D4219" s="5">
        <v>44961</v>
      </c>
    </row>
    <row r="4220" spans="2:4">
      <c r="B4220" s="6" t="s">
        <v>46</v>
      </c>
      <c r="C4220" s="6" t="s">
        <v>53</v>
      </c>
      <c r="D4220" s="5">
        <v>44961</v>
      </c>
    </row>
    <row r="4221" spans="2:4">
      <c r="B4221" s="6" t="s">
        <v>149</v>
      </c>
      <c r="C4221" s="6" t="s">
        <v>50</v>
      </c>
      <c r="D4221" s="5">
        <v>44961</v>
      </c>
    </row>
    <row r="4222" spans="2:4">
      <c r="B4222" s="6" t="s">
        <v>269</v>
      </c>
      <c r="C4222" s="6" t="s">
        <v>177</v>
      </c>
      <c r="D4222" s="5">
        <v>44961</v>
      </c>
    </row>
    <row r="4223" spans="2:4">
      <c r="B4223" s="6" t="s">
        <v>106</v>
      </c>
      <c r="C4223" s="6" t="s">
        <v>253</v>
      </c>
      <c r="D4223" s="5">
        <v>44961</v>
      </c>
    </row>
    <row r="4224" spans="2:4">
      <c r="B4224" s="6" t="s">
        <v>185</v>
      </c>
      <c r="C4224" s="6" t="s">
        <v>88</v>
      </c>
      <c r="D4224" s="5">
        <v>44961</v>
      </c>
    </row>
    <row r="4225" spans="2:4">
      <c r="B4225" s="6" t="s">
        <v>282</v>
      </c>
      <c r="C4225" s="6" t="s">
        <v>267</v>
      </c>
      <c r="D4225" s="5">
        <v>44961</v>
      </c>
    </row>
    <row r="4226" spans="2:4">
      <c r="B4226" s="6" t="s">
        <v>410</v>
      </c>
      <c r="C4226" s="6" t="s">
        <v>98</v>
      </c>
      <c r="D4226" s="5">
        <v>44961</v>
      </c>
    </row>
    <row r="4227" spans="2:4">
      <c r="B4227" s="6" t="s">
        <v>587</v>
      </c>
      <c r="C4227" s="6" t="s">
        <v>590</v>
      </c>
      <c r="D4227" s="5">
        <v>44961</v>
      </c>
    </row>
    <row r="4228" spans="2:4">
      <c r="B4228" s="6" t="s">
        <v>101</v>
      </c>
      <c r="C4228" s="6" t="s">
        <v>397</v>
      </c>
      <c r="D4228" s="5">
        <v>44961</v>
      </c>
    </row>
    <row r="4229" spans="2:4">
      <c r="B4229" s="6" t="s">
        <v>422</v>
      </c>
      <c r="C4229" s="6" t="s">
        <v>296</v>
      </c>
      <c r="D4229" s="5">
        <v>44961</v>
      </c>
    </row>
    <row r="4230" spans="2:4">
      <c r="B4230" s="6" t="s">
        <v>86</v>
      </c>
      <c r="C4230" s="6" t="s">
        <v>83</v>
      </c>
      <c r="D4230" s="5">
        <v>44961</v>
      </c>
    </row>
    <row r="4231" spans="2:4">
      <c r="B4231" s="6" t="s">
        <v>322</v>
      </c>
      <c r="C4231" s="6" t="s">
        <v>34</v>
      </c>
      <c r="D4231" s="5">
        <v>44961</v>
      </c>
    </row>
    <row r="4232" spans="2:4">
      <c r="B4232" s="6" t="s">
        <v>122</v>
      </c>
      <c r="C4232" s="6" t="s">
        <v>347</v>
      </c>
      <c r="D4232" s="5">
        <v>44961</v>
      </c>
    </row>
    <row r="4233" spans="2:4">
      <c r="B4233" s="6" t="s">
        <v>144</v>
      </c>
      <c r="C4233" s="6" t="s">
        <v>221</v>
      </c>
      <c r="D4233" s="5">
        <v>44961</v>
      </c>
    </row>
    <row r="4234" spans="2:4">
      <c r="B4234" s="6" t="s">
        <v>43</v>
      </c>
      <c r="C4234" s="6" t="s">
        <v>45</v>
      </c>
      <c r="D4234" s="5">
        <v>44961</v>
      </c>
    </row>
    <row r="4235" spans="2:4">
      <c r="B4235" s="6" t="s">
        <v>174</v>
      </c>
      <c r="C4235" s="6" t="s">
        <v>301</v>
      </c>
      <c r="D4235" s="5">
        <v>44961</v>
      </c>
    </row>
    <row r="4236" spans="2:4">
      <c r="B4236" s="6" t="s">
        <v>131</v>
      </c>
      <c r="C4236" s="6" t="s">
        <v>220</v>
      </c>
      <c r="D4236" s="5">
        <v>44961</v>
      </c>
    </row>
    <row r="4237" spans="2:4">
      <c r="B4237" s="6" t="s">
        <v>37</v>
      </c>
      <c r="C4237" s="6" t="s">
        <v>42</v>
      </c>
      <c r="D4237" s="5">
        <v>44961</v>
      </c>
    </row>
    <row r="4238" spans="2:4">
      <c r="B4238" s="6" t="s">
        <v>337</v>
      </c>
      <c r="C4238" s="6" t="s">
        <v>284</v>
      </c>
      <c r="D4238" s="5">
        <v>44961</v>
      </c>
    </row>
    <row r="4239" spans="2:4">
      <c r="B4239" s="6" t="s">
        <v>202</v>
      </c>
      <c r="C4239" s="6" t="s">
        <v>191</v>
      </c>
      <c r="D4239" s="5">
        <v>44961</v>
      </c>
    </row>
    <row r="4240" spans="2:4">
      <c r="B4240" s="6" t="s">
        <v>425</v>
      </c>
      <c r="C4240" s="6" t="s">
        <v>192</v>
      </c>
      <c r="D4240" s="5">
        <v>44961</v>
      </c>
    </row>
    <row r="4241" spans="2:4">
      <c r="B4241" s="6" t="s">
        <v>287</v>
      </c>
      <c r="C4241" s="6" t="s">
        <v>104</v>
      </c>
      <c r="D4241" s="5">
        <v>44961</v>
      </c>
    </row>
    <row r="4242" spans="2:4">
      <c r="B4242" s="6" t="s">
        <v>171</v>
      </c>
      <c r="C4242" s="6" t="s">
        <v>261</v>
      </c>
      <c r="D4242" s="5">
        <v>44961</v>
      </c>
    </row>
    <row r="4243" spans="2:4">
      <c r="B4243" s="6" t="s">
        <v>127</v>
      </c>
      <c r="C4243" s="6" t="s">
        <v>209</v>
      </c>
      <c r="D4243" s="5">
        <v>44961</v>
      </c>
    </row>
    <row r="4244" spans="2:4">
      <c r="B4244" s="6" t="s">
        <v>109</v>
      </c>
      <c r="C4244" s="6" t="s">
        <v>247</v>
      </c>
      <c r="D4244" s="5">
        <v>44961</v>
      </c>
    </row>
    <row r="4245" spans="2:4">
      <c r="B4245" s="6" t="s">
        <v>336</v>
      </c>
      <c r="C4245" s="6" t="s">
        <v>246</v>
      </c>
      <c r="D4245" s="5">
        <v>44961</v>
      </c>
    </row>
    <row r="4246" spans="2:4">
      <c r="B4246" s="6" t="s">
        <v>259</v>
      </c>
      <c r="C4246" s="6" t="s">
        <v>316</v>
      </c>
      <c r="D4246" s="5">
        <v>44961</v>
      </c>
    </row>
    <row r="4247" spans="2:4">
      <c r="B4247" s="6" t="s">
        <v>208</v>
      </c>
      <c r="C4247" s="6" t="s">
        <v>196</v>
      </c>
      <c r="D4247" s="5">
        <v>44961</v>
      </c>
    </row>
    <row r="4248" spans="2:4">
      <c r="B4248" s="6" t="s">
        <v>413</v>
      </c>
      <c r="C4248" s="6" t="s">
        <v>327</v>
      </c>
      <c r="D4248" s="5">
        <v>44961</v>
      </c>
    </row>
    <row r="4249" spans="2:4">
      <c r="B4249" s="6" t="s">
        <v>118</v>
      </c>
      <c r="C4249" s="6" t="s">
        <v>432</v>
      </c>
      <c r="D4249" s="5">
        <v>44961</v>
      </c>
    </row>
    <row r="4250" spans="2:4">
      <c r="B4250" s="6" t="s">
        <v>272</v>
      </c>
      <c r="C4250" s="6" t="s">
        <v>129</v>
      </c>
      <c r="D4250" s="5">
        <v>44961</v>
      </c>
    </row>
    <row r="4251" spans="2:4">
      <c r="B4251" s="6" t="s">
        <v>115</v>
      </c>
      <c r="C4251" s="6" t="s">
        <v>146</v>
      </c>
      <c r="D4251" s="5">
        <v>44961</v>
      </c>
    </row>
    <row r="4252" spans="2:4">
      <c r="B4252" s="6" t="s">
        <v>142</v>
      </c>
      <c r="C4252" s="6" t="s">
        <v>355</v>
      </c>
      <c r="D4252" s="5">
        <v>44961</v>
      </c>
    </row>
    <row r="4253" spans="2:4">
      <c r="B4253" s="6" t="s">
        <v>61</v>
      </c>
      <c r="C4253" s="6" t="s">
        <v>60</v>
      </c>
      <c r="D4253" s="5">
        <v>44961</v>
      </c>
    </row>
    <row r="4254" spans="2:4">
      <c r="B4254" s="6" t="s">
        <v>350</v>
      </c>
      <c r="C4254" s="6" t="s">
        <v>281</v>
      </c>
      <c r="D4254" s="5">
        <v>44961</v>
      </c>
    </row>
    <row r="4255" spans="2:4">
      <c r="B4255" s="6" t="s">
        <v>414</v>
      </c>
      <c r="C4255" s="6" t="s">
        <v>203</v>
      </c>
      <c r="D4255" s="5">
        <v>44961</v>
      </c>
    </row>
    <row r="4256" spans="2:4">
      <c r="B4256" s="6" t="s">
        <v>51</v>
      </c>
      <c r="C4256" s="6" t="s">
        <v>48</v>
      </c>
      <c r="D4256" s="5">
        <v>44961</v>
      </c>
    </row>
    <row r="4257" spans="2:4">
      <c r="B4257" s="6" t="s">
        <v>215</v>
      </c>
      <c r="C4257" s="6" t="s">
        <v>205</v>
      </c>
      <c r="D4257" s="5">
        <v>44961</v>
      </c>
    </row>
    <row r="4258" spans="2:4">
      <c r="B4258" s="6" t="s">
        <v>102</v>
      </c>
      <c r="C4258" s="6" t="s">
        <v>436</v>
      </c>
      <c r="D4258" s="5">
        <v>44961</v>
      </c>
    </row>
    <row r="4259" spans="2:4">
      <c r="B4259" s="6" t="s">
        <v>175</v>
      </c>
      <c r="C4259" s="6" t="s">
        <v>338</v>
      </c>
      <c r="D4259" s="5">
        <v>44961</v>
      </c>
    </row>
    <row r="4260" spans="2:4">
      <c r="B4260" s="6" t="s">
        <v>333</v>
      </c>
      <c r="C4260" s="6" t="s">
        <v>306</v>
      </c>
      <c r="D4260" s="5">
        <v>44961</v>
      </c>
    </row>
    <row r="4261" spans="2:4">
      <c r="B4261" s="6" t="s">
        <v>367</v>
      </c>
      <c r="C4261" s="6" t="s">
        <v>294</v>
      </c>
      <c r="D4261" s="5">
        <v>44961</v>
      </c>
    </row>
    <row r="4262" spans="2:4">
      <c r="B4262" s="6" t="s">
        <v>385</v>
      </c>
      <c r="C4262" s="6" t="s">
        <v>359</v>
      </c>
      <c r="D4262" s="5">
        <v>44961</v>
      </c>
    </row>
    <row r="4263" spans="2:4">
      <c r="B4263" s="6" t="s">
        <v>357</v>
      </c>
      <c r="C4263" s="6" t="s">
        <v>330</v>
      </c>
      <c r="D4263" s="5">
        <v>44961</v>
      </c>
    </row>
    <row r="4264" spans="2:4">
      <c r="B4264" s="6" t="s">
        <v>248</v>
      </c>
      <c r="C4264" s="6" t="s">
        <v>353</v>
      </c>
      <c r="D4264" s="5">
        <v>44961</v>
      </c>
    </row>
    <row r="4265" spans="2:4">
      <c r="B4265" s="6" t="s">
        <v>90</v>
      </c>
      <c r="C4265" s="6" t="s">
        <v>84</v>
      </c>
      <c r="D4265" s="5">
        <v>44961</v>
      </c>
    </row>
    <row r="4266" spans="2:4">
      <c r="B4266" s="6" t="s">
        <v>33</v>
      </c>
      <c r="C4266" s="6" t="s">
        <v>30</v>
      </c>
      <c r="D4266" s="5">
        <v>44961</v>
      </c>
    </row>
    <row r="4267" spans="2:4">
      <c r="B4267" s="6" t="s">
        <v>62</v>
      </c>
      <c r="C4267" s="6" t="s">
        <v>58</v>
      </c>
      <c r="D4267" s="5">
        <v>44961</v>
      </c>
    </row>
    <row r="4268" spans="2:4">
      <c r="B4268" s="6" t="s">
        <v>81</v>
      </c>
      <c r="C4268" s="6" t="s">
        <v>82</v>
      </c>
      <c r="D4268" s="5">
        <v>44961</v>
      </c>
    </row>
    <row r="4269" spans="2:4">
      <c r="B4269" s="6" t="s">
        <v>275</v>
      </c>
      <c r="C4269" s="6" t="s">
        <v>341</v>
      </c>
      <c r="D4269" s="5">
        <v>44961</v>
      </c>
    </row>
    <row r="4270" spans="2:4">
      <c r="B4270" s="6" t="s">
        <v>399</v>
      </c>
      <c r="C4270" s="6" t="s">
        <v>232</v>
      </c>
      <c r="D4270" s="5">
        <v>44961</v>
      </c>
    </row>
    <row r="4271" spans="2:4">
      <c r="B4271" s="6" t="s">
        <v>360</v>
      </c>
      <c r="C4271" s="6" t="s">
        <v>176</v>
      </c>
      <c r="D4271" s="5">
        <v>44961</v>
      </c>
    </row>
    <row r="4272" spans="2:4">
      <c r="B4272" s="6" t="s">
        <v>325</v>
      </c>
      <c r="C4272" s="6" t="s">
        <v>312</v>
      </c>
      <c r="D4272" s="5">
        <v>44961</v>
      </c>
    </row>
    <row r="4273" spans="2:4">
      <c r="B4273" s="6" t="s">
        <v>313</v>
      </c>
      <c r="C4273" s="6" t="s">
        <v>376</v>
      </c>
      <c r="D4273" s="5">
        <v>44961</v>
      </c>
    </row>
    <row r="4274" spans="2:4">
      <c r="B4274" s="6" t="s">
        <v>195</v>
      </c>
      <c r="C4274" s="6" t="s">
        <v>274</v>
      </c>
      <c r="D4274" s="5">
        <v>44961</v>
      </c>
    </row>
    <row r="4275" spans="2:4">
      <c r="B4275" s="6" t="s">
        <v>182</v>
      </c>
      <c r="C4275" s="6" t="s">
        <v>421</v>
      </c>
      <c r="D4275" s="5">
        <v>44961</v>
      </c>
    </row>
    <row r="4276" spans="2:4">
      <c r="B4276" s="6" t="s">
        <v>273</v>
      </c>
      <c r="C4276" s="6" t="s">
        <v>297</v>
      </c>
      <c r="D4276" s="5">
        <v>44961</v>
      </c>
    </row>
    <row r="4277" spans="2:4">
      <c r="B4277" s="6" t="s">
        <v>286</v>
      </c>
      <c r="C4277" s="6" t="s">
        <v>409</v>
      </c>
      <c r="D4277" s="5">
        <v>44961</v>
      </c>
    </row>
    <row r="4278" spans="2:4">
      <c r="B4278" s="6" t="s">
        <v>304</v>
      </c>
      <c r="C4278" s="6" t="s">
        <v>321</v>
      </c>
      <c r="D4278" s="5">
        <v>44961</v>
      </c>
    </row>
    <row r="4279" spans="2:4">
      <c r="B4279" s="6" t="s">
        <v>178</v>
      </c>
      <c r="C4279" s="6" t="s">
        <v>99</v>
      </c>
      <c r="D4279" s="5">
        <v>44961</v>
      </c>
    </row>
    <row r="4280" spans="2:4">
      <c r="B4280" s="6" t="s">
        <v>147</v>
      </c>
      <c r="C4280" s="6" t="s">
        <v>610</v>
      </c>
      <c r="D4280" s="5">
        <v>44961</v>
      </c>
    </row>
    <row r="4281" spans="2:4">
      <c r="B4281" s="6" t="s">
        <v>183</v>
      </c>
      <c r="C4281" s="6" t="s">
        <v>640</v>
      </c>
      <c r="D4281" s="5">
        <v>44961</v>
      </c>
    </row>
    <row r="4282" spans="2:4">
      <c r="B4282" s="6" t="s">
        <v>615</v>
      </c>
      <c r="C4282" s="6" t="s">
        <v>305</v>
      </c>
      <c r="D4282" s="5">
        <v>44961</v>
      </c>
    </row>
    <row r="4283" spans="2:4">
      <c r="B4283" s="6" t="s">
        <v>329</v>
      </c>
      <c r="C4283" s="6" t="s">
        <v>309</v>
      </c>
      <c r="D4283" s="5">
        <v>44961</v>
      </c>
    </row>
    <row r="4284" spans="2:4">
      <c r="B4284" s="6" t="s">
        <v>240</v>
      </c>
      <c r="C4284" s="6" t="s">
        <v>370</v>
      </c>
      <c r="D4284" s="5">
        <v>44961</v>
      </c>
    </row>
    <row r="4285" spans="2:4">
      <c r="B4285" s="6" t="s">
        <v>603</v>
      </c>
      <c r="C4285" s="6" t="s">
        <v>250</v>
      </c>
      <c r="D4285" s="5">
        <v>44961</v>
      </c>
    </row>
    <row r="4286" spans="2:4">
      <c r="B4286" s="6" t="s">
        <v>156</v>
      </c>
      <c r="C4286" s="6" t="s">
        <v>332</v>
      </c>
      <c r="D4286" s="5">
        <v>44961</v>
      </c>
    </row>
    <row r="4287" spans="2:4">
      <c r="B4287" s="6" t="s">
        <v>580</v>
      </c>
      <c r="C4287" s="6" t="s">
        <v>278</v>
      </c>
      <c r="D4287" s="5">
        <v>44961</v>
      </c>
    </row>
    <row r="4288" spans="2:4">
      <c r="B4288" s="6" t="s">
        <v>186</v>
      </c>
      <c r="C4288" s="6" t="s">
        <v>326</v>
      </c>
      <c r="D4288" s="5">
        <v>44961</v>
      </c>
    </row>
    <row r="4289" spans="2:4">
      <c r="B4289" s="6" t="s">
        <v>54</v>
      </c>
      <c r="C4289" s="6" t="s">
        <v>47</v>
      </c>
      <c r="D4289" s="5">
        <v>44961</v>
      </c>
    </row>
    <row r="4290" spans="2:4">
      <c r="B4290" s="6" t="s">
        <v>310</v>
      </c>
      <c r="C4290" s="6" t="s">
        <v>179</v>
      </c>
      <c r="D4290" s="5">
        <v>44961</v>
      </c>
    </row>
    <row r="4291" spans="2:4">
      <c r="B4291" s="6" t="s">
        <v>134</v>
      </c>
      <c r="C4291" s="6" t="s">
        <v>295</v>
      </c>
      <c r="D4291" s="5">
        <v>44961</v>
      </c>
    </row>
    <row r="4292" spans="2:4">
      <c r="B4292" s="6" t="s">
        <v>39</v>
      </c>
      <c r="C4292" s="6" t="s">
        <v>302</v>
      </c>
      <c r="D4292" s="5">
        <v>44961</v>
      </c>
    </row>
    <row r="4293" spans="2:4">
      <c r="B4293" s="6" t="s">
        <v>323</v>
      </c>
      <c r="C4293" s="6" t="s">
        <v>415</v>
      </c>
      <c r="D4293" s="5">
        <v>44961</v>
      </c>
    </row>
    <row r="4294" spans="2:4">
      <c r="B4294" s="6" t="s">
        <v>388</v>
      </c>
      <c r="C4294" s="6" t="s">
        <v>344</v>
      </c>
      <c r="D4294" s="5">
        <v>44961</v>
      </c>
    </row>
    <row r="4295" spans="2:4">
      <c r="B4295" s="6" t="s">
        <v>288</v>
      </c>
      <c r="C4295" s="6" t="s">
        <v>400</v>
      </c>
      <c r="D4295" s="5">
        <v>44961</v>
      </c>
    </row>
    <row r="4296" spans="2:4">
      <c r="B4296" s="6" t="s">
        <v>194</v>
      </c>
      <c r="C4296" s="6" t="s">
        <v>150</v>
      </c>
      <c r="D4296" s="5">
        <v>44961</v>
      </c>
    </row>
    <row r="4297" spans="2:4">
      <c r="B4297" s="6" t="s">
        <v>389</v>
      </c>
      <c r="C4297" s="6" t="s">
        <v>158</v>
      </c>
      <c r="D4297" s="5">
        <v>44961</v>
      </c>
    </row>
    <row r="4298" spans="2:4">
      <c r="B4298" s="6" t="s">
        <v>128</v>
      </c>
      <c r="C4298" s="6" t="s">
        <v>201</v>
      </c>
      <c r="D4298" s="5">
        <v>44961</v>
      </c>
    </row>
    <row r="4299" spans="2:4">
      <c r="B4299" s="6" t="s">
        <v>588</v>
      </c>
      <c r="C4299" s="6" t="s">
        <v>342</v>
      </c>
      <c r="D4299" s="5">
        <v>44961</v>
      </c>
    </row>
    <row r="4300" spans="2:4">
      <c r="B4300" s="6" t="s">
        <v>97</v>
      </c>
      <c r="C4300" s="6" t="s">
        <v>138</v>
      </c>
      <c r="D4300" s="5">
        <v>44961</v>
      </c>
    </row>
    <row r="4301" spans="2:4">
      <c r="B4301" s="6" t="s">
        <v>280</v>
      </c>
      <c r="C4301" s="6" t="s">
        <v>213</v>
      </c>
      <c r="D4301" s="5">
        <v>44961</v>
      </c>
    </row>
    <row r="4302" spans="2:4">
      <c r="B4302" s="6" t="s">
        <v>139</v>
      </c>
      <c r="C4302" s="6" t="s">
        <v>363</v>
      </c>
      <c r="D4302" s="5">
        <v>44961</v>
      </c>
    </row>
    <row r="4303" spans="2:4">
      <c r="B4303" s="6" t="s">
        <v>318</v>
      </c>
      <c r="C4303" s="6" t="s">
        <v>119</v>
      </c>
      <c r="D4303" s="5">
        <v>44961</v>
      </c>
    </row>
    <row r="4304" spans="2:4">
      <c r="B4304" s="6" t="s">
        <v>351</v>
      </c>
      <c r="C4304" s="6" t="s">
        <v>100</v>
      </c>
      <c r="D4304" s="5">
        <v>44961</v>
      </c>
    </row>
    <row r="4305" spans="2:4">
      <c r="B4305" s="6" t="s">
        <v>419</v>
      </c>
      <c r="C4305" s="6" t="s">
        <v>125</v>
      </c>
      <c r="D4305" s="5">
        <v>44961</v>
      </c>
    </row>
    <row r="4306" spans="2:4">
      <c r="B4306" s="6" t="s">
        <v>108</v>
      </c>
      <c r="C4306" s="6" t="s">
        <v>107</v>
      </c>
      <c r="D4306" s="5">
        <v>44961</v>
      </c>
    </row>
    <row r="4307" spans="2:4">
      <c r="B4307" s="6" t="s">
        <v>242</v>
      </c>
      <c r="C4307" s="6" t="s">
        <v>368</v>
      </c>
      <c r="D4307" s="5">
        <v>44961</v>
      </c>
    </row>
    <row r="4308" spans="2:4">
      <c r="B4308" s="6" t="s">
        <v>85</v>
      </c>
      <c r="C4308" s="6" t="s">
        <v>87</v>
      </c>
      <c r="D4308" s="5">
        <v>44961</v>
      </c>
    </row>
    <row r="4309" spans="2:4">
      <c r="B4309" s="6" t="s">
        <v>111</v>
      </c>
      <c r="C4309" s="6" t="s">
        <v>103</v>
      </c>
      <c r="D4309" s="5">
        <v>44961</v>
      </c>
    </row>
    <row r="4310" spans="2:4">
      <c r="B4310" s="6" t="s">
        <v>151</v>
      </c>
      <c r="C4310" s="6" t="s">
        <v>348</v>
      </c>
      <c r="D4310" s="5">
        <v>44961</v>
      </c>
    </row>
    <row r="4311" spans="2:4">
      <c r="B4311" s="6" t="s">
        <v>391</v>
      </c>
      <c r="C4311" s="6" t="s">
        <v>426</v>
      </c>
      <c r="D4311" s="5">
        <v>44961</v>
      </c>
    </row>
    <row r="4312" spans="2:4">
      <c r="B4312" s="6" t="s">
        <v>44</v>
      </c>
      <c r="C4312" s="6" t="s">
        <v>251</v>
      </c>
      <c r="D4312" s="5">
        <v>44961</v>
      </c>
    </row>
    <row r="4313" spans="2:4">
      <c r="B4313" s="6" t="s">
        <v>364</v>
      </c>
      <c r="C4313" s="6" t="s">
        <v>303</v>
      </c>
      <c r="D4313" s="5">
        <v>44961</v>
      </c>
    </row>
    <row r="4314" spans="2:4">
      <c r="B4314" s="6" t="s">
        <v>75</v>
      </c>
      <c r="C4314" s="6" t="s">
        <v>78</v>
      </c>
      <c r="D4314" s="5">
        <v>44961</v>
      </c>
    </row>
    <row r="4315" spans="2:4">
      <c r="B4315" s="6" t="s">
        <v>113</v>
      </c>
      <c r="C4315" s="6" t="s">
        <v>148</v>
      </c>
      <c r="D4315" s="5">
        <v>44961</v>
      </c>
    </row>
    <row r="4316" spans="2:4">
      <c r="B4316" s="6" t="s">
        <v>94</v>
      </c>
      <c r="C4316" s="6" t="s">
        <v>343</v>
      </c>
      <c r="D4316" s="5">
        <v>44961</v>
      </c>
    </row>
    <row r="4317" spans="2:4">
      <c r="B4317" s="6" t="s">
        <v>110</v>
      </c>
      <c r="C4317" s="6" t="s">
        <v>270</v>
      </c>
      <c r="D4317" s="5">
        <v>44961</v>
      </c>
    </row>
    <row r="4318" spans="2:4">
      <c r="B4318" s="6" t="s">
        <v>140</v>
      </c>
      <c r="C4318" s="6" t="s">
        <v>362</v>
      </c>
      <c r="D4318" s="5">
        <v>44961</v>
      </c>
    </row>
    <row r="4319" spans="2:4">
      <c r="B4319" s="6" t="s">
        <v>136</v>
      </c>
      <c r="C4319" s="6" t="s">
        <v>289</v>
      </c>
      <c r="D4319" s="5">
        <v>44961</v>
      </c>
    </row>
    <row r="4320" spans="2:4">
      <c r="B4320" s="6" t="s">
        <v>418</v>
      </c>
      <c r="C4320" s="6" t="s">
        <v>256</v>
      </c>
      <c r="D4320" s="5">
        <v>44961</v>
      </c>
    </row>
    <row r="4321" spans="2:4">
      <c r="B4321" s="6" t="s">
        <v>412</v>
      </c>
      <c r="C4321" s="6" t="s">
        <v>266</v>
      </c>
      <c r="D4321" s="5">
        <v>44961</v>
      </c>
    </row>
    <row r="4322" spans="2:4">
      <c r="B4322" s="6" t="s">
        <v>420</v>
      </c>
      <c r="C4322" s="6" t="s">
        <v>167</v>
      </c>
      <c r="D4322" s="5">
        <v>44961</v>
      </c>
    </row>
    <row r="4323" spans="2:4">
      <c r="B4323" s="6" t="s">
        <v>292</v>
      </c>
      <c r="C4323" s="6" t="s">
        <v>173</v>
      </c>
      <c r="D4323" s="5">
        <v>44961</v>
      </c>
    </row>
    <row r="4324" spans="2:4">
      <c r="B4324" s="6" t="s">
        <v>255</v>
      </c>
      <c r="C4324" s="6" t="s">
        <v>356</v>
      </c>
      <c r="D4324" s="5">
        <v>44961</v>
      </c>
    </row>
    <row r="4325" spans="2:4">
      <c r="B4325" s="6" t="s">
        <v>354</v>
      </c>
      <c r="C4325" s="6" t="s">
        <v>120</v>
      </c>
      <c r="D4325" s="5">
        <v>44961</v>
      </c>
    </row>
    <row r="4326" spans="2:4">
      <c r="B4326" s="6" t="s">
        <v>38</v>
      </c>
      <c r="C4326" s="6" t="s">
        <v>35</v>
      </c>
      <c r="D4326" s="5">
        <v>44961</v>
      </c>
    </row>
    <row r="4327" spans="2:4">
      <c r="B4327" s="6" t="s">
        <v>252</v>
      </c>
      <c r="C4327" s="6" t="s">
        <v>214</v>
      </c>
      <c r="D4327" s="5">
        <v>44961</v>
      </c>
    </row>
    <row r="4328" spans="2:4">
      <c r="B4328" s="6" t="s">
        <v>308</v>
      </c>
      <c r="C4328" s="6" t="s">
        <v>181</v>
      </c>
      <c r="D4328" s="5">
        <v>44961</v>
      </c>
    </row>
    <row r="4329" spans="2:4">
      <c r="B4329" s="6" t="s">
        <v>32</v>
      </c>
      <c r="C4329" s="6" t="s">
        <v>29</v>
      </c>
      <c r="D4329" s="5">
        <v>44961</v>
      </c>
    </row>
    <row r="4330" spans="2:4">
      <c r="B4330" s="6" t="s">
        <v>314</v>
      </c>
      <c r="C4330" s="6" t="s">
        <v>382</v>
      </c>
      <c r="D4330" s="5">
        <v>44961</v>
      </c>
    </row>
    <row r="4331" spans="2:4">
      <c r="B4331" s="6" t="s">
        <v>143</v>
      </c>
      <c r="C4331" s="6" t="s">
        <v>135</v>
      </c>
      <c r="D4331" s="5">
        <v>44961</v>
      </c>
    </row>
    <row r="4332" spans="2:4">
      <c r="B4332" s="6" t="s">
        <v>584</v>
      </c>
      <c r="C4332" s="6" t="s">
        <v>319</v>
      </c>
      <c r="D4332" s="5">
        <v>44961</v>
      </c>
    </row>
    <row r="4333" spans="2:4">
      <c r="B4333" s="6" t="s">
        <v>386</v>
      </c>
      <c r="C4333" s="6" t="s">
        <v>168</v>
      </c>
      <c r="D4333" s="5">
        <v>44961</v>
      </c>
    </row>
    <row r="4334" spans="2:4">
      <c r="B4334" s="6" t="s">
        <v>381</v>
      </c>
      <c r="C4334" s="6" t="s">
        <v>290</v>
      </c>
      <c r="D4334" s="5">
        <v>44961</v>
      </c>
    </row>
    <row r="4335" spans="2:4">
      <c r="B4335" s="6" t="s">
        <v>165</v>
      </c>
      <c r="C4335" s="6" t="s">
        <v>161</v>
      </c>
      <c r="D4335" s="5">
        <v>44961</v>
      </c>
    </row>
    <row r="4336" spans="2:4">
      <c r="B4336" s="6" t="s">
        <v>365</v>
      </c>
      <c r="C4336" s="6" t="s">
        <v>193</v>
      </c>
      <c r="D4336" s="5">
        <v>44961</v>
      </c>
    </row>
    <row r="4337" spans="2:4">
      <c r="B4337" s="6" t="s">
        <v>331</v>
      </c>
      <c r="C4337" s="6" t="s">
        <v>184</v>
      </c>
      <c r="D4337" s="5">
        <v>44961</v>
      </c>
    </row>
    <row r="4338" spans="2:4">
      <c r="B4338" s="6" t="s">
        <v>153</v>
      </c>
      <c r="C4338" s="6" t="s">
        <v>206</v>
      </c>
      <c r="D4338" s="5">
        <v>44961</v>
      </c>
    </row>
    <row r="4339" spans="2:4">
      <c r="B4339" s="6" t="s">
        <v>80</v>
      </c>
      <c r="C4339" s="6" t="s">
        <v>79</v>
      </c>
      <c r="D4339" s="5">
        <v>44961</v>
      </c>
    </row>
    <row r="4340" spans="2:4">
      <c r="B4340" s="6" t="s">
        <v>91</v>
      </c>
      <c r="C4340" s="6" t="s">
        <v>89</v>
      </c>
      <c r="D4340" s="5">
        <v>44961</v>
      </c>
    </row>
    <row r="4341" spans="2:4">
      <c r="B4341" s="6" t="s">
        <v>63</v>
      </c>
      <c r="C4341" s="6" t="s">
        <v>56</v>
      </c>
      <c r="D4341" s="5">
        <v>44961</v>
      </c>
    </row>
    <row r="4342" spans="2:4">
      <c r="B4342" s="6" t="s">
        <v>375</v>
      </c>
      <c r="C4342" s="6" t="s">
        <v>424</v>
      </c>
      <c r="D4342" s="5">
        <v>44961</v>
      </c>
    </row>
    <row r="4343" spans="2:4">
      <c r="B4343" s="6" t="s">
        <v>607</v>
      </c>
      <c r="C4343" s="6" t="s">
        <v>378</v>
      </c>
      <c r="D4343" s="5">
        <v>44961</v>
      </c>
    </row>
    <row r="4344" spans="2:4">
      <c r="B4344" s="6" t="s">
        <v>157</v>
      </c>
      <c r="C4344" s="6" t="s">
        <v>427</v>
      </c>
      <c r="D4344" s="5">
        <v>44961</v>
      </c>
    </row>
    <row r="4345" spans="2:4">
      <c r="B4345" s="6" t="s">
        <v>621</v>
      </c>
      <c r="C4345" s="6" t="s">
        <v>154</v>
      </c>
      <c r="D4345" s="5">
        <v>44961</v>
      </c>
    </row>
    <row r="4346" spans="2:4">
      <c r="B4346" s="6" t="s">
        <v>190</v>
      </c>
      <c r="C4346" s="6" t="s">
        <v>403</v>
      </c>
      <c r="D4346" s="5">
        <v>44961</v>
      </c>
    </row>
    <row r="4347" spans="2:4">
      <c r="B4347" s="6" t="s">
        <v>70</v>
      </c>
      <c r="C4347" s="6" t="s">
        <v>76</v>
      </c>
      <c r="D4347" s="5">
        <v>44961</v>
      </c>
    </row>
    <row r="4348" spans="2:4">
      <c r="B4348" s="6" t="s">
        <v>74</v>
      </c>
      <c r="C4348" s="6" t="s">
        <v>71</v>
      </c>
      <c r="D4348" s="5">
        <v>44961</v>
      </c>
    </row>
    <row r="4349" spans="2:4">
      <c r="B4349" s="6" t="s">
        <v>433</v>
      </c>
      <c r="C4349" s="6" t="s">
        <v>152</v>
      </c>
      <c r="D4349" s="5">
        <v>44961</v>
      </c>
    </row>
    <row r="4350" spans="2:4">
      <c r="B4350" s="6" t="s">
        <v>159</v>
      </c>
      <c r="C4350" s="6" t="s">
        <v>345</v>
      </c>
      <c r="D4350" s="5">
        <v>44961</v>
      </c>
    </row>
    <row r="4351" spans="2:4">
      <c r="B4351" s="6" t="s">
        <v>404</v>
      </c>
      <c r="C4351" s="6" t="s">
        <v>160</v>
      </c>
      <c r="D4351" s="5">
        <v>44961</v>
      </c>
    </row>
    <row r="4352" spans="2:4">
      <c r="B4352" s="6" t="s">
        <v>166</v>
      </c>
      <c r="C4352" s="6" t="s">
        <v>396</v>
      </c>
      <c r="D4352" s="5">
        <v>44961</v>
      </c>
    </row>
    <row r="4353" spans="2:4">
      <c r="B4353" s="6" t="s">
        <v>236</v>
      </c>
      <c r="C4353" s="6" t="s">
        <v>586</v>
      </c>
      <c r="D4353" s="5">
        <v>44961</v>
      </c>
    </row>
    <row r="4354" spans="2:4">
      <c r="B4354" s="6" t="s">
        <v>207</v>
      </c>
      <c r="C4354" s="6" t="s">
        <v>428</v>
      </c>
      <c r="D4354" s="5">
        <v>44961</v>
      </c>
    </row>
    <row r="4355" spans="2:4">
      <c r="B4355" s="6" t="s">
        <v>599</v>
      </c>
      <c r="C4355" s="6" t="s">
        <v>423</v>
      </c>
      <c r="D4355" s="5">
        <v>44961</v>
      </c>
    </row>
    <row r="4356" spans="2:4">
      <c r="B4356" s="6" t="s">
        <v>402</v>
      </c>
      <c r="C4356" s="6" t="s">
        <v>393</v>
      </c>
      <c r="D4356" s="5">
        <v>44961</v>
      </c>
    </row>
    <row r="4357" spans="2:4">
      <c r="B4357" s="6" t="s">
        <v>36</v>
      </c>
      <c r="C4357" s="6" t="s">
        <v>155</v>
      </c>
      <c r="D4357" s="5">
        <v>44962</v>
      </c>
    </row>
    <row r="4358" spans="2:4">
      <c r="B4358" s="6" t="s">
        <v>334</v>
      </c>
      <c r="C4358" s="6" t="s">
        <v>210</v>
      </c>
      <c r="D4358" s="5">
        <v>44962</v>
      </c>
    </row>
    <row r="4359" spans="2:4">
      <c r="B4359" s="6" t="s">
        <v>200</v>
      </c>
      <c r="C4359" s="6" t="s">
        <v>349</v>
      </c>
      <c r="D4359" s="5">
        <v>44962</v>
      </c>
    </row>
    <row r="4360" spans="2:4">
      <c r="B4360" s="6" t="s">
        <v>59</v>
      </c>
      <c r="C4360" s="6" t="s">
        <v>57</v>
      </c>
      <c r="D4360" s="5">
        <v>44962</v>
      </c>
    </row>
    <row r="4361" spans="2:4">
      <c r="B4361" s="6" t="s">
        <v>241</v>
      </c>
      <c r="C4361" s="6" t="s">
        <v>320</v>
      </c>
      <c r="D4361" s="5">
        <v>44962</v>
      </c>
    </row>
    <row r="4362" spans="2:4">
      <c r="B4362" s="6" t="s">
        <v>130</v>
      </c>
      <c r="C4362" s="6" t="s">
        <v>204</v>
      </c>
      <c r="D4362" s="5">
        <v>44962</v>
      </c>
    </row>
    <row r="4363" spans="2:4">
      <c r="B4363" s="6" t="s">
        <v>216</v>
      </c>
      <c r="C4363" s="6" t="s">
        <v>233</v>
      </c>
      <c r="D4363" s="5">
        <v>44962</v>
      </c>
    </row>
    <row r="4364" spans="2:4">
      <c r="B4364" s="6" t="s">
        <v>361</v>
      </c>
      <c r="C4364" s="6" t="s">
        <v>211</v>
      </c>
      <c r="D4364" s="5">
        <v>44962</v>
      </c>
    </row>
    <row r="4365" spans="2:4">
      <c r="B4365" s="6" t="s">
        <v>230</v>
      </c>
      <c r="C4365" s="6" t="s">
        <v>117</v>
      </c>
      <c r="D4365" s="5">
        <v>44962</v>
      </c>
    </row>
    <row r="4366" spans="2:4">
      <c r="B4366" s="6" t="s">
        <v>112</v>
      </c>
      <c r="C4366" s="6" t="s">
        <v>285</v>
      </c>
      <c r="D4366" s="5">
        <v>44962</v>
      </c>
    </row>
    <row r="4367" spans="2:4">
      <c r="B4367" s="6" t="s">
        <v>95</v>
      </c>
      <c r="C4367" s="6" t="s">
        <v>352</v>
      </c>
      <c r="D4367" s="5">
        <v>44962</v>
      </c>
    </row>
    <row r="4368" spans="2:4">
      <c r="B4368" s="6" t="s">
        <v>67</v>
      </c>
      <c r="C4368" s="6" t="s">
        <v>66</v>
      </c>
      <c r="D4368" s="5">
        <v>44962</v>
      </c>
    </row>
    <row r="4369" spans="2:4">
      <c r="B4369" s="6" t="s">
        <v>145</v>
      </c>
      <c r="C4369" s="6" t="s">
        <v>212</v>
      </c>
      <c r="D4369" s="5">
        <v>44962</v>
      </c>
    </row>
    <row r="4370" spans="2:4">
      <c r="B4370" s="6" t="s">
        <v>77</v>
      </c>
      <c r="C4370" s="6" t="s">
        <v>164</v>
      </c>
      <c r="D4370" s="5">
        <v>44962</v>
      </c>
    </row>
    <row r="4371" spans="2:4">
      <c r="B4371" s="6" t="s">
        <v>65</v>
      </c>
      <c r="C4371" s="6" t="s">
        <v>68</v>
      </c>
      <c r="D4371" s="5">
        <v>44962</v>
      </c>
    </row>
    <row r="4372" spans="2:4">
      <c r="B4372" s="6" t="s">
        <v>72</v>
      </c>
      <c r="C4372" s="6" t="s">
        <v>93</v>
      </c>
      <c r="D4372" s="5">
        <v>44962</v>
      </c>
    </row>
    <row r="4373" spans="2:4">
      <c r="B4373" s="6" t="s">
        <v>122</v>
      </c>
      <c r="C4373" s="6" t="s">
        <v>269</v>
      </c>
      <c r="D4373" s="5">
        <v>44963</v>
      </c>
    </row>
    <row r="4374" spans="2:4">
      <c r="B4374" s="6" t="s">
        <v>48</v>
      </c>
      <c r="C4374" s="6" t="s">
        <v>44</v>
      </c>
      <c r="D4374" s="5">
        <v>44963</v>
      </c>
    </row>
    <row r="4375" spans="2:4">
      <c r="B4375" s="6" t="s">
        <v>131</v>
      </c>
      <c r="C4375" s="6" t="s">
        <v>137</v>
      </c>
      <c r="D4375" s="5">
        <v>44963</v>
      </c>
    </row>
    <row r="4376" spans="2:4">
      <c r="B4376" s="6" t="s">
        <v>308</v>
      </c>
      <c r="C4376" s="6" t="s">
        <v>382</v>
      </c>
      <c r="D4376" s="5">
        <v>44963</v>
      </c>
    </row>
    <row r="4377" spans="2:4">
      <c r="B4377" s="6" t="s">
        <v>156</v>
      </c>
      <c r="C4377" s="6" t="s">
        <v>303</v>
      </c>
      <c r="D4377" s="5">
        <v>44963</v>
      </c>
    </row>
    <row r="4378" spans="2:4">
      <c r="B4378" s="6" t="s">
        <v>358</v>
      </c>
      <c r="C4378" s="6" t="s">
        <v>324</v>
      </c>
      <c r="D4378" s="5">
        <v>44963</v>
      </c>
    </row>
    <row r="4379" spans="2:4">
      <c r="B4379" s="6" t="s">
        <v>403</v>
      </c>
      <c r="C4379" s="6" t="s">
        <v>153</v>
      </c>
      <c r="D4379" s="5">
        <v>44963</v>
      </c>
    </row>
    <row r="4380" spans="2:4">
      <c r="B4380" s="6" t="s">
        <v>399</v>
      </c>
      <c r="C4380" s="6" t="s">
        <v>170</v>
      </c>
      <c r="D4380" s="5">
        <v>44963</v>
      </c>
    </row>
    <row r="4381" spans="2:4">
      <c r="B4381" s="6" t="s">
        <v>364</v>
      </c>
      <c r="C4381" s="6" t="s">
        <v>332</v>
      </c>
      <c r="D4381" s="5">
        <v>44963</v>
      </c>
    </row>
    <row r="4382" spans="2:4">
      <c r="B4382" s="6" t="s">
        <v>26</v>
      </c>
      <c r="C4382" s="6" t="s">
        <v>30</v>
      </c>
      <c r="D4382" s="5">
        <v>44963</v>
      </c>
    </row>
    <row r="4383" spans="2:4">
      <c r="B4383" s="6" t="s">
        <v>249</v>
      </c>
      <c r="C4383" s="6" t="s">
        <v>232</v>
      </c>
      <c r="D4383" s="5">
        <v>44963</v>
      </c>
    </row>
    <row r="4384" spans="2:4">
      <c r="B4384" s="6" t="s">
        <v>314</v>
      </c>
      <c r="C4384" s="6" t="s">
        <v>181</v>
      </c>
      <c r="D4384" s="5">
        <v>44963</v>
      </c>
    </row>
    <row r="4385" spans="2:4">
      <c r="B4385" s="6" t="s">
        <v>426</v>
      </c>
      <c r="C4385" s="6" t="s">
        <v>206</v>
      </c>
      <c r="D4385" s="5">
        <v>44963</v>
      </c>
    </row>
    <row r="4386" spans="2:4">
      <c r="B4386" s="6" t="s">
        <v>62</v>
      </c>
      <c r="C4386" s="6" t="s">
        <v>64</v>
      </c>
      <c r="D4386" s="5">
        <v>44964</v>
      </c>
    </row>
    <row r="4387" spans="2:4">
      <c r="B4387" s="6" t="s">
        <v>245</v>
      </c>
      <c r="C4387" s="6" t="s">
        <v>37</v>
      </c>
      <c r="D4387" s="5">
        <v>44964</v>
      </c>
    </row>
    <row r="4388" spans="2:4">
      <c r="B4388" s="6" t="s">
        <v>53</v>
      </c>
      <c r="C4388" s="6" t="s">
        <v>251</v>
      </c>
      <c r="D4388" s="5">
        <v>44964</v>
      </c>
    </row>
    <row r="4389" spans="2:4">
      <c r="B4389" s="6" t="s">
        <v>91</v>
      </c>
      <c r="C4389" s="6" t="s">
        <v>83</v>
      </c>
      <c r="D4389" s="5">
        <v>44964</v>
      </c>
    </row>
    <row r="4390" spans="2:4">
      <c r="B4390" s="6" t="s">
        <v>121</v>
      </c>
      <c r="C4390" s="6" t="s">
        <v>214</v>
      </c>
      <c r="D4390" s="5">
        <v>44964</v>
      </c>
    </row>
    <row r="4391" spans="2:4">
      <c r="B4391" s="6" t="s">
        <v>221</v>
      </c>
      <c r="C4391" s="6" t="s">
        <v>187</v>
      </c>
      <c r="D4391" s="5">
        <v>44964</v>
      </c>
    </row>
    <row r="4392" spans="2:4">
      <c r="B4392" s="6" t="s">
        <v>264</v>
      </c>
      <c r="C4392" s="6" t="s">
        <v>347</v>
      </c>
      <c r="D4392" s="5">
        <v>44964</v>
      </c>
    </row>
    <row r="4393" spans="2:4">
      <c r="B4393" s="6" t="s">
        <v>49</v>
      </c>
      <c r="C4393" s="6" t="s">
        <v>43</v>
      </c>
      <c r="D4393" s="5">
        <v>44964</v>
      </c>
    </row>
    <row r="4394" spans="2:4">
      <c r="B4394" s="6" t="s">
        <v>89</v>
      </c>
      <c r="C4394" s="6" t="s">
        <v>88</v>
      </c>
      <c r="D4394" s="5">
        <v>44964</v>
      </c>
    </row>
    <row r="4395" spans="2:4">
      <c r="B4395" s="6" t="s">
        <v>267</v>
      </c>
      <c r="C4395" s="6" t="s">
        <v>436</v>
      </c>
      <c r="D4395" s="5">
        <v>44964</v>
      </c>
    </row>
    <row r="4396" spans="2:4">
      <c r="B4396" s="6" t="s">
        <v>362</v>
      </c>
      <c r="C4396" s="6" t="s">
        <v>109</v>
      </c>
      <c r="D4396" s="5">
        <v>44964</v>
      </c>
    </row>
    <row r="4397" spans="2:4">
      <c r="B4397" s="6" t="s">
        <v>203</v>
      </c>
      <c r="C4397" s="6" t="s">
        <v>247</v>
      </c>
      <c r="D4397" s="5">
        <v>44964</v>
      </c>
    </row>
    <row r="4398" spans="2:4">
      <c r="B4398" s="6" t="s">
        <v>209</v>
      </c>
      <c r="C4398" s="6" t="s">
        <v>414</v>
      </c>
      <c r="D4398" s="5">
        <v>44964</v>
      </c>
    </row>
    <row r="4399" spans="2:4">
      <c r="B4399" s="6" t="s">
        <v>105</v>
      </c>
      <c r="C4399" s="6" t="s">
        <v>140</v>
      </c>
      <c r="D4399" s="5">
        <v>44964</v>
      </c>
    </row>
    <row r="4400" spans="2:4">
      <c r="B4400" s="6" t="s">
        <v>180</v>
      </c>
      <c r="C4400" s="6" t="s">
        <v>288</v>
      </c>
      <c r="D4400" s="5">
        <v>44964</v>
      </c>
    </row>
    <row r="4401" spans="2:4">
      <c r="B4401" s="6" t="s">
        <v>312</v>
      </c>
      <c r="C4401" s="6" t="s">
        <v>363</v>
      </c>
      <c r="D4401" s="5">
        <v>44964</v>
      </c>
    </row>
    <row r="4402" spans="2:4">
      <c r="B4402" s="6" t="s">
        <v>400</v>
      </c>
      <c r="C4402" s="6" t="s">
        <v>127</v>
      </c>
      <c r="D4402" s="5">
        <v>44964</v>
      </c>
    </row>
    <row r="4403" spans="2:4">
      <c r="B4403" s="6" t="s">
        <v>60</v>
      </c>
      <c r="C4403" s="6" t="s">
        <v>63</v>
      </c>
      <c r="D4403" s="5">
        <v>44964</v>
      </c>
    </row>
    <row r="4404" spans="2:4">
      <c r="B4404" s="6" t="s">
        <v>42</v>
      </c>
      <c r="C4404" s="6" t="s">
        <v>302</v>
      </c>
      <c r="D4404" s="5">
        <v>44964</v>
      </c>
    </row>
    <row r="4405" spans="2:4">
      <c r="B4405" s="6" t="s">
        <v>80</v>
      </c>
      <c r="C4405" s="6" t="s">
        <v>84</v>
      </c>
      <c r="D4405" s="5">
        <v>44964</v>
      </c>
    </row>
    <row r="4406" spans="2:4">
      <c r="B4406" s="6" t="s">
        <v>33</v>
      </c>
      <c r="C4406" s="6" t="s">
        <v>34</v>
      </c>
      <c r="D4406" s="5">
        <v>44964</v>
      </c>
    </row>
    <row r="4407" spans="2:4">
      <c r="B4407" s="6" t="s">
        <v>188</v>
      </c>
      <c r="C4407" s="6" t="s">
        <v>149</v>
      </c>
      <c r="D4407" s="5">
        <v>44964</v>
      </c>
    </row>
    <row r="4408" spans="2:4">
      <c r="B4408" s="6" t="s">
        <v>55</v>
      </c>
      <c r="C4408" s="6" t="s">
        <v>56</v>
      </c>
      <c r="D4408" s="5">
        <v>44964</v>
      </c>
    </row>
    <row r="4409" spans="2:4">
      <c r="B4409" s="6" t="s">
        <v>87</v>
      </c>
      <c r="C4409" s="6" t="s">
        <v>90</v>
      </c>
      <c r="D4409" s="5">
        <v>44964</v>
      </c>
    </row>
    <row r="4410" spans="2:4">
      <c r="B4410" s="6" t="s">
        <v>133</v>
      </c>
      <c r="C4410" s="6" t="s">
        <v>124</v>
      </c>
      <c r="D4410" s="5">
        <v>44964</v>
      </c>
    </row>
    <row r="4411" spans="2:4">
      <c r="B4411" s="6" t="s">
        <v>198</v>
      </c>
      <c r="C4411" s="6" t="s">
        <v>386</v>
      </c>
      <c r="D4411" s="5">
        <v>44964</v>
      </c>
    </row>
    <row r="4412" spans="2:4">
      <c r="B4412" s="6" t="s">
        <v>189</v>
      </c>
      <c r="C4412" s="6" t="s">
        <v>169</v>
      </c>
      <c r="D4412" s="5">
        <v>44964</v>
      </c>
    </row>
    <row r="4413" spans="2:4">
      <c r="B4413" s="6" t="s">
        <v>394</v>
      </c>
      <c r="C4413" s="6" t="s">
        <v>433</v>
      </c>
      <c r="D4413" s="5">
        <v>44964</v>
      </c>
    </row>
    <row r="4414" spans="2:4">
      <c r="B4414" s="6" t="s">
        <v>148</v>
      </c>
      <c r="C4414" s="6" t="s">
        <v>580</v>
      </c>
      <c r="D4414" s="5">
        <v>44965</v>
      </c>
    </row>
    <row r="4415" spans="2:4">
      <c r="B4415" s="6" t="s">
        <v>272</v>
      </c>
      <c r="C4415" s="6" t="s">
        <v>178</v>
      </c>
      <c r="D4415" s="5">
        <v>44965</v>
      </c>
    </row>
    <row r="4416" spans="2:4">
      <c r="B4416" s="6" t="s">
        <v>36</v>
      </c>
      <c r="C4416" s="6" t="s">
        <v>38</v>
      </c>
      <c r="D4416" s="5">
        <v>44965</v>
      </c>
    </row>
    <row r="4417" spans="2:4">
      <c r="B4417" s="6" t="s">
        <v>59</v>
      </c>
      <c r="C4417" s="6" t="s">
        <v>67</v>
      </c>
      <c r="D4417" s="5">
        <v>44965</v>
      </c>
    </row>
    <row r="4418" spans="2:4">
      <c r="B4418" s="6" t="s">
        <v>297</v>
      </c>
      <c r="C4418" s="6" t="s">
        <v>191</v>
      </c>
      <c r="D4418" s="5">
        <v>44965</v>
      </c>
    </row>
    <row r="4419" spans="2:4">
      <c r="B4419" s="6" t="s">
        <v>99</v>
      </c>
      <c r="C4419" s="6" t="s">
        <v>115</v>
      </c>
      <c r="D4419" s="5">
        <v>44965</v>
      </c>
    </row>
    <row r="4420" spans="2:4">
      <c r="B4420" s="6" t="s">
        <v>185</v>
      </c>
      <c r="C4420" s="6" t="s">
        <v>86</v>
      </c>
      <c r="D4420" s="5">
        <v>44965</v>
      </c>
    </row>
    <row r="4421" spans="2:4">
      <c r="B4421" s="6" t="s">
        <v>122</v>
      </c>
      <c r="C4421" s="6" t="s">
        <v>246</v>
      </c>
      <c r="D4421" s="5">
        <v>44965</v>
      </c>
    </row>
    <row r="4422" spans="2:4">
      <c r="B4422" s="6" t="s">
        <v>32</v>
      </c>
      <c r="C4422" s="6" t="s">
        <v>31</v>
      </c>
      <c r="D4422" s="5">
        <v>44965</v>
      </c>
    </row>
    <row r="4423" spans="2:4">
      <c r="B4423" s="6" t="s">
        <v>231</v>
      </c>
      <c r="C4423" s="6" t="s">
        <v>144</v>
      </c>
      <c r="D4423" s="5">
        <v>44965</v>
      </c>
    </row>
    <row r="4424" spans="2:4">
      <c r="B4424" s="6" t="s">
        <v>176</v>
      </c>
      <c r="C4424" s="6" t="s">
        <v>114</v>
      </c>
      <c r="D4424" s="5">
        <v>44965</v>
      </c>
    </row>
    <row r="4425" spans="2:4">
      <c r="B4425" s="6" t="s">
        <v>278</v>
      </c>
      <c r="C4425" s="6" t="s">
        <v>360</v>
      </c>
      <c r="D4425" s="5">
        <v>44965</v>
      </c>
    </row>
    <row r="4426" spans="2:4">
      <c r="B4426" s="6" t="s">
        <v>320</v>
      </c>
      <c r="C4426" s="6" t="s">
        <v>186</v>
      </c>
      <c r="D4426" s="5">
        <v>44965</v>
      </c>
    </row>
    <row r="4427" spans="2:4">
      <c r="B4427" s="6" t="s">
        <v>325</v>
      </c>
      <c r="C4427" s="6" t="s">
        <v>139</v>
      </c>
      <c r="D4427" s="5">
        <v>44965</v>
      </c>
    </row>
    <row r="4428" spans="2:4">
      <c r="B4428" s="6" t="s">
        <v>45</v>
      </c>
      <c r="C4428" s="6" t="s">
        <v>47</v>
      </c>
      <c r="D4428" s="5">
        <v>44965</v>
      </c>
    </row>
    <row r="4429" spans="2:4">
      <c r="B4429" s="6" t="s">
        <v>50</v>
      </c>
      <c r="C4429" s="6" t="s">
        <v>46</v>
      </c>
      <c r="D4429" s="5">
        <v>44965</v>
      </c>
    </row>
    <row r="4430" spans="2:4">
      <c r="B4430" s="6" t="s">
        <v>52</v>
      </c>
      <c r="C4430" s="6" t="s">
        <v>54</v>
      </c>
      <c r="D4430" s="5">
        <v>44965</v>
      </c>
    </row>
    <row r="4431" spans="2:4">
      <c r="B4431" s="6" t="s">
        <v>174</v>
      </c>
      <c r="C4431" s="6" t="s">
        <v>205</v>
      </c>
      <c r="D4431" s="5">
        <v>44965</v>
      </c>
    </row>
    <row r="4432" spans="2:4">
      <c r="B4432" s="6" t="s">
        <v>301</v>
      </c>
      <c r="C4432" s="6" t="s">
        <v>177</v>
      </c>
      <c r="D4432" s="5">
        <v>44965</v>
      </c>
    </row>
    <row r="4433" spans="2:4">
      <c r="B4433" s="6" t="s">
        <v>215</v>
      </c>
      <c r="C4433" s="6" t="s">
        <v>106</v>
      </c>
      <c r="D4433" s="5">
        <v>44965</v>
      </c>
    </row>
    <row r="4434" spans="2:4">
      <c r="B4434" s="6" t="s">
        <v>253</v>
      </c>
      <c r="C4434" s="6" t="s">
        <v>126</v>
      </c>
      <c r="D4434" s="5">
        <v>44965</v>
      </c>
    </row>
    <row r="4435" spans="2:4">
      <c r="B4435" s="6" t="s">
        <v>220</v>
      </c>
      <c r="C4435" s="6" t="s">
        <v>113</v>
      </c>
      <c r="D4435" s="5">
        <v>44965</v>
      </c>
    </row>
    <row r="4436" spans="2:4">
      <c r="B4436" s="6" t="s">
        <v>40</v>
      </c>
      <c r="C4436" s="6" t="s">
        <v>41</v>
      </c>
      <c r="D4436" s="5">
        <v>44965</v>
      </c>
    </row>
    <row r="4437" spans="2:4">
      <c r="B4437" s="6" t="s">
        <v>337</v>
      </c>
      <c r="C4437" s="6" t="s">
        <v>200</v>
      </c>
      <c r="D4437" s="5">
        <v>44965</v>
      </c>
    </row>
    <row r="4438" spans="2:4">
      <c r="B4438" s="6" t="s">
        <v>349</v>
      </c>
      <c r="C4438" s="6" t="s">
        <v>300</v>
      </c>
      <c r="D4438" s="5">
        <v>44965</v>
      </c>
    </row>
    <row r="4439" spans="2:4">
      <c r="B4439" s="6" t="s">
        <v>252</v>
      </c>
      <c r="C4439" s="6" t="s">
        <v>210</v>
      </c>
      <c r="D4439" s="5">
        <v>44965</v>
      </c>
    </row>
    <row r="4440" spans="2:4">
      <c r="B4440" s="6" t="s">
        <v>284</v>
      </c>
      <c r="C4440" s="6" t="s">
        <v>281</v>
      </c>
      <c r="D4440" s="5">
        <v>44965</v>
      </c>
    </row>
    <row r="4441" spans="2:4">
      <c r="B4441" s="6" t="s">
        <v>395</v>
      </c>
      <c r="C4441" s="6" t="s">
        <v>192</v>
      </c>
      <c r="D4441" s="5">
        <v>44965</v>
      </c>
    </row>
    <row r="4442" spans="2:4">
      <c r="B4442" s="6" t="s">
        <v>202</v>
      </c>
      <c r="C4442" s="6" t="s">
        <v>425</v>
      </c>
      <c r="D4442" s="5">
        <v>44965</v>
      </c>
    </row>
    <row r="4443" spans="2:4">
      <c r="B4443" s="6" t="s">
        <v>273</v>
      </c>
      <c r="C4443" s="6" t="s">
        <v>270</v>
      </c>
      <c r="D4443" s="5">
        <v>44965</v>
      </c>
    </row>
    <row r="4444" spans="2:4">
      <c r="B4444" s="6" t="s">
        <v>298</v>
      </c>
      <c r="C4444" s="6" t="s">
        <v>110</v>
      </c>
      <c r="D4444" s="5">
        <v>44965</v>
      </c>
    </row>
    <row r="4445" spans="2:4">
      <c r="B4445" s="6" t="s">
        <v>103</v>
      </c>
      <c r="C4445" s="6" t="s">
        <v>287</v>
      </c>
      <c r="D4445" s="5">
        <v>44965</v>
      </c>
    </row>
    <row r="4446" spans="2:4">
      <c r="B4446" s="6" t="s">
        <v>171</v>
      </c>
      <c r="C4446" s="6" t="s">
        <v>102</v>
      </c>
      <c r="D4446" s="5">
        <v>44965</v>
      </c>
    </row>
    <row r="4447" spans="2:4">
      <c r="B4447" s="6" t="s">
        <v>261</v>
      </c>
      <c r="C4447" s="6" t="s">
        <v>111</v>
      </c>
      <c r="D4447" s="5">
        <v>44965</v>
      </c>
    </row>
    <row r="4448" spans="2:4">
      <c r="B4448" s="6" t="s">
        <v>104</v>
      </c>
      <c r="C4448" s="6" t="s">
        <v>282</v>
      </c>
      <c r="D4448" s="5">
        <v>44965</v>
      </c>
    </row>
    <row r="4449" spans="2:4">
      <c r="B4449" s="6" t="s">
        <v>266</v>
      </c>
      <c r="C4449" s="6" t="s">
        <v>172</v>
      </c>
      <c r="D4449" s="5">
        <v>44965</v>
      </c>
    </row>
    <row r="4450" spans="2:4">
      <c r="B4450" s="6" t="s">
        <v>432</v>
      </c>
      <c r="C4450" s="6" t="s">
        <v>327</v>
      </c>
      <c r="D4450" s="5">
        <v>44965</v>
      </c>
    </row>
    <row r="4451" spans="2:4">
      <c r="B4451" s="6" t="s">
        <v>268</v>
      </c>
      <c r="C4451" s="6" t="s">
        <v>129</v>
      </c>
      <c r="D4451" s="5">
        <v>44965</v>
      </c>
    </row>
    <row r="4452" spans="2:4">
      <c r="B4452" s="6" t="s">
        <v>123</v>
      </c>
      <c r="C4452" s="6" t="s">
        <v>179</v>
      </c>
      <c r="D4452" s="5">
        <v>44965</v>
      </c>
    </row>
    <row r="4453" spans="2:4">
      <c r="B4453" s="6" t="s">
        <v>118</v>
      </c>
      <c r="C4453" s="6" t="s">
        <v>146</v>
      </c>
      <c r="D4453" s="5">
        <v>44965</v>
      </c>
    </row>
    <row r="4454" spans="2:4">
      <c r="B4454" s="6" t="s">
        <v>212</v>
      </c>
      <c r="C4454" s="6" t="s">
        <v>95</v>
      </c>
      <c r="D4454" s="5">
        <v>44965</v>
      </c>
    </row>
    <row r="4455" spans="2:4">
      <c r="B4455" s="6" t="s">
        <v>322</v>
      </c>
      <c r="C4455" s="6" t="s">
        <v>27</v>
      </c>
      <c r="D4455" s="5">
        <v>44965</v>
      </c>
    </row>
    <row r="4456" spans="2:4">
      <c r="B4456" s="6" t="s">
        <v>352</v>
      </c>
      <c r="C4456" s="6" t="s">
        <v>411</v>
      </c>
      <c r="D4456" s="5">
        <v>44965</v>
      </c>
    </row>
    <row r="4457" spans="2:4">
      <c r="B4457" s="6" t="s">
        <v>341</v>
      </c>
      <c r="C4457" s="6" t="s">
        <v>145</v>
      </c>
      <c r="D4457" s="5">
        <v>44965</v>
      </c>
    </row>
    <row r="4458" spans="2:4">
      <c r="B4458" s="6" t="s">
        <v>241</v>
      </c>
      <c r="C4458" s="6" t="s">
        <v>280</v>
      </c>
      <c r="D4458" s="5">
        <v>44965</v>
      </c>
    </row>
    <row r="4459" spans="2:4">
      <c r="B4459" s="6" t="s">
        <v>213</v>
      </c>
      <c r="C4459" s="6" t="s">
        <v>318</v>
      </c>
      <c r="D4459" s="5">
        <v>44965</v>
      </c>
    </row>
    <row r="4460" spans="2:4">
      <c r="B4460" s="6" t="s">
        <v>326</v>
      </c>
      <c r="C4460" s="6" t="s">
        <v>119</v>
      </c>
      <c r="D4460" s="5">
        <v>44965</v>
      </c>
    </row>
    <row r="4461" spans="2:4">
      <c r="B4461" s="6" t="s">
        <v>383</v>
      </c>
      <c r="C4461" s="6" t="s">
        <v>159</v>
      </c>
      <c r="D4461" s="5">
        <v>44965</v>
      </c>
    </row>
    <row r="4462" spans="2:4">
      <c r="B4462" s="6" t="s">
        <v>35</v>
      </c>
      <c r="C4462" s="6" t="s">
        <v>155</v>
      </c>
      <c r="D4462" s="5">
        <v>44965</v>
      </c>
    </row>
    <row r="4463" spans="2:4">
      <c r="B4463" s="6" t="s">
        <v>66</v>
      </c>
      <c r="C4463" s="6" t="s">
        <v>65</v>
      </c>
      <c r="D4463" s="5">
        <v>44965</v>
      </c>
    </row>
    <row r="4464" spans="2:4">
      <c r="B4464" s="6" t="s">
        <v>28</v>
      </c>
      <c r="C4464" s="6" t="s">
        <v>29</v>
      </c>
      <c r="D4464" s="5">
        <v>44965</v>
      </c>
    </row>
    <row r="4465" spans="2:4">
      <c r="B4465" s="6" t="s">
        <v>82</v>
      </c>
      <c r="C4465" s="6" t="s">
        <v>79</v>
      </c>
      <c r="D4465" s="5">
        <v>44965</v>
      </c>
    </row>
    <row r="4466" spans="2:4">
      <c r="B4466" s="6" t="s">
        <v>85</v>
      </c>
      <c r="C4466" s="6" t="s">
        <v>81</v>
      </c>
      <c r="D4466" s="5">
        <v>44965</v>
      </c>
    </row>
    <row r="4467" spans="2:4">
      <c r="B4467" s="6" t="s">
        <v>350</v>
      </c>
      <c r="C4467" s="6" t="s">
        <v>334</v>
      </c>
      <c r="D4467" s="5">
        <v>44965</v>
      </c>
    </row>
    <row r="4468" spans="2:4">
      <c r="B4468" s="6" t="s">
        <v>168</v>
      </c>
      <c r="C4468" s="6" t="s">
        <v>392</v>
      </c>
      <c r="D4468" s="5">
        <v>44965</v>
      </c>
    </row>
    <row r="4469" spans="2:4">
      <c r="B4469" s="6" t="s">
        <v>424</v>
      </c>
      <c r="C4469" s="6" t="s">
        <v>607</v>
      </c>
      <c r="D4469" s="5">
        <v>44965</v>
      </c>
    </row>
    <row r="4470" spans="2:4">
      <c r="B4470" s="6" t="s">
        <v>152</v>
      </c>
      <c r="C4470" s="6" t="s">
        <v>163</v>
      </c>
      <c r="D4470" s="5">
        <v>44965</v>
      </c>
    </row>
    <row r="4471" spans="2:4">
      <c r="B4471" s="6" t="s">
        <v>587</v>
      </c>
      <c r="C4471" s="6" t="s">
        <v>98</v>
      </c>
      <c r="D4471" s="5">
        <v>44966</v>
      </c>
    </row>
    <row r="4472" spans="2:4">
      <c r="B4472" s="6" t="s">
        <v>274</v>
      </c>
      <c r="C4472" s="6" t="s">
        <v>373</v>
      </c>
      <c r="D4472" s="5">
        <v>44966</v>
      </c>
    </row>
    <row r="4473" spans="2:4">
      <c r="B4473" s="6" t="s">
        <v>421</v>
      </c>
      <c r="C4473" s="6" t="s">
        <v>143</v>
      </c>
      <c r="D4473" s="5">
        <v>44966</v>
      </c>
    </row>
    <row r="4474" spans="2:4">
      <c r="B4474" s="6" t="s">
        <v>58</v>
      </c>
      <c r="C4474" s="6" t="s">
        <v>61</v>
      </c>
      <c r="D4474" s="5">
        <v>44966</v>
      </c>
    </row>
    <row r="4475" spans="2:4">
      <c r="B4475" s="6" t="s">
        <v>338</v>
      </c>
      <c r="C4475" s="6" t="s">
        <v>336</v>
      </c>
      <c r="D4475" s="5">
        <v>44966</v>
      </c>
    </row>
    <row r="4476" spans="2:4">
      <c r="B4476" s="6" t="s">
        <v>175</v>
      </c>
      <c r="C4476" s="6" t="s">
        <v>590</v>
      </c>
      <c r="D4476" s="5">
        <v>44966</v>
      </c>
    </row>
    <row r="4477" spans="2:4">
      <c r="B4477" s="6" t="s">
        <v>405</v>
      </c>
      <c r="C4477" s="6" t="s">
        <v>410</v>
      </c>
      <c r="D4477" s="5">
        <v>44966</v>
      </c>
    </row>
    <row r="4478" spans="2:4">
      <c r="B4478" s="6" t="s">
        <v>289</v>
      </c>
      <c r="C4478" s="6" t="s">
        <v>409</v>
      </c>
      <c r="D4478" s="5">
        <v>44966</v>
      </c>
    </row>
    <row r="4479" spans="2:4">
      <c r="B4479" s="6" t="s">
        <v>259</v>
      </c>
      <c r="C4479" s="6" t="s">
        <v>136</v>
      </c>
      <c r="D4479" s="5">
        <v>44966</v>
      </c>
    </row>
    <row r="4480" spans="2:4">
      <c r="B4480" s="6" t="s">
        <v>294</v>
      </c>
      <c r="C4480" s="6" t="s">
        <v>193</v>
      </c>
      <c r="D4480" s="5">
        <v>44966</v>
      </c>
    </row>
    <row r="4481" spans="2:4">
      <c r="B4481" s="6" t="s">
        <v>330</v>
      </c>
      <c r="C4481" s="6" t="s">
        <v>331</v>
      </c>
      <c r="D4481" s="5">
        <v>44966</v>
      </c>
    </row>
    <row r="4482" spans="2:4">
      <c r="B4482" s="6" t="s">
        <v>201</v>
      </c>
      <c r="C4482" s="6" t="s">
        <v>248</v>
      </c>
      <c r="D4482" s="5">
        <v>44966</v>
      </c>
    </row>
    <row r="4483" spans="2:4">
      <c r="B4483" s="6" t="s">
        <v>120</v>
      </c>
      <c r="C4483" s="6" t="s">
        <v>142</v>
      </c>
      <c r="D4483" s="5">
        <v>44966</v>
      </c>
    </row>
    <row r="4484" spans="2:4">
      <c r="B4484" s="6" t="s">
        <v>610</v>
      </c>
      <c r="C4484" s="6" t="s">
        <v>255</v>
      </c>
      <c r="D4484" s="5">
        <v>44966</v>
      </c>
    </row>
    <row r="4485" spans="2:4">
      <c r="B4485" s="6" t="s">
        <v>354</v>
      </c>
      <c r="C4485" s="6" t="s">
        <v>292</v>
      </c>
      <c r="D4485" s="5">
        <v>44966</v>
      </c>
    </row>
    <row r="4486" spans="2:4">
      <c r="B4486" s="6" t="s">
        <v>344</v>
      </c>
      <c r="C4486" s="6" t="s">
        <v>323</v>
      </c>
      <c r="D4486" s="5">
        <v>44966</v>
      </c>
    </row>
    <row r="4487" spans="2:4">
      <c r="B4487" s="6" t="s">
        <v>333</v>
      </c>
      <c r="C4487" s="6" t="s">
        <v>286</v>
      </c>
      <c r="D4487" s="5">
        <v>44966</v>
      </c>
    </row>
    <row r="4488" spans="2:4">
      <c r="B4488" s="6" t="s">
        <v>240</v>
      </c>
      <c r="C4488" s="6" t="s">
        <v>305</v>
      </c>
      <c r="D4488" s="5">
        <v>44966</v>
      </c>
    </row>
    <row r="4489" spans="2:4">
      <c r="B4489" s="6" t="s">
        <v>353</v>
      </c>
      <c r="C4489" s="6" t="s">
        <v>356</v>
      </c>
      <c r="D4489" s="5">
        <v>44966</v>
      </c>
    </row>
    <row r="4490" spans="2:4">
      <c r="B4490" s="6" t="s">
        <v>313</v>
      </c>
      <c r="C4490" s="6" t="s">
        <v>242</v>
      </c>
      <c r="D4490" s="5">
        <v>44966</v>
      </c>
    </row>
    <row r="4491" spans="2:4">
      <c r="B4491" s="6" t="s">
        <v>135</v>
      </c>
      <c r="C4491" s="6" t="s">
        <v>195</v>
      </c>
      <c r="D4491" s="5">
        <v>44966</v>
      </c>
    </row>
    <row r="4492" spans="2:4">
      <c r="B4492" s="6" t="s">
        <v>319</v>
      </c>
      <c r="C4492" s="6" t="s">
        <v>134</v>
      </c>
      <c r="D4492" s="5">
        <v>44966</v>
      </c>
    </row>
    <row r="4493" spans="2:4">
      <c r="B4493" s="6" t="s">
        <v>57</v>
      </c>
      <c r="C4493" s="6" t="s">
        <v>68</v>
      </c>
      <c r="D4493" s="5">
        <v>44966</v>
      </c>
    </row>
    <row r="4494" spans="2:4">
      <c r="B4494" s="6" t="s">
        <v>150</v>
      </c>
      <c r="C4494" s="6" t="s">
        <v>367</v>
      </c>
      <c r="D4494" s="5">
        <v>44966</v>
      </c>
    </row>
    <row r="4495" spans="2:4">
      <c r="B4495" s="6" t="s">
        <v>348</v>
      </c>
      <c r="C4495" s="6" t="s">
        <v>184</v>
      </c>
      <c r="D4495" s="5">
        <v>44966</v>
      </c>
    </row>
    <row r="4496" spans="2:4">
      <c r="B4496" s="6" t="s">
        <v>359</v>
      </c>
      <c r="C4496" s="6" t="s">
        <v>357</v>
      </c>
      <c r="D4496" s="5">
        <v>44966</v>
      </c>
    </row>
    <row r="4497" spans="2:4">
      <c r="B4497" s="6" t="s">
        <v>196</v>
      </c>
      <c r="C4497" s="6" t="s">
        <v>151</v>
      </c>
      <c r="D4497" s="5">
        <v>44966</v>
      </c>
    </row>
    <row r="4498" spans="2:4">
      <c r="B4498" s="6" t="s">
        <v>324</v>
      </c>
      <c r="C4498" s="6" t="s">
        <v>101</v>
      </c>
      <c r="D4498" s="5">
        <v>44966</v>
      </c>
    </row>
    <row r="4499" spans="2:4">
      <c r="B4499" s="6" t="s">
        <v>358</v>
      </c>
      <c r="C4499" s="6" t="s">
        <v>422</v>
      </c>
      <c r="D4499" s="5">
        <v>44966</v>
      </c>
    </row>
    <row r="4500" spans="2:4">
      <c r="B4500" s="6" t="s">
        <v>426</v>
      </c>
      <c r="C4500" s="6" t="s">
        <v>402</v>
      </c>
      <c r="D4500" s="5">
        <v>44966</v>
      </c>
    </row>
    <row r="4501" spans="2:4">
      <c r="B4501" s="6" t="s">
        <v>403</v>
      </c>
      <c r="C4501" s="6" t="s">
        <v>389</v>
      </c>
      <c r="D4501" s="5">
        <v>44966</v>
      </c>
    </row>
    <row r="4502" spans="2:4">
      <c r="B4502" s="6" t="s">
        <v>194</v>
      </c>
      <c r="C4502" s="6" t="s">
        <v>306</v>
      </c>
      <c r="D4502" s="5">
        <v>44966</v>
      </c>
    </row>
    <row r="4503" spans="2:4">
      <c r="B4503" s="6" t="s">
        <v>640</v>
      </c>
      <c r="C4503" s="6" t="s">
        <v>584</v>
      </c>
      <c r="D4503" s="5">
        <v>44966</v>
      </c>
    </row>
    <row r="4504" spans="2:4">
      <c r="B4504" s="6" t="s">
        <v>342</v>
      </c>
      <c r="C4504" s="6" t="s">
        <v>183</v>
      </c>
      <c r="D4504" s="5">
        <v>44966</v>
      </c>
    </row>
    <row r="4505" spans="2:4">
      <c r="B4505" s="6" t="s">
        <v>295</v>
      </c>
      <c r="C4505" s="6" t="s">
        <v>94</v>
      </c>
      <c r="D4505" s="5">
        <v>44966</v>
      </c>
    </row>
    <row r="4506" spans="2:4">
      <c r="B4506" s="6" t="s">
        <v>316</v>
      </c>
      <c r="C4506" s="6" t="s">
        <v>365</v>
      </c>
      <c r="D4506" s="5">
        <v>44966</v>
      </c>
    </row>
    <row r="4507" spans="2:4">
      <c r="B4507" s="6" t="s">
        <v>304</v>
      </c>
      <c r="C4507" s="6" t="s">
        <v>615</v>
      </c>
      <c r="D4507" s="5">
        <v>44966</v>
      </c>
    </row>
    <row r="4508" spans="2:4">
      <c r="B4508" s="6" t="s">
        <v>329</v>
      </c>
      <c r="C4508" s="6" t="s">
        <v>250</v>
      </c>
      <c r="D4508" s="5">
        <v>44966</v>
      </c>
    </row>
    <row r="4509" spans="2:4">
      <c r="B4509" s="6" t="s">
        <v>355</v>
      </c>
      <c r="C4509" s="6" t="s">
        <v>128</v>
      </c>
      <c r="D4509" s="5">
        <v>44966</v>
      </c>
    </row>
    <row r="4510" spans="2:4">
      <c r="B4510" s="6" t="s">
        <v>173</v>
      </c>
      <c r="C4510" s="6" t="s">
        <v>147</v>
      </c>
      <c r="D4510" s="5">
        <v>44966</v>
      </c>
    </row>
    <row r="4511" spans="2:4">
      <c r="B4511" s="6" t="s">
        <v>132</v>
      </c>
      <c r="C4511" s="6" t="s">
        <v>404</v>
      </c>
      <c r="D4511" s="5">
        <v>44966</v>
      </c>
    </row>
    <row r="4512" spans="2:4">
      <c r="B4512" s="6" t="s">
        <v>76</v>
      </c>
      <c r="C4512" s="6" t="s">
        <v>75</v>
      </c>
      <c r="D4512" s="5">
        <v>44966</v>
      </c>
    </row>
    <row r="4513" spans="2:4">
      <c r="B4513" s="6" t="s">
        <v>376</v>
      </c>
      <c r="C4513" s="6" t="s">
        <v>182</v>
      </c>
      <c r="D4513" s="5">
        <v>44966</v>
      </c>
    </row>
    <row r="4514" spans="2:4">
      <c r="B4514" s="6" t="s">
        <v>588</v>
      </c>
      <c r="C4514" s="6" t="s">
        <v>343</v>
      </c>
      <c r="D4514" s="5">
        <v>44966</v>
      </c>
    </row>
    <row r="4515" spans="2:4">
      <c r="B4515" s="6" t="s">
        <v>381</v>
      </c>
      <c r="C4515" s="6" t="s">
        <v>375</v>
      </c>
      <c r="D4515" s="5">
        <v>44966</v>
      </c>
    </row>
    <row r="4516" spans="2:4">
      <c r="B4516" s="6" t="s">
        <v>378</v>
      </c>
      <c r="C4516" s="6" t="s">
        <v>388</v>
      </c>
      <c r="D4516" s="5">
        <v>44966</v>
      </c>
    </row>
    <row r="4517" spans="2:4">
      <c r="B4517" s="6" t="s">
        <v>161</v>
      </c>
      <c r="C4517" s="6" t="s">
        <v>427</v>
      </c>
      <c r="D4517" s="5">
        <v>44966</v>
      </c>
    </row>
    <row r="4518" spans="2:4">
      <c r="B4518" s="6" t="s">
        <v>309</v>
      </c>
      <c r="C4518" s="6" t="s">
        <v>321</v>
      </c>
      <c r="D4518" s="5">
        <v>44966</v>
      </c>
    </row>
    <row r="4519" spans="2:4">
      <c r="B4519" s="6" t="s">
        <v>603</v>
      </c>
      <c r="C4519" s="6" t="s">
        <v>370</v>
      </c>
      <c r="D4519" s="5">
        <v>44966</v>
      </c>
    </row>
    <row r="4520" spans="2:4">
      <c r="B4520" s="6" t="s">
        <v>206</v>
      </c>
      <c r="C4520" s="6" t="s">
        <v>391</v>
      </c>
      <c r="D4520" s="5">
        <v>44966</v>
      </c>
    </row>
    <row r="4521" spans="2:4">
      <c r="B4521" s="6" t="s">
        <v>153</v>
      </c>
      <c r="C4521" s="6" t="s">
        <v>190</v>
      </c>
      <c r="D4521" s="5">
        <v>44966</v>
      </c>
    </row>
    <row r="4522" spans="2:4">
      <c r="B4522" s="6" t="s">
        <v>93</v>
      </c>
      <c r="C4522" s="6" t="s">
        <v>73</v>
      </c>
      <c r="D4522" s="5">
        <v>44966</v>
      </c>
    </row>
    <row r="4523" spans="2:4">
      <c r="B4523" s="6" t="s">
        <v>396</v>
      </c>
      <c r="C4523" s="6" t="s">
        <v>398</v>
      </c>
      <c r="D4523" s="5">
        <v>44966</v>
      </c>
    </row>
    <row r="4524" spans="2:4">
      <c r="B4524" s="6" t="s">
        <v>160</v>
      </c>
      <c r="C4524" s="6" t="s">
        <v>166</v>
      </c>
      <c r="D4524" s="5">
        <v>44966</v>
      </c>
    </row>
    <row r="4525" spans="2:4">
      <c r="B4525" s="6" t="s">
        <v>165</v>
      </c>
      <c r="C4525" s="6" t="s">
        <v>157</v>
      </c>
      <c r="D4525" s="5">
        <v>44966</v>
      </c>
    </row>
    <row r="4526" spans="2:4">
      <c r="B4526" s="6" t="s">
        <v>586</v>
      </c>
      <c r="C4526" s="6" t="s">
        <v>599</v>
      </c>
      <c r="D4526" s="5">
        <v>44966</v>
      </c>
    </row>
    <row r="4527" spans="2:4">
      <c r="B4527" s="6" t="s">
        <v>167</v>
      </c>
      <c r="C4527" s="6" t="s">
        <v>207</v>
      </c>
      <c r="D4527" s="5">
        <v>44966</v>
      </c>
    </row>
    <row r="4528" spans="2:4">
      <c r="B4528" s="6" t="s">
        <v>154</v>
      </c>
      <c r="C4528" s="6" t="s">
        <v>141</v>
      </c>
      <c r="D4528" s="5">
        <v>44966</v>
      </c>
    </row>
    <row r="4529" spans="2:4">
      <c r="B4529" s="6" t="s">
        <v>420</v>
      </c>
      <c r="C4529" s="6" t="s">
        <v>423</v>
      </c>
      <c r="D4529" s="5">
        <v>44966</v>
      </c>
    </row>
    <row r="4530" spans="2:4">
      <c r="B4530" s="6" t="s">
        <v>164</v>
      </c>
      <c r="C4530" s="6" t="s">
        <v>70</v>
      </c>
      <c r="D4530" s="5">
        <v>44966</v>
      </c>
    </row>
    <row r="4531" spans="2:4">
      <c r="B4531" s="6" t="s">
        <v>69</v>
      </c>
      <c r="C4531" s="6" t="s">
        <v>74</v>
      </c>
      <c r="D4531" s="5">
        <v>44966</v>
      </c>
    </row>
    <row r="4532" spans="2:4">
      <c r="B4532" s="6" t="s">
        <v>428</v>
      </c>
      <c r="C4532" s="6" t="s">
        <v>236</v>
      </c>
      <c r="D4532" s="5">
        <v>44966</v>
      </c>
    </row>
    <row r="4533" spans="2:4">
      <c r="B4533" s="6" t="s">
        <v>244</v>
      </c>
      <c r="C4533" s="6" t="s">
        <v>361</v>
      </c>
      <c r="D4533" s="5">
        <v>44967</v>
      </c>
    </row>
    <row r="4534" spans="2:4">
      <c r="B4534" s="6" t="s">
        <v>117</v>
      </c>
      <c r="C4534" s="6" t="s">
        <v>112</v>
      </c>
      <c r="D4534" s="5">
        <v>44967</v>
      </c>
    </row>
    <row r="4535" spans="2:4">
      <c r="B4535" s="6" t="s">
        <v>204</v>
      </c>
      <c r="C4535" s="6" t="s">
        <v>216</v>
      </c>
      <c r="D4535" s="5">
        <v>44967</v>
      </c>
    </row>
    <row r="4536" spans="2:4">
      <c r="B4536" s="6" t="s">
        <v>233</v>
      </c>
      <c r="C4536" s="6" t="s">
        <v>130</v>
      </c>
      <c r="D4536" s="5">
        <v>44967</v>
      </c>
    </row>
    <row r="4537" spans="2:4">
      <c r="B4537" s="6" t="s">
        <v>211</v>
      </c>
      <c r="C4537" s="6" t="s">
        <v>285</v>
      </c>
      <c r="D4537" s="5">
        <v>44967</v>
      </c>
    </row>
    <row r="4538" spans="2:4">
      <c r="B4538" s="6" t="s">
        <v>42</v>
      </c>
      <c r="C4538" s="6" t="s">
        <v>39</v>
      </c>
      <c r="D4538" s="5">
        <v>44967</v>
      </c>
    </row>
    <row r="4539" spans="2:4">
      <c r="B4539" s="6" t="s">
        <v>436</v>
      </c>
      <c r="C4539" s="6" t="s">
        <v>261</v>
      </c>
      <c r="D4539" s="5">
        <v>44967</v>
      </c>
    </row>
    <row r="4540" spans="2:4">
      <c r="B4540" s="6" t="s">
        <v>266</v>
      </c>
      <c r="C4540" s="6" t="s">
        <v>256</v>
      </c>
      <c r="D4540" s="5">
        <v>44967</v>
      </c>
    </row>
    <row r="4541" spans="2:4">
      <c r="B4541" s="6" t="s">
        <v>296</v>
      </c>
      <c r="C4541" s="6" t="s">
        <v>418</v>
      </c>
      <c r="D4541" s="5">
        <v>44967</v>
      </c>
    </row>
    <row r="4542" spans="2:4">
      <c r="B4542" s="6" t="s">
        <v>397</v>
      </c>
      <c r="C4542" s="6" t="s">
        <v>412</v>
      </c>
      <c r="D4542" s="5">
        <v>44967</v>
      </c>
    </row>
    <row r="4543" spans="2:4">
      <c r="B4543" s="6" t="s">
        <v>214</v>
      </c>
      <c r="C4543" s="6" t="s">
        <v>133</v>
      </c>
      <c r="D4543" s="5">
        <v>44967</v>
      </c>
    </row>
    <row r="4544" spans="2:4">
      <c r="B4544" s="6" t="s">
        <v>198</v>
      </c>
      <c r="C4544" s="6" t="s">
        <v>189</v>
      </c>
      <c r="D4544" s="5">
        <v>44967</v>
      </c>
    </row>
    <row r="4545" spans="2:4">
      <c r="B4545" s="6" t="s">
        <v>169</v>
      </c>
      <c r="C4545" s="6" t="s">
        <v>394</v>
      </c>
      <c r="D4545" s="5">
        <v>44967</v>
      </c>
    </row>
    <row r="4546" spans="2:4">
      <c r="B4546" s="6" t="s">
        <v>69</v>
      </c>
      <c r="C4546" s="6" t="s">
        <v>75</v>
      </c>
      <c r="D4546" s="5">
        <v>44968</v>
      </c>
    </row>
    <row r="4547" spans="2:4">
      <c r="B4547" s="6" t="s">
        <v>93</v>
      </c>
      <c r="C4547" s="6" t="s">
        <v>70</v>
      </c>
      <c r="D4547" s="5">
        <v>44968</v>
      </c>
    </row>
    <row r="4548" spans="2:4">
      <c r="B4548" s="6" t="s">
        <v>301</v>
      </c>
      <c r="C4548" s="6" t="s">
        <v>106</v>
      </c>
      <c r="D4548" s="5">
        <v>44968</v>
      </c>
    </row>
    <row r="4549" spans="2:4">
      <c r="B4549" s="6" t="s">
        <v>247</v>
      </c>
      <c r="C4549" s="6" t="s">
        <v>140</v>
      </c>
      <c r="D4549" s="5">
        <v>44968</v>
      </c>
    </row>
    <row r="4550" spans="2:4">
      <c r="B4550" s="6" t="s">
        <v>127</v>
      </c>
      <c r="C4550" s="6" t="s">
        <v>105</v>
      </c>
      <c r="D4550" s="5">
        <v>44968</v>
      </c>
    </row>
    <row r="4551" spans="2:4">
      <c r="B4551" s="6" t="s">
        <v>203</v>
      </c>
      <c r="C4551" s="6" t="s">
        <v>180</v>
      </c>
      <c r="D4551" s="5">
        <v>44968</v>
      </c>
    </row>
    <row r="4552" spans="2:4">
      <c r="B4552" s="6" t="s">
        <v>427</v>
      </c>
      <c r="C4552" s="6" t="s">
        <v>166</v>
      </c>
      <c r="D4552" s="5">
        <v>44968</v>
      </c>
    </row>
    <row r="4553" spans="2:4">
      <c r="B4553" s="6" t="s">
        <v>316</v>
      </c>
      <c r="C4553" s="6" t="s">
        <v>333</v>
      </c>
      <c r="D4553" s="5">
        <v>44968</v>
      </c>
    </row>
    <row r="4554" spans="2:4">
      <c r="B4554" s="6" t="s">
        <v>167</v>
      </c>
      <c r="C4554" s="6" t="s">
        <v>154</v>
      </c>
      <c r="D4554" s="5">
        <v>44968</v>
      </c>
    </row>
    <row r="4555" spans="2:4">
      <c r="B4555" s="6" t="s">
        <v>89</v>
      </c>
      <c r="C4555" s="6" t="s">
        <v>80</v>
      </c>
      <c r="D4555" s="5">
        <v>44968</v>
      </c>
    </row>
    <row r="4556" spans="2:4">
      <c r="B4556" s="6" t="s">
        <v>30</v>
      </c>
      <c r="C4556" s="6" t="s">
        <v>32</v>
      </c>
      <c r="D4556" s="5">
        <v>44968</v>
      </c>
    </row>
    <row r="4557" spans="2:4">
      <c r="B4557" s="6" t="s">
        <v>113</v>
      </c>
      <c r="C4557" s="6" t="s">
        <v>176</v>
      </c>
      <c r="D4557" s="5">
        <v>44968</v>
      </c>
    </row>
    <row r="4558" spans="2:4">
      <c r="B4558" s="6" t="s">
        <v>45</v>
      </c>
      <c r="C4558" s="6" t="s">
        <v>49</v>
      </c>
      <c r="D4558" s="5">
        <v>44968</v>
      </c>
    </row>
    <row r="4559" spans="2:4">
      <c r="B4559" s="6" t="s">
        <v>54</v>
      </c>
      <c r="C4559" s="6" t="s">
        <v>149</v>
      </c>
      <c r="D4559" s="5">
        <v>44968</v>
      </c>
    </row>
    <row r="4560" spans="2:4">
      <c r="B4560" s="6" t="s">
        <v>302</v>
      </c>
      <c r="C4560" s="6" t="s">
        <v>40</v>
      </c>
      <c r="D4560" s="5">
        <v>44968</v>
      </c>
    </row>
    <row r="4561" spans="2:4">
      <c r="B4561" s="6" t="s">
        <v>41</v>
      </c>
      <c r="C4561" s="6" t="s">
        <v>37</v>
      </c>
      <c r="D4561" s="5">
        <v>44968</v>
      </c>
    </row>
    <row r="4562" spans="2:4">
      <c r="B4562" s="6" t="s">
        <v>56</v>
      </c>
      <c r="C4562" s="6" t="s">
        <v>66</v>
      </c>
      <c r="D4562" s="5">
        <v>44968</v>
      </c>
    </row>
    <row r="4563" spans="2:4">
      <c r="B4563" s="6" t="s">
        <v>284</v>
      </c>
      <c r="C4563" s="6" t="s">
        <v>252</v>
      </c>
      <c r="D4563" s="5">
        <v>44968</v>
      </c>
    </row>
    <row r="4564" spans="2:4">
      <c r="B4564" s="6" t="s">
        <v>29</v>
      </c>
      <c r="C4564" s="6" t="s">
        <v>26</v>
      </c>
      <c r="D4564" s="5">
        <v>44968</v>
      </c>
    </row>
    <row r="4565" spans="2:4">
      <c r="B4565" s="6" t="s">
        <v>137</v>
      </c>
      <c r="C4565" s="6" t="s">
        <v>278</v>
      </c>
      <c r="D4565" s="5">
        <v>44968</v>
      </c>
    </row>
    <row r="4566" spans="2:4">
      <c r="B4566" s="6" t="s">
        <v>88</v>
      </c>
      <c r="C4566" s="6" t="s">
        <v>90</v>
      </c>
      <c r="D4566" s="5">
        <v>44968</v>
      </c>
    </row>
    <row r="4567" spans="2:4">
      <c r="B4567" s="6" t="s">
        <v>334</v>
      </c>
      <c r="C4567" s="6" t="s">
        <v>337</v>
      </c>
      <c r="D4567" s="5">
        <v>44968</v>
      </c>
    </row>
    <row r="4568" spans="2:4">
      <c r="B4568" s="6" t="s">
        <v>98</v>
      </c>
      <c r="C4568" s="6" t="s">
        <v>405</v>
      </c>
      <c r="D4568" s="5">
        <v>44968</v>
      </c>
    </row>
    <row r="4569" spans="2:4">
      <c r="B4569" s="6" t="s">
        <v>610</v>
      </c>
      <c r="C4569" s="6" t="s">
        <v>248</v>
      </c>
      <c r="D4569" s="5">
        <v>44968</v>
      </c>
    </row>
    <row r="4570" spans="2:4">
      <c r="B4570" s="6" t="s">
        <v>220</v>
      </c>
      <c r="C4570" s="6" t="s">
        <v>148</v>
      </c>
      <c r="D4570" s="5">
        <v>44968</v>
      </c>
    </row>
    <row r="4571" spans="2:4">
      <c r="B4571" s="6" t="s">
        <v>251</v>
      </c>
      <c r="C4571" s="6" t="s">
        <v>51</v>
      </c>
      <c r="D4571" s="5">
        <v>44968</v>
      </c>
    </row>
    <row r="4572" spans="2:4">
      <c r="B4572" s="6" t="s">
        <v>38</v>
      </c>
      <c r="C4572" s="6" t="s">
        <v>245</v>
      </c>
      <c r="D4572" s="5">
        <v>44968</v>
      </c>
    </row>
    <row r="4573" spans="2:4">
      <c r="B4573" s="6" t="s">
        <v>83</v>
      </c>
      <c r="C4573" s="6" t="s">
        <v>82</v>
      </c>
      <c r="D4573" s="5">
        <v>44968</v>
      </c>
    </row>
    <row r="4574" spans="2:4">
      <c r="B4574" s="6" t="s">
        <v>60</v>
      </c>
      <c r="C4574" s="6" t="s">
        <v>64</v>
      </c>
      <c r="D4574" s="5">
        <v>44968</v>
      </c>
    </row>
    <row r="4575" spans="2:4">
      <c r="B4575" s="6" t="s">
        <v>221</v>
      </c>
      <c r="C4575" s="6" t="s">
        <v>275</v>
      </c>
      <c r="D4575" s="5">
        <v>44968</v>
      </c>
    </row>
    <row r="4576" spans="2:4">
      <c r="B4576" s="6" t="s">
        <v>360</v>
      </c>
      <c r="C4576" s="6" t="s">
        <v>131</v>
      </c>
      <c r="D4576" s="5">
        <v>44968</v>
      </c>
    </row>
    <row r="4577" spans="2:4">
      <c r="B4577" s="6" t="s">
        <v>318</v>
      </c>
      <c r="C4577" s="6" t="s">
        <v>325</v>
      </c>
      <c r="D4577" s="5">
        <v>44968</v>
      </c>
    </row>
    <row r="4578" spans="2:4">
      <c r="B4578" s="6" t="s">
        <v>139</v>
      </c>
      <c r="C4578" s="6" t="s">
        <v>326</v>
      </c>
      <c r="D4578" s="5">
        <v>44968</v>
      </c>
    </row>
    <row r="4579" spans="2:4">
      <c r="B4579" s="6" t="s">
        <v>363</v>
      </c>
      <c r="C4579" s="6" t="s">
        <v>241</v>
      </c>
      <c r="D4579" s="5">
        <v>44968</v>
      </c>
    </row>
    <row r="4580" spans="2:4">
      <c r="B4580" s="6" t="s">
        <v>186</v>
      </c>
      <c r="C4580" s="6" t="s">
        <v>280</v>
      </c>
      <c r="D4580" s="5">
        <v>44968</v>
      </c>
    </row>
    <row r="4581" spans="2:4">
      <c r="B4581" s="6" t="s">
        <v>119</v>
      </c>
      <c r="C4581" s="6" t="s">
        <v>312</v>
      </c>
      <c r="D4581" s="5">
        <v>44968</v>
      </c>
    </row>
    <row r="4582" spans="2:4">
      <c r="B4582" s="6" t="s">
        <v>421</v>
      </c>
      <c r="C4582" s="6" t="s">
        <v>373</v>
      </c>
      <c r="D4582" s="5">
        <v>44968</v>
      </c>
    </row>
    <row r="4583" spans="2:4">
      <c r="B4583" s="6" t="s">
        <v>46</v>
      </c>
      <c r="C4583" s="6" t="s">
        <v>52</v>
      </c>
      <c r="D4583" s="5">
        <v>44968</v>
      </c>
    </row>
    <row r="4584" spans="2:4">
      <c r="B4584" s="6" t="s">
        <v>126</v>
      </c>
      <c r="C4584" s="6" t="s">
        <v>215</v>
      </c>
      <c r="D4584" s="5">
        <v>44968</v>
      </c>
    </row>
    <row r="4585" spans="2:4">
      <c r="B4585" s="6" t="s">
        <v>108</v>
      </c>
      <c r="C4585" s="6" t="s">
        <v>419</v>
      </c>
      <c r="D4585" s="5">
        <v>44968</v>
      </c>
    </row>
    <row r="4586" spans="2:4">
      <c r="B4586" s="6" t="s">
        <v>351</v>
      </c>
      <c r="C4586" s="6" t="s">
        <v>97</v>
      </c>
      <c r="D4586" s="5">
        <v>44968</v>
      </c>
    </row>
    <row r="4587" spans="2:4">
      <c r="B4587" s="6" t="s">
        <v>107</v>
      </c>
      <c r="C4587" s="6" t="s">
        <v>125</v>
      </c>
      <c r="D4587" s="5">
        <v>44968</v>
      </c>
    </row>
    <row r="4588" spans="2:4">
      <c r="B4588" s="6" t="s">
        <v>281</v>
      </c>
      <c r="C4588" s="6" t="s">
        <v>124</v>
      </c>
      <c r="D4588" s="5">
        <v>44968</v>
      </c>
    </row>
    <row r="4589" spans="2:4">
      <c r="B4589" s="6" t="s">
        <v>210</v>
      </c>
      <c r="C4589" s="6" t="s">
        <v>300</v>
      </c>
      <c r="D4589" s="5">
        <v>44968</v>
      </c>
    </row>
    <row r="4590" spans="2:4">
      <c r="B4590" s="6" t="s">
        <v>192</v>
      </c>
      <c r="C4590" s="6" t="s">
        <v>297</v>
      </c>
      <c r="D4590" s="5">
        <v>44968</v>
      </c>
    </row>
    <row r="4591" spans="2:4">
      <c r="B4591" s="6" t="s">
        <v>425</v>
      </c>
      <c r="C4591" s="6" t="s">
        <v>298</v>
      </c>
      <c r="D4591" s="5">
        <v>44968</v>
      </c>
    </row>
    <row r="4592" spans="2:4">
      <c r="B4592" s="6" t="s">
        <v>111</v>
      </c>
      <c r="C4592" s="6" t="s">
        <v>287</v>
      </c>
      <c r="D4592" s="5">
        <v>44968</v>
      </c>
    </row>
    <row r="4593" spans="2:4">
      <c r="B4593" s="6" t="s">
        <v>109</v>
      </c>
      <c r="C4593" s="6" t="s">
        <v>288</v>
      </c>
      <c r="D4593" s="5">
        <v>44968</v>
      </c>
    </row>
    <row r="4594" spans="2:4">
      <c r="B4594" s="6" t="s">
        <v>590</v>
      </c>
      <c r="C4594" s="6" t="s">
        <v>587</v>
      </c>
      <c r="D4594" s="5">
        <v>44968</v>
      </c>
    </row>
    <row r="4595" spans="2:4">
      <c r="B4595" s="6" t="s">
        <v>259</v>
      </c>
      <c r="C4595" s="6" t="s">
        <v>193</v>
      </c>
      <c r="D4595" s="5">
        <v>44968</v>
      </c>
    </row>
    <row r="4596" spans="2:4">
      <c r="B4596" s="6" t="s">
        <v>294</v>
      </c>
      <c r="C4596" s="6" t="s">
        <v>409</v>
      </c>
      <c r="D4596" s="5">
        <v>44968</v>
      </c>
    </row>
    <row r="4597" spans="2:4">
      <c r="B4597" s="6" t="s">
        <v>196</v>
      </c>
      <c r="C4597" s="6" t="s">
        <v>357</v>
      </c>
      <c r="D4597" s="5">
        <v>44968</v>
      </c>
    </row>
    <row r="4598" spans="2:4">
      <c r="B4598" s="6" t="s">
        <v>359</v>
      </c>
      <c r="C4598" s="6" t="s">
        <v>151</v>
      </c>
      <c r="D4598" s="5">
        <v>44968</v>
      </c>
    </row>
    <row r="4599" spans="2:4">
      <c r="B4599" s="6" t="s">
        <v>99</v>
      </c>
      <c r="C4599" s="6" t="s">
        <v>268</v>
      </c>
      <c r="D4599" s="5">
        <v>44968</v>
      </c>
    </row>
    <row r="4600" spans="2:4">
      <c r="B4600" s="6" t="s">
        <v>129</v>
      </c>
      <c r="C4600" s="6" t="s">
        <v>413</v>
      </c>
      <c r="D4600" s="5">
        <v>44968</v>
      </c>
    </row>
    <row r="4601" spans="2:4">
      <c r="B4601" s="6" t="s">
        <v>146</v>
      </c>
      <c r="C4601" s="6" t="s">
        <v>123</v>
      </c>
      <c r="D4601" s="5">
        <v>44968</v>
      </c>
    </row>
    <row r="4602" spans="2:4">
      <c r="B4602" s="6" t="s">
        <v>115</v>
      </c>
      <c r="C4602" s="6" t="s">
        <v>178</v>
      </c>
      <c r="D4602" s="5">
        <v>44968</v>
      </c>
    </row>
    <row r="4603" spans="2:4">
      <c r="B4603" s="6" t="s">
        <v>354</v>
      </c>
      <c r="C4603" s="6" t="s">
        <v>142</v>
      </c>
      <c r="D4603" s="5">
        <v>44968</v>
      </c>
    </row>
    <row r="4604" spans="2:4">
      <c r="B4604" s="6" t="s">
        <v>199</v>
      </c>
      <c r="C4604" s="6" t="s">
        <v>349</v>
      </c>
      <c r="D4604" s="5">
        <v>44968</v>
      </c>
    </row>
    <row r="4605" spans="2:4">
      <c r="B4605" s="6" t="s">
        <v>347</v>
      </c>
      <c r="C4605" s="6" t="s">
        <v>552</v>
      </c>
      <c r="D4605" s="5">
        <v>44968</v>
      </c>
    </row>
    <row r="4606" spans="2:4">
      <c r="B4606" s="6" t="s">
        <v>102</v>
      </c>
      <c r="C4606" s="6" t="s">
        <v>282</v>
      </c>
      <c r="D4606" s="5">
        <v>44968</v>
      </c>
    </row>
    <row r="4607" spans="2:4">
      <c r="B4607" s="6" t="s">
        <v>289</v>
      </c>
      <c r="C4607" s="6" t="s">
        <v>367</v>
      </c>
      <c r="D4607" s="5">
        <v>44968</v>
      </c>
    </row>
    <row r="4608" spans="2:4">
      <c r="B4608" s="6" t="s">
        <v>330</v>
      </c>
      <c r="C4608" s="6" t="s">
        <v>184</v>
      </c>
      <c r="D4608" s="5">
        <v>44968</v>
      </c>
    </row>
    <row r="4609" spans="2:4">
      <c r="B4609" s="6" t="s">
        <v>79</v>
      </c>
      <c r="C4609" s="6" t="s">
        <v>185</v>
      </c>
      <c r="D4609" s="5">
        <v>44968</v>
      </c>
    </row>
    <row r="4610" spans="2:4">
      <c r="B4610" s="6" t="s">
        <v>104</v>
      </c>
      <c r="C4610" s="6" t="s">
        <v>171</v>
      </c>
      <c r="D4610" s="5">
        <v>44968</v>
      </c>
    </row>
    <row r="4611" spans="2:4">
      <c r="B4611" s="6" t="s">
        <v>209</v>
      </c>
      <c r="C4611" s="6" t="s">
        <v>362</v>
      </c>
      <c r="D4611" s="5">
        <v>44968</v>
      </c>
    </row>
    <row r="4612" spans="2:4">
      <c r="B4612" s="6" t="s">
        <v>34</v>
      </c>
      <c r="C4612" s="6" t="s">
        <v>28</v>
      </c>
      <c r="D4612" s="5">
        <v>44968</v>
      </c>
    </row>
    <row r="4613" spans="2:4">
      <c r="B4613" s="6" t="s">
        <v>188</v>
      </c>
      <c r="C4613" s="6" t="s">
        <v>44</v>
      </c>
      <c r="D4613" s="5">
        <v>44968</v>
      </c>
    </row>
    <row r="4614" spans="2:4">
      <c r="B4614" s="6" t="s">
        <v>392</v>
      </c>
      <c r="C4614" s="6" t="s">
        <v>163</v>
      </c>
      <c r="D4614" s="5">
        <v>44968</v>
      </c>
    </row>
    <row r="4615" spans="2:4">
      <c r="B4615" s="6" t="s">
        <v>170</v>
      </c>
      <c r="C4615" s="6" t="s">
        <v>364</v>
      </c>
      <c r="D4615" s="5">
        <v>44968</v>
      </c>
    </row>
    <row r="4616" spans="2:4">
      <c r="B4616" s="6" t="s">
        <v>277</v>
      </c>
      <c r="C4616" s="6" t="s">
        <v>238</v>
      </c>
      <c r="D4616" s="5">
        <v>44968</v>
      </c>
    </row>
    <row r="4617" spans="2:4">
      <c r="B4617" s="6" t="s">
        <v>232</v>
      </c>
      <c r="C4617" s="6" t="s">
        <v>156</v>
      </c>
      <c r="D4617" s="5">
        <v>44968</v>
      </c>
    </row>
    <row r="4618" spans="2:4">
      <c r="B4618" s="6" t="s">
        <v>264</v>
      </c>
      <c r="C4618" s="6" t="s">
        <v>96</v>
      </c>
      <c r="D4618" s="5">
        <v>44968</v>
      </c>
    </row>
    <row r="4619" spans="2:4">
      <c r="B4619" s="6" t="s">
        <v>276</v>
      </c>
      <c r="C4619" s="6" t="s">
        <v>116</v>
      </c>
      <c r="D4619" s="5">
        <v>44968</v>
      </c>
    </row>
    <row r="4620" spans="2:4">
      <c r="B4620" s="6" t="s">
        <v>177</v>
      </c>
      <c r="C4620" s="6" t="s">
        <v>174</v>
      </c>
      <c r="D4620" s="5">
        <v>44968</v>
      </c>
    </row>
    <row r="4621" spans="2:4">
      <c r="B4621" s="6" t="s">
        <v>368</v>
      </c>
      <c r="C4621" s="6" t="s">
        <v>376</v>
      </c>
      <c r="D4621" s="5">
        <v>44968</v>
      </c>
    </row>
    <row r="4622" spans="2:4">
      <c r="B4622" s="6" t="s">
        <v>195</v>
      </c>
      <c r="C4622" s="6" t="s">
        <v>242</v>
      </c>
      <c r="D4622" s="5">
        <v>44968</v>
      </c>
    </row>
    <row r="4623" spans="2:4">
      <c r="B4623" s="6" t="s">
        <v>335</v>
      </c>
      <c r="C4623" s="6" t="s">
        <v>310</v>
      </c>
      <c r="D4623" s="5">
        <v>44968</v>
      </c>
    </row>
    <row r="4624" spans="2:4">
      <c r="B4624" s="6" t="s">
        <v>67</v>
      </c>
      <c r="C4624" s="6" t="s">
        <v>65</v>
      </c>
      <c r="D4624" s="5">
        <v>44968</v>
      </c>
    </row>
    <row r="4625" spans="2:4">
      <c r="B4625" s="6" t="s">
        <v>200</v>
      </c>
      <c r="C4625" s="6" t="s">
        <v>350</v>
      </c>
      <c r="D4625" s="5">
        <v>44968</v>
      </c>
    </row>
    <row r="4626" spans="2:4">
      <c r="B4626" s="6" t="s">
        <v>110</v>
      </c>
      <c r="C4626" s="6" t="s">
        <v>395</v>
      </c>
      <c r="D4626" s="5">
        <v>44968</v>
      </c>
    </row>
    <row r="4627" spans="2:4">
      <c r="B4627" s="6" t="s">
        <v>400</v>
      </c>
      <c r="C4627" s="6" t="s">
        <v>414</v>
      </c>
      <c r="D4627" s="5">
        <v>44968</v>
      </c>
    </row>
    <row r="4628" spans="2:4">
      <c r="B4628" s="6" t="s">
        <v>338</v>
      </c>
      <c r="C4628" s="6" t="s">
        <v>175</v>
      </c>
      <c r="D4628" s="5">
        <v>44968</v>
      </c>
    </row>
    <row r="4629" spans="2:4">
      <c r="B4629" s="6" t="s">
        <v>179</v>
      </c>
      <c r="C4629" s="6" t="s">
        <v>432</v>
      </c>
      <c r="D4629" s="5">
        <v>44968</v>
      </c>
    </row>
    <row r="4630" spans="2:4">
      <c r="B4630" s="6" t="s">
        <v>403</v>
      </c>
      <c r="C4630" s="6" t="s">
        <v>402</v>
      </c>
      <c r="D4630" s="5">
        <v>44968</v>
      </c>
    </row>
    <row r="4631" spans="2:4">
      <c r="B4631" s="6" t="s">
        <v>120</v>
      </c>
      <c r="C4631" s="6" t="s">
        <v>292</v>
      </c>
      <c r="D4631" s="5">
        <v>44968</v>
      </c>
    </row>
    <row r="4632" spans="2:4">
      <c r="B4632" s="6" t="s">
        <v>355</v>
      </c>
      <c r="C4632" s="6" t="s">
        <v>147</v>
      </c>
      <c r="D4632" s="5">
        <v>44968</v>
      </c>
    </row>
    <row r="4633" spans="2:4">
      <c r="B4633" s="6" t="s">
        <v>332</v>
      </c>
      <c r="C4633" s="6" t="s">
        <v>314</v>
      </c>
      <c r="D4633" s="5">
        <v>44968</v>
      </c>
    </row>
    <row r="4634" spans="2:4">
      <c r="B4634" s="6" t="s">
        <v>640</v>
      </c>
      <c r="C4634" s="6" t="s">
        <v>94</v>
      </c>
      <c r="D4634" s="5">
        <v>44968</v>
      </c>
    </row>
    <row r="4635" spans="2:4">
      <c r="B4635" s="6" t="s">
        <v>183</v>
      </c>
      <c r="C4635" s="6" t="s">
        <v>319</v>
      </c>
      <c r="D4635" s="5">
        <v>44968</v>
      </c>
    </row>
    <row r="4636" spans="2:4">
      <c r="B4636" s="6" t="s">
        <v>343</v>
      </c>
      <c r="C4636" s="6" t="s">
        <v>588</v>
      </c>
      <c r="D4636" s="5">
        <v>44968</v>
      </c>
    </row>
    <row r="4637" spans="2:4">
      <c r="B4637" s="6" t="s">
        <v>309</v>
      </c>
      <c r="C4637" s="6" t="s">
        <v>304</v>
      </c>
      <c r="D4637" s="5">
        <v>44968</v>
      </c>
    </row>
    <row r="4638" spans="2:4">
      <c r="B4638" s="6" t="s">
        <v>370</v>
      </c>
      <c r="C4638" s="6" t="s">
        <v>329</v>
      </c>
      <c r="D4638" s="5">
        <v>44968</v>
      </c>
    </row>
    <row r="4639" spans="2:4">
      <c r="B4639" s="6" t="s">
        <v>250</v>
      </c>
      <c r="C4639" s="6" t="s">
        <v>240</v>
      </c>
      <c r="D4639" s="5">
        <v>44968</v>
      </c>
    </row>
    <row r="4640" spans="2:4">
      <c r="B4640" s="6" t="s">
        <v>356</v>
      </c>
      <c r="C4640" s="6" t="s">
        <v>353</v>
      </c>
      <c r="D4640" s="5">
        <v>44968</v>
      </c>
    </row>
    <row r="4641" spans="2:4">
      <c r="B4641" s="6" t="s">
        <v>53</v>
      </c>
      <c r="C4641" s="6" t="s">
        <v>50</v>
      </c>
      <c r="D4641" s="5">
        <v>44968</v>
      </c>
    </row>
    <row r="4642" spans="2:4">
      <c r="B4642" s="6" t="s">
        <v>134</v>
      </c>
      <c r="C4642" s="6" t="s">
        <v>342</v>
      </c>
      <c r="D4642" s="5">
        <v>44968</v>
      </c>
    </row>
    <row r="4643" spans="2:4">
      <c r="B4643" s="6" t="s">
        <v>295</v>
      </c>
      <c r="C4643" s="6" t="s">
        <v>584</v>
      </c>
      <c r="D4643" s="5">
        <v>44968</v>
      </c>
    </row>
    <row r="4644" spans="2:4">
      <c r="B4644" s="6" t="s">
        <v>191</v>
      </c>
      <c r="C4644" s="6" t="s">
        <v>273</v>
      </c>
      <c r="D4644" s="5">
        <v>44968</v>
      </c>
    </row>
    <row r="4645" spans="2:4">
      <c r="B4645" s="6" t="s">
        <v>410</v>
      </c>
      <c r="C4645" s="6" t="s">
        <v>246</v>
      </c>
      <c r="D4645" s="5">
        <v>44968</v>
      </c>
    </row>
    <row r="4646" spans="2:4">
      <c r="B4646" s="6" t="s">
        <v>194</v>
      </c>
      <c r="C4646" s="6" t="s">
        <v>365</v>
      </c>
      <c r="D4646" s="5">
        <v>44968</v>
      </c>
    </row>
    <row r="4647" spans="2:4">
      <c r="B4647" s="6" t="s">
        <v>150</v>
      </c>
      <c r="C4647" s="6" t="s">
        <v>136</v>
      </c>
      <c r="D4647" s="5">
        <v>44968</v>
      </c>
    </row>
    <row r="4648" spans="2:4">
      <c r="B4648" s="6" t="s">
        <v>321</v>
      </c>
      <c r="C4648" s="6" t="s">
        <v>305</v>
      </c>
      <c r="D4648" s="5">
        <v>44968</v>
      </c>
    </row>
    <row r="4649" spans="2:4">
      <c r="B4649" s="6" t="s">
        <v>270</v>
      </c>
      <c r="C4649" s="6" t="s">
        <v>202</v>
      </c>
      <c r="D4649" s="5">
        <v>44968</v>
      </c>
    </row>
    <row r="4650" spans="2:4">
      <c r="B4650" s="6" t="s">
        <v>84</v>
      </c>
      <c r="C4650" s="6" t="s">
        <v>85</v>
      </c>
      <c r="D4650" s="5">
        <v>44968</v>
      </c>
    </row>
    <row r="4651" spans="2:4">
      <c r="B4651" s="6" t="s">
        <v>86</v>
      </c>
      <c r="C4651" s="6" t="s">
        <v>87</v>
      </c>
      <c r="D4651" s="5">
        <v>44968</v>
      </c>
    </row>
    <row r="4652" spans="2:4">
      <c r="B4652" s="6" t="s">
        <v>59</v>
      </c>
      <c r="C4652" s="6" t="s">
        <v>62</v>
      </c>
      <c r="D4652" s="5">
        <v>44968</v>
      </c>
    </row>
    <row r="4653" spans="2:4">
      <c r="B4653" s="6" t="s">
        <v>31</v>
      </c>
      <c r="C4653" s="6" t="s">
        <v>322</v>
      </c>
      <c r="D4653" s="5">
        <v>44968</v>
      </c>
    </row>
    <row r="4654" spans="2:4">
      <c r="B4654" s="6" t="s">
        <v>76</v>
      </c>
      <c r="C4654" s="6" t="s">
        <v>74</v>
      </c>
      <c r="D4654" s="5">
        <v>44968</v>
      </c>
    </row>
    <row r="4655" spans="2:4">
      <c r="B4655" s="6" t="s">
        <v>135</v>
      </c>
      <c r="C4655" s="6" t="s">
        <v>182</v>
      </c>
      <c r="D4655" s="5">
        <v>44968</v>
      </c>
    </row>
    <row r="4656" spans="2:4">
      <c r="B4656" s="6" t="s">
        <v>161</v>
      </c>
      <c r="C4656" s="6" t="s">
        <v>398</v>
      </c>
      <c r="D4656" s="5">
        <v>44968</v>
      </c>
    </row>
    <row r="4657" spans="2:4">
      <c r="B4657" s="6" t="s">
        <v>306</v>
      </c>
      <c r="C4657" s="6" t="s">
        <v>286</v>
      </c>
      <c r="D4657" s="5">
        <v>44968</v>
      </c>
    </row>
    <row r="4658" spans="2:4">
      <c r="B4658" s="6" t="s">
        <v>181</v>
      </c>
      <c r="C4658" s="6" t="s">
        <v>399</v>
      </c>
      <c r="D4658" s="5">
        <v>44968</v>
      </c>
    </row>
    <row r="4659" spans="2:4">
      <c r="B4659" s="6" t="s">
        <v>382</v>
      </c>
      <c r="C4659" s="6" t="s">
        <v>249</v>
      </c>
      <c r="D4659" s="5">
        <v>44968</v>
      </c>
    </row>
    <row r="4660" spans="2:4">
      <c r="B4660" s="6" t="s">
        <v>158</v>
      </c>
      <c r="C4660" s="6" t="s">
        <v>393</v>
      </c>
      <c r="D4660" s="5">
        <v>44968</v>
      </c>
    </row>
    <row r="4661" spans="2:4">
      <c r="B4661" s="6" t="s">
        <v>27</v>
      </c>
      <c r="C4661" s="6" t="s">
        <v>33</v>
      </c>
      <c r="D4661" s="5">
        <v>44968</v>
      </c>
    </row>
    <row r="4662" spans="2:4">
      <c r="B4662" s="6" t="s">
        <v>303</v>
      </c>
      <c r="C4662" s="6" t="s">
        <v>308</v>
      </c>
      <c r="D4662" s="5">
        <v>44968</v>
      </c>
    </row>
    <row r="4663" spans="2:4">
      <c r="B4663" s="6" t="s">
        <v>411</v>
      </c>
      <c r="C4663" s="6" t="s">
        <v>95</v>
      </c>
      <c r="D4663" s="5">
        <v>44968</v>
      </c>
    </row>
    <row r="4664" spans="2:4">
      <c r="B4664" s="6" t="s">
        <v>187</v>
      </c>
      <c r="C4664" s="6" t="s">
        <v>231</v>
      </c>
      <c r="D4664" s="5">
        <v>44968</v>
      </c>
    </row>
    <row r="4665" spans="2:4">
      <c r="B4665" s="6" t="s">
        <v>114</v>
      </c>
      <c r="C4665" s="6" t="s">
        <v>580</v>
      </c>
      <c r="D4665" s="5">
        <v>44968</v>
      </c>
    </row>
    <row r="4666" spans="2:4">
      <c r="B4666" s="6" t="s">
        <v>48</v>
      </c>
      <c r="C4666" s="6" t="s">
        <v>43</v>
      </c>
      <c r="D4666" s="5">
        <v>44968</v>
      </c>
    </row>
    <row r="4667" spans="2:4">
      <c r="B4667" s="6" t="s">
        <v>205</v>
      </c>
      <c r="C4667" s="6" t="s">
        <v>269</v>
      </c>
      <c r="D4667" s="5">
        <v>44968</v>
      </c>
    </row>
    <row r="4668" spans="2:4">
      <c r="B4668" s="6" t="s">
        <v>100</v>
      </c>
      <c r="C4668" s="6" t="s">
        <v>138</v>
      </c>
      <c r="D4668" s="5">
        <v>44968</v>
      </c>
    </row>
    <row r="4669" spans="2:4">
      <c r="B4669" s="6" t="s">
        <v>274</v>
      </c>
      <c r="C4669" s="6" t="s">
        <v>143</v>
      </c>
      <c r="D4669" s="5">
        <v>44968</v>
      </c>
    </row>
    <row r="4670" spans="2:4">
      <c r="B4670" s="6" t="s">
        <v>345</v>
      </c>
      <c r="C4670" s="6" t="s">
        <v>415</v>
      </c>
      <c r="D4670" s="5">
        <v>44968</v>
      </c>
    </row>
    <row r="4671" spans="2:4">
      <c r="B4671" s="6" t="s">
        <v>160</v>
      </c>
      <c r="C4671" s="6" t="s">
        <v>396</v>
      </c>
      <c r="D4671" s="5">
        <v>44968</v>
      </c>
    </row>
    <row r="4672" spans="2:4">
      <c r="B4672" s="6" t="s">
        <v>385</v>
      </c>
      <c r="C4672" s="6" t="s">
        <v>208</v>
      </c>
      <c r="D4672" s="5">
        <v>44968</v>
      </c>
    </row>
    <row r="4673" spans="2:4">
      <c r="B4673" s="6" t="s">
        <v>324</v>
      </c>
      <c r="C4673" s="6" t="s">
        <v>422</v>
      </c>
      <c r="D4673" s="5">
        <v>44968</v>
      </c>
    </row>
    <row r="4674" spans="2:4">
      <c r="B4674" s="6" t="s">
        <v>358</v>
      </c>
      <c r="C4674" s="6" t="s">
        <v>101</v>
      </c>
      <c r="D4674" s="5">
        <v>44968</v>
      </c>
    </row>
    <row r="4675" spans="2:4">
      <c r="B4675" s="6" t="s">
        <v>327</v>
      </c>
      <c r="C4675" s="6" t="s">
        <v>272</v>
      </c>
      <c r="D4675" s="5">
        <v>44968</v>
      </c>
    </row>
    <row r="4676" spans="2:4">
      <c r="B4676" s="6" t="s">
        <v>201</v>
      </c>
      <c r="C4676" s="6" t="s">
        <v>255</v>
      </c>
      <c r="D4676" s="5">
        <v>44968</v>
      </c>
    </row>
    <row r="4677" spans="2:4">
      <c r="B4677" s="6" t="s">
        <v>344</v>
      </c>
      <c r="C4677" s="6" t="s">
        <v>290</v>
      </c>
      <c r="D4677" s="5">
        <v>44968</v>
      </c>
    </row>
    <row r="4678" spans="2:4">
      <c r="B4678" s="6" t="s">
        <v>35</v>
      </c>
      <c r="C4678" s="6" t="s">
        <v>36</v>
      </c>
      <c r="D4678" s="5">
        <v>44968</v>
      </c>
    </row>
    <row r="4679" spans="2:4">
      <c r="B4679" s="6" t="s">
        <v>164</v>
      </c>
      <c r="C4679" s="6" t="s">
        <v>73</v>
      </c>
      <c r="D4679" s="5">
        <v>44968</v>
      </c>
    </row>
    <row r="4680" spans="2:4">
      <c r="B4680" s="6" t="s">
        <v>162</v>
      </c>
      <c r="C4680" s="6" t="s">
        <v>152</v>
      </c>
      <c r="D4680" s="5">
        <v>44968</v>
      </c>
    </row>
    <row r="4681" spans="2:4">
      <c r="B4681" s="6" t="s">
        <v>383</v>
      </c>
      <c r="C4681" s="6" t="s">
        <v>378</v>
      </c>
      <c r="D4681" s="5">
        <v>44968</v>
      </c>
    </row>
    <row r="4682" spans="2:4">
      <c r="B4682" s="6" t="s">
        <v>348</v>
      </c>
      <c r="C4682" s="6" t="s">
        <v>331</v>
      </c>
      <c r="D4682" s="5">
        <v>44968</v>
      </c>
    </row>
    <row r="4683" spans="2:4">
      <c r="B4683" s="6" t="s">
        <v>426</v>
      </c>
      <c r="C4683" s="6" t="s">
        <v>389</v>
      </c>
      <c r="D4683" s="5">
        <v>44968</v>
      </c>
    </row>
    <row r="4684" spans="2:4">
      <c r="B4684" s="6" t="s">
        <v>153</v>
      </c>
      <c r="C4684" s="6" t="s">
        <v>391</v>
      </c>
      <c r="D4684" s="5">
        <v>44968</v>
      </c>
    </row>
    <row r="4685" spans="2:4">
      <c r="B4685" s="6" t="s">
        <v>173</v>
      </c>
      <c r="C4685" s="6" t="s">
        <v>128</v>
      </c>
      <c r="D4685" s="5">
        <v>44968</v>
      </c>
    </row>
    <row r="4686" spans="2:4">
      <c r="B4686" s="6" t="s">
        <v>81</v>
      </c>
      <c r="C4686" s="6" t="s">
        <v>91</v>
      </c>
      <c r="D4686" s="5">
        <v>44968</v>
      </c>
    </row>
    <row r="4687" spans="2:4">
      <c r="B4687" s="6" t="s">
        <v>615</v>
      </c>
      <c r="C4687" s="6" t="s">
        <v>603</v>
      </c>
      <c r="D4687" s="5">
        <v>44968</v>
      </c>
    </row>
    <row r="4688" spans="2:4">
      <c r="B4688" s="6" t="s">
        <v>607</v>
      </c>
      <c r="C4688" s="6" t="s">
        <v>388</v>
      </c>
      <c r="D4688" s="5">
        <v>44968</v>
      </c>
    </row>
    <row r="4689" spans="2:4">
      <c r="B4689" s="6" t="s">
        <v>206</v>
      </c>
      <c r="C4689" s="6" t="s">
        <v>190</v>
      </c>
      <c r="D4689" s="5">
        <v>44968</v>
      </c>
    </row>
    <row r="4690" spans="2:4">
      <c r="B4690" s="6" t="s">
        <v>132</v>
      </c>
      <c r="C4690" s="6" t="s">
        <v>157</v>
      </c>
      <c r="D4690" s="5">
        <v>44968</v>
      </c>
    </row>
    <row r="4691" spans="2:4">
      <c r="B4691" s="6" t="s">
        <v>77</v>
      </c>
      <c r="C4691" s="6" t="s">
        <v>72</v>
      </c>
      <c r="D4691" s="5">
        <v>44968</v>
      </c>
    </row>
    <row r="4692" spans="2:4">
      <c r="B4692" s="6" t="s">
        <v>433</v>
      </c>
      <c r="C4692" s="6" t="s">
        <v>168</v>
      </c>
      <c r="D4692" s="5">
        <v>44968</v>
      </c>
    </row>
    <row r="4693" spans="2:4">
      <c r="B4693" s="6" t="s">
        <v>159</v>
      </c>
      <c r="C4693" s="6" t="s">
        <v>375</v>
      </c>
      <c r="D4693" s="5">
        <v>44968</v>
      </c>
    </row>
    <row r="4694" spans="2:4">
      <c r="B4694" s="6" t="s">
        <v>424</v>
      </c>
      <c r="C4694" s="6" t="s">
        <v>381</v>
      </c>
      <c r="D4694" s="5">
        <v>44968</v>
      </c>
    </row>
    <row r="4695" spans="2:4">
      <c r="B4695" s="6" t="s">
        <v>404</v>
      </c>
      <c r="C4695" s="6" t="s">
        <v>165</v>
      </c>
      <c r="D4695" s="5">
        <v>44968</v>
      </c>
    </row>
    <row r="4696" spans="2:4">
      <c r="B4696" s="6" t="s">
        <v>599</v>
      </c>
      <c r="C4696" s="6" t="s">
        <v>207</v>
      </c>
      <c r="D4696" s="5">
        <v>44968</v>
      </c>
    </row>
    <row r="4697" spans="2:4">
      <c r="B4697" s="6" t="s">
        <v>586</v>
      </c>
      <c r="C4697" s="6" t="s">
        <v>420</v>
      </c>
      <c r="D4697" s="5">
        <v>44968</v>
      </c>
    </row>
    <row r="4698" spans="2:4">
      <c r="B4698" s="6" t="s">
        <v>423</v>
      </c>
      <c r="C4698" s="6" t="s">
        <v>141</v>
      </c>
      <c r="D4698" s="5">
        <v>44968</v>
      </c>
    </row>
    <row r="4699" spans="2:4">
      <c r="B4699" s="6" t="s">
        <v>78</v>
      </c>
      <c r="C4699" s="6" t="s">
        <v>71</v>
      </c>
      <c r="D4699" s="5">
        <v>44968</v>
      </c>
    </row>
    <row r="4700" spans="2:4">
      <c r="B4700" s="6" t="s">
        <v>428</v>
      </c>
      <c r="C4700" s="6" t="s">
        <v>621</v>
      </c>
      <c r="D4700" s="5">
        <v>44968</v>
      </c>
    </row>
    <row r="4701" spans="2:4">
      <c r="B4701" s="6" t="s">
        <v>144</v>
      </c>
      <c r="C4701" s="6" t="s">
        <v>145</v>
      </c>
      <c r="D4701" s="5">
        <v>44969</v>
      </c>
    </row>
    <row r="4702" spans="2:4">
      <c r="B4702" s="6" t="s">
        <v>204</v>
      </c>
      <c r="C4702" s="6" t="s">
        <v>285</v>
      </c>
      <c r="D4702" s="5">
        <v>44969</v>
      </c>
    </row>
    <row r="4703" spans="2:4">
      <c r="B4703" s="6" t="s">
        <v>211</v>
      </c>
      <c r="C4703" s="6" t="s">
        <v>216</v>
      </c>
      <c r="D4703" s="5">
        <v>44969</v>
      </c>
    </row>
    <row r="4704" spans="2:4">
      <c r="B4704" s="6" t="s">
        <v>63</v>
      </c>
      <c r="C4704" s="6" t="s">
        <v>61</v>
      </c>
      <c r="D4704" s="5">
        <v>44969</v>
      </c>
    </row>
    <row r="4705" spans="2:4">
      <c r="B4705" s="6" t="s">
        <v>57</v>
      </c>
      <c r="C4705" s="6" t="s">
        <v>55</v>
      </c>
      <c r="D4705" s="5">
        <v>44969</v>
      </c>
    </row>
    <row r="4706" spans="2:4">
      <c r="B4706" s="6" t="s">
        <v>256</v>
      </c>
      <c r="C4706" s="6" t="s">
        <v>172</v>
      </c>
      <c r="D4706" s="5">
        <v>44969</v>
      </c>
    </row>
    <row r="4707" spans="2:4">
      <c r="B4707" s="6" t="s">
        <v>296</v>
      </c>
      <c r="C4707" s="6" t="s">
        <v>412</v>
      </c>
      <c r="D4707" s="5">
        <v>44969</v>
      </c>
    </row>
    <row r="4708" spans="2:4">
      <c r="B4708" s="6" t="s">
        <v>397</v>
      </c>
      <c r="C4708" s="6" t="s">
        <v>418</v>
      </c>
      <c r="D4708" s="5">
        <v>44969</v>
      </c>
    </row>
    <row r="4709" spans="2:4">
      <c r="B4709" s="6" t="s">
        <v>213</v>
      </c>
      <c r="C4709" s="6" t="s">
        <v>320</v>
      </c>
      <c r="D4709" s="5">
        <v>44969</v>
      </c>
    </row>
    <row r="4710" spans="2:4">
      <c r="B4710" s="6" t="s">
        <v>130</v>
      </c>
      <c r="C4710" s="6" t="s">
        <v>361</v>
      </c>
      <c r="D4710" s="5">
        <v>44969</v>
      </c>
    </row>
    <row r="4711" spans="2:4">
      <c r="B4711" s="6" t="s">
        <v>230</v>
      </c>
      <c r="C4711" s="6" t="s">
        <v>244</v>
      </c>
      <c r="D4711" s="5">
        <v>44969</v>
      </c>
    </row>
    <row r="4712" spans="2:4">
      <c r="B4712" s="6" t="s">
        <v>112</v>
      </c>
      <c r="C4712" s="6" t="s">
        <v>233</v>
      </c>
      <c r="D4712" s="5">
        <v>44969</v>
      </c>
    </row>
    <row r="4713" spans="2:4">
      <c r="B4713" s="6" t="s">
        <v>68</v>
      </c>
      <c r="C4713" s="6" t="s">
        <v>58</v>
      </c>
      <c r="D4713" s="5">
        <v>44969</v>
      </c>
    </row>
    <row r="4714" spans="2:4">
      <c r="B4714" s="6" t="s">
        <v>267</v>
      </c>
      <c r="C4714" s="6" t="s">
        <v>103</v>
      </c>
      <c r="D4714" s="5">
        <v>44969</v>
      </c>
    </row>
    <row r="4715" spans="2:4">
      <c r="B4715" s="6" t="s">
        <v>352</v>
      </c>
      <c r="C4715" s="6" t="s">
        <v>341</v>
      </c>
      <c r="D4715" s="5">
        <v>44969</v>
      </c>
    </row>
    <row r="4716" spans="2:4">
      <c r="B4716" s="6" t="s">
        <v>303</v>
      </c>
      <c r="C4716" s="6" t="s">
        <v>314</v>
      </c>
      <c r="D4716" s="5">
        <v>44970</v>
      </c>
    </row>
    <row r="4717" spans="2:4">
      <c r="B4717" s="6" t="s">
        <v>332</v>
      </c>
      <c r="C4717" s="6" t="s">
        <v>308</v>
      </c>
      <c r="D4717" s="5">
        <v>44970</v>
      </c>
    </row>
    <row r="4718" spans="2:4">
      <c r="B4718" s="6" t="s">
        <v>251</v>
      </c>
      <c r="C4718" s="6" t="s">
        <v>48</v>
      </c>
      <c r="D4718" s="5">
        <v>44970</v>
      </c>
    </row>
    <row r="4719" spans="2:4">
      <c r="B4719" s="6" t="s">
        <v>113</v>
      </c>
      <c r="C4719" s="6" t="s">
        <v>360</v>
      </c>
      <c r="D4719" s="5">
        <v>44970</v>
      </c>
    </row>
    <row r="4720" spans="2:4">
      <c r="B4720" s="6" t="s">
        <v>115</v>
      </c>
      <c r="C4720" s="6" t="s">
        <v>268</v>
      </c>
      <c r="D4720" s="5">
        <v>44970</v>
      </c>
    </row>
    <row r="4721" spans="2:4">
      <c r="B4721" s="6" t="s">
        <v>413</v>
      </c>
      <c r="C4721" s="6" t="s">
        <v>123</v>
      </c>
      <c r="D4721" s="5">
        <v>44970</v>
      </c>
    </row>
    <row r="4722" spans="2:4">
      <c r="B4722" s="6" t="s">
        <v>178</v>
      </c>
      <c r="C4722" s="6" t="s">
        <v>146</v>
      </c>
      <c r="D4722" s="5">
        <v>44970</v>
      </c>
    </row>
    <row r="4723" spans="2:4">
      <c r="B4723" s="6" t="s">
        <v>118</v>
      </c>
      <c r="C4723" s="6" t="s">
        <v>99</v>
      </c>
      <c r="D4723" s="5">
        <v>44970</v>
      </c>
    </row>
    <row r="4724" spans="2:4">
      <c r="B4724" s="6" t="s">
        <v>432</v>
      </c>
      <c r="C4724" s="6" t="s">
        <v>272</v>
      </c>
      <c r="D4724" s="5">
        <v>44970</v>
      </c>
    </row>
    <row r="4725" spans="2:4">
      <c r="B4725" s="6" t="s">
        <v>238</v>
      </c>
      <c r="C4725" s="6" t="s">
        <v>276</v>
      </c>
      <c r="D4725" s="5">
        <v>44970</v>
      </c>
    </row>
    <row r="4726" spans="2:4">
      <c r="B4726" s="6" t="s">
        <v>96</v>
      </c>
      <c r="C4726" s="6" t="s">
        <v>335</v>
      </c>
      <c r="D4726" s="5">
        <v>44970</v>
      </c>
    </row>
    <row r="4727" spans="2:4">
      <c r="B4727" s="6" t="s">
        <v>232</v>
      </c>
      <c r="C4727" s="6" t="s">
        <v>364</v>
      </c>
      <c r="D4727" s="5">
        <v>44970</v>
      </c>
    </row>
    <row r="4728" spans="2:4">
      <c r="B4728" s="6" t="s">
        <v>170</v>
      </c>
      <c r="C4728" s="6" t="s">
        <v>156</v>
      </c>
      <c r="D4728" s="5">
        <v>44970</v>
      </c>
    </row>
    <row r="4729" spans="2:4">
      <c r="B4729" s="6" t="s">
        <v>277</v>
      </c>
      <c r="C4729" s="6" t="s">
        <v>116</v>
      </c>
      <c r="D4729" s="5">
        <v>44970</v>
      </c>
    </row>
    <row r="4730" spans="2:4">
      <c r="B4730" s="6" t="s">
        <v>310</v>
      </c>
      <c r="C4730" s="6" t="s">
        <v>264</v>
      </c>
      <c r="D4730" s="5">
        <v>44970</v>
      </c>
    </row>
    <row r="4731" spans="2:4">
      <c r="B4731" s="6" t="s">
        <v>306</v>
      </c>
      <c r="C4731" s="6" t="s">
        <v>122</v>
      </c>
      <c r="D4731" s="5">
        <v>44970</v>
      </c>
    </row>
    <row r="4732" spans="2:4">
      <c r="B4732" s="6" t="s">
        <v>382</v>
      </c>
      <c r="C4732" s="6" t="s">
        <v>399</v>
      </c>
      <c r="D4732" s="5">
        <v>44970</v>
      </c>
    </row>
    <row r="4733" spans="2:4">
      <c r="B4733" s="6" t="s">
        <v>28</v>
      </c>
      <c r="C4733" s="6" t="s">
        <v>32</v>
      </c>
      <c r="D4733" s="5">
        <v>44970</v>
      </c>
    </row>
    <row r="4734" spans="2:4">
      <c r="B4734" s="6" t="s">
        <v>27</v>
      </c>
      <c r="C4734" s="6" t="s">
        <v>30</v>
      </c>
      <c r="D4734" s="5">
        <v>44970</v>
      </c>
    </row>
    <row r="4735" spans="2:4">
      <c r="B4735" s="6" t="s">
        <v>181</v>
      </c>
      <c r="C4735" s="6" t="s">
        <v>249</v>
      </c>
      <c r="D4735" s="5">
        <v>44970</v>
      </c>
    </row>
    <row r="4736" spans="2:4">
      <c r="B4736" s="6" t="s">
        <v>129</v>
      </c>
      <c r="C4736" s="6" t="s">
        <v>179</v>
      </c>
      <c r="D4736" s="5">
        <v>44970</v>
      </c>
    </row>
    <row r="4737" spans="2:4">
      <c r="B4737" s="6" t="s">
        <v>40</v>
      </c>
      <c r="C4737" s="6" t="s">
        <v>38</v>
      </c>
      <c r="D4737" s="5">
        <v>44971</v>
      </c>
    </row>
    <row r="4738" spans="2:4">
      <c r="B4738" s="6" t="s">
        <v>155</v>
      </c>
      <c r="C4738" s="6" t="s">
        <v>302</v>
      </c>
      <c r="D4738" s="5">
        <v>44971</v>
      </c>
    </row>
    <row r="4739" spans="2:4">
      <c r="B4739" s="6" t="s">
        <v>36</v>
      </c>
      <c r="C4739" s="6" t="s">
        <v>41</v>
      </c>
      <c r="D4739" s="5">
        <v>44971</v>
      </c>
    </row>
    <row r="4740" spans="2:4">
      <c r="B4740" s="6" t="s">
        <v>90</v>
      </c>
      <c r="C4740" s="6" t="s">
        <v>185</v>
      </c>
      <c r="D4740" s="5">
        <v>44971</v>
      </c>
    </row>
    <row r="4741" spans="2:4">
      <c r="B4741" s="6" t="s">
        <v>44</v>
      </c>
      <c r="C4741" s="6" t="s">
        <v>46</v>
      </c>
      <c r="D4741" s="5">
        <v>44971</v>
      </c>
    </row>
    <row r="4742" spans="2:4">
      <c r="B4742" s="6" t="s">
        <v>83</v>
      </c>
      <c r="C4742" s="6" t="s">
        <v>87</v>
      </c>
      <c r="D4742" s="5">
        <v>44971</v>
      </c>
    </row>
    <row r="4743" spans="2:4">
      <c r="B4743" s="6" t="s">
        <v>66</v>
      </c>
      <c r="C4743" s="6" t="s">
        <v>60</v>
      </c>
      <c r="D4743" s="5">
        <v>44971</v>
      </c>
    </row>
    <row r="4744" spans="2:4">
      <c r="B4744" s="6" t="s">
        <v>139</v>
      </c>
      <c r="C4744" s="6" t="s">
        <v>241</v>
      </c>
      <c r="D4744" s="5">
        <v>44971</v>
      </c>
    </row>
    <row r="4745" spans="2:4">
      <c r="B4745" s="6" t="s">
        <v>47</v>
      </c>
      <c r="C4745" s="6" t="s">
        <v>149</v>
      </c>
      <c r="D4745" s="5">
        <v>44971</v>
      </c>
    </row>
    <row r="4746" spans="2:4">
      <c r="B4746" s="6" t="s">
        <v>300</v>
      </c>
      <c r="C4746" s="6" t="s">
        <v>350</v>
      </c>
      <c r="D4746" s="5">
        <v>44971</v>
      </c>
    </row>
    <row r="4747" spans="2:4">
      <c r="B4747" s="6" t="s">
        <v>247</v>
      </c>
      <c r="C4747" s="6" t="s">
        <v>105</v>
      </c>
      <c r="D4747" s="5">
        <v>44971</v>
      </c>
    </row>
    <row r="4748" spans="2:4">
      <c r="B4748" s="6" t="s">
        <v>140</v>
      </c>
      <c r="C4748" s="6" t="s">
        <v>209</v>
      </c>
      <c r="D4748" s="5">
        <v>44971</v>
      </c>
    </row>
    <row r="4749" spans="2:4">
      <c r="B4749" s="6" t="s">
        <v>109</v>
      </c>
      <c r="C4749" s="6" t="s">
        <v>400</v>
      </c>
      <c r="D4749" s="5">
        <v>44971</v>
      </c>
    </row>
    <row r="4750" spans="2:4">
      <c r="B4750" s="6" t="s">
        <v>288</v>
      </c>
      <c r="C4750" s="6" t="s">
        <v>362</v>
      </c>
      <c r="D4750" s="5">
        <v>44971</v>
      </c>
    </row>
    <row r="4751" spans="2:4">
      <c r="B4751" s="6" t="s">
        <v>127</v>
      </c>
      <c r="C4751" s="6" t="s">
        <v>203</v>
      </c>
      <c r="D4751" s="5">
        <v>44971</v>
      </c>
    </row>
    <row r="4752" spans="2:4">
      <c r="B4752" s="6" t="s">
        <v>414</v>
      </c>
      <c r="C4752" s="6" t="s">
        <v>180</v>
      </c>
      <c r="D4752" s="5">
        <v>44971</v>
      </c>
    </row>
    <row r="4753" spans="2:4">
      <c r="B4753" s="6" t="s">
        <v>35</v>
      </c>
      <c r="C4753" s="6" t="s">
        <v>42</v>
      </c>
      <c r="D4753" s="5">
        <v>44971</v>
      </c>
    </row>
    <row r="4754" spans="2:4">
      <c r="B4754" s="6" t="s">
        <v>64</v>
      </c>
      <c r="C4754" s="6" t="s">
        <v>67</v>
      </c>
      <c r="D4754" s="5">
        <v>44971</v>
      </c>
    </row>
    <row r="4755" spans="2:4">
      <c r="B4755" s="6" t="s">
        <v>89</v>
      </c>
      <c r="C4755" s="6" t="s">
        <v>81</v>
      </c>
      <c r="D4755" s="5">
        <v>44971</v>
      </c>
    </row>
    <row r="4756" spans="2:4">
      <c r="B4756" s="6" t="s">
        <v>322</v>
      </c>
      <c r="C4756" s="6" t="s">
        <v>26</v>
      </c>
      <c r="D4756" s="5">
        <v>44971</v>
      </c>
    </row>
    <row r="4757" spans="2:4">
      <c r="B4757" s="6" t="s">
        <v>65</v>
      </c>
      <c r="C4757" s="6" t="s">
        <v>59</v>
      </c>
      <c r="D4757" s="5">
        <v>44971</v>
      </c>
    </row>
    <row r="4758" spans="2:4">
      <c r="B4758" s="6" t="s">
        <v>29</v>
      </c>
      <c r="C4758" s="6" t="s">
        <v>33</v>
      </c>
      <c r="D4758" s="5">
        <v>44971</v>
      </c>
    </row>
    <row r="4759" spans="2:4">
      <c r="B4759" s="6" t="s">
        <v>49</v>
      </c>
      <c r="C4759" s="6" t="s">
        <v>54</v>
      </c>
      <c r="D4759" s="5">
        <v>44971</v>
      </c>
    </row>
    <row r="4760" spans="2:4">
      <c r="B4760" s="6" t="s">
        <v>168</v>
      </c>
      <c r="C4760" s="6" t="s">
        <v>198</v>
      </c>
      <c r="D4760" s="5">
        <v>44971</v>
      </c>
    </row>
    <row r="4761" spans="2:4">
      <c r="B4761" s="6" t="s">
        <v>189</v>
      </c>
      <c r="C4761" s="6" t="s">
        <v>152</v>
      </c>
      <c r="D4761" s="5">
        <v>44971</v>
      </c>
    </row>
    <row r="4762" spans="2:4">
      <c r="B4762" s="6" t="s">
        <v>163</v>
      </c>
      <c r="C4762" s="6" t="s">
        <v>433</v>
      </c>
      <c r="D4762" s="5">
        <v>44971</v>
      </c>
    </row>
    <row r="4763" spans="2:4">
      <c r="B4763" s="6" t="s">
        <v>131</v>
      </c>
      <c r="C4763" s="6" t="s">
        <v>278</v>
      </c>
      <c r="D4763" s="5">
        <v>44972</v>
      </c>
    </row>
    <row r="4764" spans="2:4">
      <c r="B4764" s="6" t="s">
        <v>386</v>
      </c>
      <c r="C4764" s="6" t="s">
        <v>162</v>
      </c>
      <c r="D4764" s="5">
        <v>44972</v>
      </c>
    </row>
    <row r="4765" spans="2:4">
      <c r="B4765" s="6" t="s">
        <v>79</v>
      </c>
      <c r="C4765" s="6" t="s">
        <v>88</v>
      </c>
      <c r="D4765" s="5">
        <v>44972</v>
      </c>
    </row>
    <row r="4766" spans="2:4">
      <c r="B4766" s="6" t="s">
        <v>86</v>
      </c>
      <c r="C4766" s="6" t="s">
        <v>82</v>
      </c>
      <c r="D4766" s="5">
        <v>44972</v>
      </c>
    </row>
    <row r="4767" spans="2:4">
      <c r="B4767" s="6" t="s">
        <v>43</v>
      </c>
      <c r="C4767" s="6" t="s">
        <v>188</v>
      </c>
      <c r="D4767" s="5">
        <v>44972</v>
      </c>
    </row>
    <row r="4768" spans="2:4">
      <c r="B4768" s="6" t="s">
        <v>275</v>
      </c>
      <c r="C4768" s="6" t="s">
        <v>187</v>
      </c>
      <c r="D4768" s="5">
        <v>44972</v>
      </c>
    </row>
    <row r="4769" spans="2:4">
      <c r="B4769" s="6" t="s">
        <v>580</v>
      </c>
      <c r="C4769" s="6" t="s">
        <v>137</v>
      </c>
      <c r="D4769" s="5">
        <v>44972</v>
      </c>
    </row>
    <row r="4770" spans="2:4">
      <c r="B4770" s="6" t="s">
        <v>176</v>
      </c>
      <c r="C4770" s="6" t="s">
        <v>148</v>
      </c>
      <c r="D4770" s="5">
        <v>44972</v>
      </c>
    </row>
    <row r="4771" spans="2:4">
      <c r="B4771" s="6" t="s">
        <v>50</v>
      </c>
      <c r="C4771" s="6" t="s">
        <v>52</v>
      </c>
      <c r="D4771" s="5">
        <v>44972</v>
      </c>
    </row>
    <row r="4772" spans="2:4">
      <c r="B4772" s="6" t="s">
        <v>51</v>
      </c>
      <c r="C4772" s="6" t="s">
        <v>45</v>
      </c>
      <c r="D4772" s="5">
        <v>44972</v>
      </c>
    </row>
    <row r="4773" spans="2:4">
      <c r="B4773" s="6" t="s">
        <v>126</v>
      </c>
      <c r="C4773" s="6" t="s">
        <v>177</v>
      </c>
      <c r="D4773" s="5">
        <v>44972</v>
      </c>
    </row>
    <row r="4774" spans="2:4">
      <c r="B4774" s="6" t="s">
        <v>205</v>
      </c>
      <c r="C4774" s="6" t="s">
        <v>253</v>
      </c>
      <c r="D4774" s="5">
        <v>44972</v>
      </c>
    </row>
    <row r="4775" spans="2:4">
      <c r="B4775" s="6" t="s">
        <v>106</v>
      </c>
      <c r="C4775" s="6" t="s">
        <v>269</v>
      </c>
      <c r="D4775" s="5">
        <v>44972</v>
      </c>
    </row>
    <row r="4776" spans="2:4">
      <c r="B4776" s="6" t="s">
        <v>215</v>
      </c>
      <c r="C4776" s="6" t="s">
        <v>301</v>
      </c>
      <c r="D4776" s="5">
        <v>44972</v>
      </c>
    </row>
    <row r="4777" spans="2:4">
      <c r="B4777" s="6" t="s">
        <v>114</v>
      </c>
      <c r="C4777" s="6" t="s">
        <v>220</v>
      </c>
      <c r="D4777" s="5">
        <v>44972</v>
      </c>
    </row>
    <row r="4778" spans="2:4">
      <c r="B4778" s="6" t="s">
        <v>37</v>
      </c>
      <c r="C4778" s="6" t="s">
        <v>39</v>
      </c>
      <c r="D4778" s="5">
        <v>44972</v>
      </c>
    </row>
    <row r="4779" spans="2:4">
      <c r="B4779" s="6" t="s">
        <v>55</v>
      </c>
      <c r="C4779" s="6" t="s">
        <v>63</v>
      </c>
      <c r="D4779" s="5">
        <v>44972</v>
      </c>
    </row>
    <row r="4780" spans="2:4">
      <c r="B4780" s="6" t="s">
        <v>124</v>
      </c>
      <c r="C4780" s="6" t="s">
        <v>121</v>
      </c>
      <c r="D4780" s="5">
        <v>44972</v>
      </c>
    </row>
    <row r="4781" spans="2:4">
      <c r="B4781" s="6" t="s">
        <v>349</v>
      </c>
      <c r="C4781" s="6" t="s">
        <v>252</v>
      </c>
      <c r="D4781" s="5">
        <v>44972</v>
      </c>
    </row>
    <row r="4782" spans="2:4">
      <c r="B4782" s="6" t="s">
        <v>284</v>
      </c>
      <c r="C4782" s="6" t="s">
        <v>334</v>
      </c>
      <c r="D4782" s="5">
        <v>44972</v>
      </c>
    </row>
    <row r="4783" spans="2:4">
      <c r="B4783" s="6" t="s">
        <v>210</v>
      </c>
      <c r="C4783" s="6" t="s">
        <v>200</v>
      </c>
      <c r="D4783" s="5">
        <v>44972</v>
      </c>
    </row>
    <row r="4784" spans="2:4">
      <c r="B4784" s="6" t="s">
        <v>337</v>
      </c>
      <c r="C4784" s="6" t="s">
        <v>281</v>
      </c>
      <c r="D4784" s="5">
        <v>44972</v>
      </c>
    </row>
    <row r="4785" spans="2:4">
      <c r="B4785" s="6" t="s">
        <v>202</v>
      </c>
      <c r="C4785" s="6" t="s">
        <v>297</v>
      </c>
      <c r="D4785" s="5">
        <v>44972</v>
      </c>
    </row>
    <row r="4786" spans="2:4">
      <c r="B4786" s="6" t="s">
        <v>273</v>
      </c>
      <c r="C4786" s="6" t="s">
        <v>395</v>
      </c>
      <c r="D4786" s="5">
        <v>44972</v>
      </c>
    </row>
    <row r="4787" spans="2:4">
      <c r="B4787" s="6" t="s">
        <v>192</v>
      </c>
      <c r="C4787" s="6" t="s">
        <v>110</v>
      </c>
      <c r="D4787" s="5">
        <v>44972</v>
      </c>
    </row>
    <row r="4788" spans="2:4">
      <c r="B4788" s="6" t="s">
        <v>425</v>
      </c>
      <c r="C4788" s="6" t="s">
        <v>191</v>
      </c>
      <c r="D4788" s="5">
        <v>44972</v>
      </c>
    </row>
    <row r="4789" spans="2:4">
      <c r="B4789" s="6" t="s">
        <v>298</v>
      </c>
      <c r="C4789" s="6" t="s">
        <v>270</v>
      </c>
      <c r="D4789" s="5">
        <v>44972</v>
      </c>
    </row>
    <row r="4790" spans="2:4">
      <c r="B4790" s="6" t="s">
        <v>261</v>
      </c>
      <c r="C4790" s="6" t="s">
        <v>104</v>
      </c>
      <c r="D4790" s="5">
        <v>44972</v>
      </c>
    </row>
    <row r="4791" spans="2:4">
      <c r="B4791" s="6" t="s">
        <v>282</v>
      </c>
      <c r="C4791" s="6" t="s">
        <v>111</v>
      </c>
      <c r="D4791" s="5">
        <v>44972</v>
      </c>
    </row>
    <row r="4792" spans="2:4">
      <c r="B4792" s="6" t="s">
        <v>287</v>
      </c>
      <c r="C4792" s="6" t="s">
        <v>436</v>
      </c>
      <c r="D4792" s="5">
        <v>44972</v>
      </c>
    </row>
    <row r="4793" spans="2:4">
      <c r="B4793" s="6" t="s">
        <v>103</v>
      </c>
      <c r="C4793" s="6" t="s">
        <v>171</v>
      </c>
      <c r="D4793" s="5">
        <v>44972</v>
      </c>
    </row>
    <row r="4794" spans="2:4">
      <c r="B4794" s="6" t="s">
        <v>101</v>
      </c>
      <c r="C4794" s="6" t="s">
        <v>172</v>
      </c>
      <c r="D4794" s="5">
        <v>44972</v>
      </c>
    </row>
    <row r="4795" spans="2:4">
      <c r="B4795" s="6" t="s">
        <v>142</v>
      </c>
      <c r="C4795" s="6" t="s">
        <v>292</v>
      </c>
      <c r="D4795" s="5">
        <v>44972</v>
      </c>
    </row>
    <row r="4796" spans="2:4">
      <c r="B4796" s="6" t="s">
        <v>186</v>
      </c>
      <c r="C4796" s="6" t="s">
        <v>213</v>
      </c>
      <c r="D4796" s="5">
        <v>44972</v>
      </c>
    </row>
    <row r="4797" spans="2:4">
      <c r="B4797" s="6" t="s">
        <v>415</v>
      </c>
      <c r="C4797" s="6" t="s">
        <v>323</v>
      </c>
      <c r="D4797" s="5">
        <v>44972</v>
      </c>
    </row>
    <row r="4798" spans="2:4">
      <c r="B4798" s="6" t="s">
        <v>102</v>
      </c>
      <c r="C4798" s="6" t="s">
        <v>267</v>
      </c>
      <c r="D4798" s="5">
        <v>44972</v>
      </c>
    </row>
    <row r="4799" spans="2:4">
      <c r="B4799" s="6" t="s">
        <v>95</v>
      </c>
      <c r="C4799" s="6" t="s">
        <v>231</v>
      </c>
      <c r="D4799" s="5">
        <v>44972</v>
      </c>
    </row>
    <row r="4800" spans="2:4">
      <c r="B4800" s="6" t="s">
        <v>280</v>
      </c>
      <c r="C4800" s="6" t="s">
        <v>325</v>
      </c>
      <c r="D4800" s="5">
        <v>44972</v>
      </c>
    </row>
    <row r="4801" spans="2:4">
      <c r="B4801" s="6" t="s">
        <v>326</v>
      </c>
      <c r="C4801" s="6" t="s">
        <v>312</v>
      </c>
      <c r="D4801" s="5">
        <v>44972</v>
      </c>
    </row>
    <row r="4802" spans="2:4">
      <c r="B4802" s="6" t="s">
        <v>119</v>
      </c>
      <c r="C4802" s="6" t="s">
        <v>320</v>
      </c>
      <c r="D4802" s="5">
        <v>44972</v>
      </c>
    </row>
    <row r="4803" spans="2:4">
      <c r="B4803" s="6" t="s">
        <v>85</v>
      </c>
      <c r="C4803" s="6" t="s">
        <v>80</v>
      </c>
      <c r="D4803" s="5">
        <v>44972</v>
      </c>
    </row>
    <row r="4804" spans="2:4">
      <c r="B4804" s="6" t="s">
        <v>91</v>
      </c>
      <c r="C4804" s="6" t="s">
        <v>84</v>
      </c>
      <c r="D4804" s="5">
        <v>44972</v>
      </c>
    </row>
    <row r="4805" spans="2:4">
      <c r="B4805" s="6" t="s">
        <v>68</v>
      </c>
      <c r="C4805" s="6" t="s">
        <v>62</v>
      </c>
      <c r="D4805" s="5">
        <v>44972</v>
      </c>
    </row>
    <row r="4806" spans="2:4">
      <c r="B4806" s="6" t="s">
        <v>31</v>
      </c>
      <c r="C4806" s="6" t="s">
        <v>34</v>
      </c>
      <c r="D4806" s="5">
        <v>44972</v>
      </c>
    </row>
    <row r="4807" spans="2:4">
      <c r="B4807" s="6" t="s">
        <v>318</v>
      </c>
      <c r="C4807" s="6" t="s">
        <v>363</v>
      </c>
      <c r="D4807" s="5">
        <v>44972</v>
      </c>
    </row>
    <row r="4808" spans="2:4">
      <c r="B4808" s="6" t="s">
        <v>133</v>
      </c>
      <c r="C4808" s="6" t="s">
        <v>199</v>
      </c>
      <c r="D4808" s="5">
        <v>44972</v>
      </c>
    </row>
    <row r="4809" spans="2:4">
      <c r="B4809" s="6" t="s">
        <v>375</v>
      </c>
      <c r="C4809" s="6" t="s">
        <v>345</v>
      </c>
      <c r="D4809" s="5">
        <v>44972</v>
      </c>
    </row>
    <row r="4810" spans="2:4">
      <c r="B4810" s="6" t="s">
        <v>381</v>
      </c>
      <c r="C4810" s="6" t="s">
        <v>344</v>
      </c>
      <c r="D4810" s="5">
        <v>44972</v>
      </c>
    </row>
    <row r="4811" spans="2:4">
      <c r="B4811" s="6" t="s">
        <v>141</v>
      </c>
      <c r="C4811" s="6" t="s">
        <v>599</v>
      </c>
      <c r="D4811" s="5">
        <v>44972</v>
      </c>
    </row>
    <row r="4812" spans="2:4">
      <c r="B4812" s="6" t="s">
        <v>159</v>
      </c>
      <c r="C4812" s="6" t="s">
        <v>424</v>
      </c>
      <c r="D4812" s="5">
        <v>44972</v>
      </c>
    </row>
    <row r="4813" spans="2:4">
      <c r="B4813" s="6" t="s">
        <v>154</v>
      </c>
      <c r="C4813" s="6" t="s">
        <v>420</v>
      </c>
      <c r="D4813" s="5">
        <v>44972</v>
      </c>
    </row>
    <row r="4814" spans="2:4">
      <c r="B4814" s="6" t="s">
        <v>207</v>
      </c>
      <c r="C4814" s="6" t="s">
        <v>586</v>
      </c>
      <c r="D4814" s="5">
        <v>44972</v>
      </c>
    </row>
    <row r="4815" spans="2:4">
      <c r="B4815" s="6" t="s">
        <v>236</v>
      </c>
      <c r="C4815" s="6" t="s">
        <v>621</v>
      </c>
      <c r="D4815" s="5">
        <v>44972</v>
      </c>
    </row>
    <row r="4816" spans="2:4">
      <c r="B4816" s="6" t="s">
        <v>423</v>
      </c>
      <c r="C4816" s="6" t="s">
        <v>167</v>
      </c>
      <c r="D4816" s="5">
        <v>44972</v>
      </c>
    </row>
    <row r="4817" spans="2:4">
      <c r="B4817" s="6" t="s">
        <v>394</v>
      </c>
      <c r="C4817" s="6" t="s">
        <v>392</v>
      </c>
      <c r="D4817" s="5">
        <v>44972</v>
      </c>
    </row>
    <row r="4818" spans="2:4">
      <c r="B4818" s="6" t="s">
        <v>71</v>
      </c>
      <c r="C4818" s="6" t="s">
        <v>69</v>
      </c>
      <c r="D4818" s="5">
        <v>44972</v>
      </c>
    </row>
    <row r="4819" spans="2:4">
      <c r="B4819" s="6" t="s">
        <v>74</v>
      </c>
      <c r="C4819" s="6" t="s">
        <v>164</v>
      </c>
      <c r="D4819" s="5">
        <v>44973</v>
      </c>
    </row>
    <row r="4820" spans="2:4">
      <c r="B4820" s="6" t="s">
        <v>427</v>
      </c>
      <c r="C4820" s="6" t="s">
        <v>404</v>
      </c>
      <c r="D4820" s="5">
        <v>44973</v>
      </c>
    </row>
    <row r="4821" spans="2:4">
      <c r="B4821" s="6" t="s">
        <v>587</v>
      </c>
      <c r="C4821" s="6" t="s">
        <v>338</v>
      </c>
      <c r="D4821" s="5">
        <v>44973</v>
      </c>
    </row>
    <row r="4822" spans="2:4">
      <c r="B4822" s="6" t="s">
        <v>56</v>
      </c>
      <c r="C4822" s="6" t="s">
        <v>58</v>
      </c>
      <c r="D4822" s="5">
        <v>44973</v>
      </c>
    </row>
    <row r="4823" spans="2:4">
      <c r="B4823" s="6" t="s">
        <v>286</v>
      </c>
      <c r="C4823" s="6" t="s">
        <v>150</v>
      </c>
      <c r="D4823" s="5">
        <v>44973</v>
      </c>
    </row>
    <row r="4824" spans="2:4">
      <c r="B4824" s="6" t="s">
        <v>341</v>
      </c>
      <c r="C4824" s="6" t="s">
        <v>212</v>
      </c>
      <c r="D4824" s="5">
        <v>44973</v>
      </c>
    </row>
    <row r="4825" spans="2:4">
      <c r="B4825" s="6" t="s">
        <v>122</v>
      </c>
      <c r="C4825" s="6" t="s">
        <v>175</v>
      </c>
      <c r="D4825" s="5">
        <v>44973</v>
      </c>
    </row>
    <row r="4826" spans="2:4">
      <c r="B4826" s="6" t="s">
        <v>145</v>
      </c>
      <c r="C4826" s="6" t="s">
        <v>352</v>
      </c>
      <c r="D4826" s="5">
        <v>44973</v>
      </c>
    </row>
    <row r="4827" spans="2:4">
      <c r="B4827" s="6" t="s">
        <v>373</v>
      </c>
      <c r="C4827" s="6" t="s">
        <v>135</v>
      </c>
      <c r="D4827" s="5">
        <v>44973</v>
      </c>
    </row>
    <row r="4828" spans="2:4">
      <c r="B4828" s="6" t="s">
        <v>242</v>
      </c>
      <c r="C4828" s="6" t="s">
        <v>421</v>
      </c>
      <c r="D4828" s="5">
        <v>44973</v>
      </c>
    </row>
    <row r="4829" spans="2:4">
      <c r="B4829" s="6" t="s">
        <v>182</v>
      </c>
      <c r="C4829" s="6" t="s">
        <v>313</v>
      </c>
      <c r="D4829" s="5">
        <v>44973</v>
      </c>
    </row>
    <row r="4830" spans="2:4">
      <c r="B4830" s="6" t="s">
        <v>590</v>
      </c>
      <c r="C4830" s="6" t="s">
        <v>405</v>
      </c>
      <c r="D4830" s="5">
        <v>44973</v>
      </c>
    </row>
    <row r="4831" spans="2:4">
      <c r="B4831" s="6" t="s">
        <v>336</v>
      </c>
      <c r="C4831" s="6" t="s">
        <v>410</v>
      </c>
      <c r="D4831" s="5">
        <v>44973</v>
      </c>
    </row>
    <row r="4832" spans="2:4">
      <c r="B4832" s="6" t="s">
        <v>246</v>
      </c>
      <c r="C4832" s="6" t="s">
        <v>98</v>
      </c>
      <c r="D4832" s="5">
        <v>44973</v>
      </c>
    </row>
    <row r="4833" spans="2:4">
      <c r="B4833" s="6" t="s">
        <v>409</v>
      </c>
      <c r="C4833" s="6" t="s">
        <v>136</v>
      </c>
      <c r="D4833" s="5">
        <v>44973</v>
      </c>
    </row>
    <row r="4834" spans="2:4">
      <c r="B4834" s="6" t="s">
        <v>193</v>
      </c>
      <c r="C4834" s="6" t="s">
        <v>289</v>
      </c>
      <c r="D4834" s="5">
        <v>44973</v>
      </c>
    </row>
    <row r="4835" spans="2:4">
      <c r="B4835" s="6" t="s">
        <v>294</v>
      </c>
      <c r="C4835" s="6" t="s">
        <v>259</v>
      </c>
      <c r="D4835" s="5">
        <v>44973</v>
      </c>
    </row>
    <row r="4836" spans="2:4">
      <c r="B4836" s="6" t="s">
        <v>305</v>
      </c>
      <c r="C4836" s="6" t="s">
        <v>309</v>
      </c>
      <c r="D4836" s="5">
        <v>44973</v>
      </c>
    </row>
    <row r="4837" spans="2:4">
      <c r="B4837" s="6" t="s">
        <v>418</v>
      </c>
      <c r="C4837" s="6" t="s">
        <v>358</v>
      </c>
      <c r="D4837" s="5">
        <v>44973</v>
      </c>
    </row>
    <row r="4838" spans="2:4">
      <c r="B4838" s="6" t="s">
        <v>412</v>
      </c>
      <c r="C4838" s="6" t="s">
        <v>324</v>
      </c>
      <c r="D4838" s="5">
        <v>44973</v>
      </c>
    </row>
    <row r="4839" spans="2:4">
      <c r="B4839" s="6" t="s">
        <v>146</v>
      </c>
      <c r="C4839" s="6" t="s">
        <v>327</v>
      </c>
      <c r="D4839" s="5">
        <v>44973</v>
      </c>
    </row>
    <row r="4840" spans="2:4">
      <c r="B4840" s="6" t="s">
        <v>129</v>
      </c>
      <c r="C4840" s="6" t="s">
        <v>432</v>
      </c>
      <c r="D4840" s="5">
        <v>44973</v>
      </c>
    </row>
    <row r="4841" spans="2:4">
      <c r="B4841" s="6" t="s">
        <v>99</v>
      </c>
      <c r="C4841" s="6" t="s">
        <v>413</v>
      </c>
      <c r="D4841" s="5">
        <v>44973</v>
      </c>
    </row>
    <row r="4842" spans="2:4">
      <c r="B4842" s="6" t="s">
        <v>178</v>
      </c>
      <c r="C4842" s="6" t="s">
        <v>179</v>
      </c>
      <c r="D4842" s="5">
        <v>44973</v>
      </c>
    </row>
    <row r="4843" spans="2:4">
      <c r="B4843" s="6" t="s">
        <v>123</v>
      </c>
      <c r="C4843" s="6" t="s">
        <v>118</v>
      </c>
      <c r="D4843" s="5">
        <v>44973</v>
      </c>
    </row>
    <row r="4844" spans="2:4">
      <c r="B4844" s="6" t="s">
        <v>272</v>
      </c>
      <c r="C4844" s="6" t="s">
        <v>115</v>
      </c>
      <c r="D4844" s="5">
        <v>44973</v>
      </c>
    </row>
    <row r="4845" spans="2:4">
      <c r="B4845" s="6" t="s">
        <v>356</v>
      </c>
      <c r="C4845" s="6" t="s">
        <v>201</v>
      </c>
      <c r="D4845" s="5">
        <v>44973</v>
      </c>
    </row>
    <row r="4846" spans="2:4">
      <c r="B4846" s="6" t="s">
        <v>353</v>
      </c>
      <c r="C4846" s="6" t="s">
        <v>610</v>
      </c>
      <c r="D4846" s="5">
        <v>44973</v>
      </c>
    </row>
    <row r="4847" spans="2:4">
      <c r="B4847" s="6" t="s">
        <v>290</v>
      </c>
      <c r="C4847" s="6" t="s">
        <v>388</v>
      </c>
      <c r="D4847" s="5">
        <v>44973</v>
      </c>
    </row>
    <row r="4848" spans="2:4">
      <c r="B4848" s="6" t="s">
        <v>248</v>
      </c>
      <c r="C4848" s="6" t="s">
        <v>173</v>
      </c>
      <c r="D4848" s="5">
        <v>44973</v>
      </c>
    </row>
    <row r="4849" spans="2:4">
      <c r="B4849" s="6" t="s">
        <v>255</v>
      </c>
      <c r="C4849" s="6" t="s">
        <v>355</v>
      </c>
      <c r="D4849" s="5">
        <v>44973</v>
      </c>
    </row>
    <row r="4850" spans="2:4">
      <c r="B4850" s="6" t="s">
        <v>144</v>
      </c>
      <c r="C4850" s="6" t="s">
        <v>411</v>
      </c>
      <c r="D4850" s="5">
        <v>44973</v>
      </c>
    </row>
    <row r="4851" spans="2:4">
      <c r="B4851" s="6" t="s">
        <v>73</v>
      </c>
      <c r="C4851" s="6" t="s">
        <v>72</v>
      </c>
      <c r="D4851" s="5">
        <v>44973</v>
      </c>
    </row>
    <row r="4852" spans="2:4">
      <c r="B4852" s="6" t="s">
        <v>143</v>
      </c>
      <c r="C4852" s="6" t="s">
        <v>368</v>
      </c>
      <c r="D4852" s="5">
        <v>44973</v>
      </c>
    </row>
    <row r="4853" spans="2:4">
      <c r="B4853" s="6" t="s">
        <v>319</v>
      </c>
      <c r="C4853" s="6" t="s">
        <v>640</v>
      </c>
      <c r="D4853" s="5">
        <v>44973</v>
      </c>
    </row>
    <row r="4854" spans="2:4">
      <c r="B4854" s="6" t="s">
        <v>94</v>
      </c>
      <c r="C4854" s="6" t="s">
        <v>584</v>
      </c>
      <c r="D4854" s="5">
        <v>44973</v>
      </c>
    </row>
    <row r="4855" spans="2:4">
      <c r="B4855" s="6" t="s">
        <v>306</v>
      </c>
      <c r="C4855" s="6" t="s">
        <v>316</v>
      </c>
      <c r="D4855" s="5">
        <v>44973</v>
      </c>
    </row>
    <row r="4856" spans="2:4">
      <c r="B4856" s="6" t="s">
        <v>365</v>
      </c>
      <c r="C4856" s="6" t="s">
        <v>333</v>
      </c>
      <c r="D4856" s="5">
        <v>44973</v>
      </c>
    </row>
    <row r="4857" spans="2:4">
      <c r="B4857" s="6" t="s">
        <v>184</v>
      </c>
      <c r="C4857" s="6" t="s">
        <v>196</v>
      </c>
      <c r="D4857" s="5">
        <v>44973</v>
      </c>
    </row>
    <row r="4858" spans="2:4">
      <c r="B4858" s="6" t="s">
        <v>331</v>
      </c>
      <c r="C4858" s="6" t="s">
        <v>359</v>
      </c>
      <c r="D4858" s="5">
        <v>44973</v>
      </c>
    </row>
    <row r="4859" spans="2:4">
      <c r="B4859" s="6" t="s">
        <v>357</v>
      </c>
      <c r="C4859" s="6" t="s">
        <v>208</v>
      </c>
      <c r="D4859" s="5">
        <v>44973</v>
      </c>
    </row>
    <row r="4860" spans="2:4">
      <c r="B4860" s="6" t="s">
        <v>321</v>
      </c>
      <c r="C4860" s="6" t="s">
        <v>329</v>
      </c>
      <c r="D4860" s="5">
        <v>44973</v>
      </c>
    </row>
    <row r="4861" spans="2:4">
      <c r="B4861" s="6" t="s">
        <v>147</v>
      </c>
      <c r="C4861" s="6" t="s">
        <v>120</v>
      </c>
      <c r="D4861" s="5">
        <v>44973</v>
      </c>
    </row>
    <row r="4862" spans="2:4">
      <c r="B4862" s="6" t="s">
        <v>128</v>
      </c>
      <c r="C4862" s="6" t="s">
        <v>354</v>
      </c>
      <c r="D4862" s="5">
        <v>44973</v>
      </c>
    </row>
    <row r="4863" spans="2:4">
      <c r="B4863" s="6" t="s">
        <v>342</v>
      </c>
      <c r="C4863" s="6" t="s">
        <v>295</v>
      </c>
      <c r="D4863" s="5">
        <v>44973</v>
      </c>
    </row>
    <row r="4864" spans="2:4">
      <c r="B4864" s="6" t="s">
        <v>367</v>
      </c>
      <c r="C4864" s="6" t="s">
        <v>194</v>
      </c>
      <c r="D4864" s="5">
        <v>44973</v>
      </c>
    </row>
    <row r="4865" spans="2:4">
      <c r="B4865" s="6" t="s">
        <v>240</v>
      </c>
      <c r="C4865" s="6" t="s">
        <v>615</v>
      </c>
      <c r="D4865" s="5">
        <v>44973</v>
      </c>
    </row>
    <row r="4866" spans="2:4">
      <c r="B4866" s="6" t="s">
        <v>304</v>
      </c>
      <c r="C4866" s="6" t="s">
        <v>603</v>
      </c>
      <c r="D4866" s="5">
        <v>44973</v>
      </c>
    </row>
    <row r="4867" spans="2:4">
      <c r="B4867" s="6" t="s">
        <v>376</v>
      </c>
      <c r="C4867" s="6" t="s">
        <v>195</v>
      </c>
      <c r="D4867" s="5">
        <v>44973</v>
      </c>
    </row>
    <row r="4868" spans="2:4">
      <c r="B4868" s="6" t="s">
        <v>588</v>
      </c>
      <c r="C4868" s="6" t="s">
        <v>134</v>
      </c>
      <c r="D4868" s="5">
        <v>44973</v>
      </c>
    </row>
    <row r="4869" spans="2:4">
      <c r="B4869" s="6" t="s">
        <v>343</v>
      </c>
      <c r="C4869" s="6" t="s">
        <v>183</v>
      </c>
      <c r="D4869" s="5">
        <v>44973</v>
      </c>
    </row>
    <row r="4870" spans="2:4">
      <c r="B4870" s="6" t="s">
        <v>61</v>
      </c>
      <c r="C4870" s="6" t="s">
        <v>57</v>
      </c>
      <c r="D4870" s="5">
        <v>44973</v>
      </c>
    </row>
    <row r="4871" spans="2:4">
      <c r="B4871" s="6" t="s">
        <v>157</v>
      </c>
      <c r="C4871" s="6" t="s">
        <v>160</v>
      </c>
      <c r="D4871" s="5">
        <v>44973</v>
      </c>
    </row>
    <row r="4872" spans="2:4">
      <c r="B4872" s="6" t="s">
        <v>151</v>
      </c>
      <c r="C4872" s="6" t="s">
        <v>385</v>
      </c>
      <c r="D4872" s="5">
        <v>44973</v>
      </c>
    </row>
    <row r="4873" spans="2:4">
      <c r="B4873" s="6" t="s">
        <v>250</v>
      </c>
      <c r="C4873" s="6" t="s">
        <v>370</v>
      </c>
      <c r="D4873" s="5">
        <v>44973</v>
      </c>
    </row>
    <row r="4874" spans="2:4">
      <c r="B4874" s="6" t="s">
        <v>158</v>
      </c>
      <c r="C4874" s="6" t="s">
        <v>426</v>
      </c>
      <c r="D4874" s="5">
        <v>44973</v>
      </c>
    </row>
    <row r="4875" spans="2:4">
      <c r="B4875" s="6" t="s">
        <v>393</v>
      </c>
      <c r="C4875" s="6" t="s">
        <v>403</v>
      </c>
      <c r="D4875" s="5">
        <v>44973</v>
      </c>
    </row>
    <row r="4876" spans="2:4">
      <c r="B4876" s="6" t="s">
        <v>70</v>
      </c>
      <c r="C4876" s="6" t="s">
        <v>77</v>
      </c>
      <c r="D4876" s="5">
        <v>44973</v>
      </c>
    </row>
    <row r="4877" spans="2:4">
      <c r="B4877" s="6" t="s">
        <v>166</v>
      </c>
      <c r="C4877" s="6" t="s">
        <v>398</v>
      </c>
      <c r="D4877" s="5">
        <v>44973</v>
      </c>
    </row>
    <row r="4878" spans="2:4">
      <c r="B4878" s="6" t="s">
        <v>389</v>
      </c>
      <c r="C4878" s="6" t="s">
        <v>206</v>
      </c>
      <c r="D4878" s="5">
        <v>44973</v>
      </c>
    </row>
    <row r="4879" spans="2:4">
      <c r="B4879" s="6" t="s">
        <v>402</v>
      </c>
      <c r="C4879" s="6" t="s">
        <v>153</v>
      </c>
      <c r="D4879" s="5">
        <v>44973</v>
      </c>
    </row>
    <row r="4880" spans="2:4">
      <c r="B4880" s="6" t="s">
        <v>396</v>
      </c>
      <c r="C4880" s="6" t="s">
        <v>132</v>
      </c>
      <c r="D4880" s="5">
        <v>44973</v>
      </c>
    </row>
    <row r="4881" spans="2:4">
      <c r="B4881" s="6" t="s">
        <v>75</v>
      </c>
      <c r="C4881" s="6" t="s">
        <v>93</v>
      </c>
      <c r="D4881" s="5">
        <v>44973</v>
      </c>
    </row>
    <row r="4882" spans="2:4">
      <c r="B4882" s="6" t="s">
        <v>78</v>
      </c>
      <c r="C4882" s="6" t="s">
        <v>76</v>
      </c>
      <c r="D4882" s="5">
        <v>44973</v>
      </c>
    </row>
    <row r="4883" spans="2:4">
      <c r="B4883" s="6" t="s">
        <v>152</v>
      </c>
      <c r="C4883" s="6" t="s">
        <v>198</v>
      </c>
      <c r="D4883" s="5">
        <v>44974</v>
      </c>
    </row>
    <row r="4884" spans="2:4">
      <c r="B4884" s="6" t="s">
        <v>125</v>
      </c>
      <c r="C4884" s="6" t="s">
        <v>351</v>
      </c>
      <c r="D4884" s="5">
        <v>44974</v>
      </c>
    </row>
    <row r="4885" spans="2:4">
      <c r="B4885" s="6" t="s">
        <v>350</v>
      </c>
      <c r="C4885" s="6" t="s">
        <v>214</v>
      </c>
      <c r="D4885" s="5">
        <v>44974</v>
      </c>
    </row>
    <row r="4886" spans="2:4">
      <c r="B4886" s="6" t="s">
        <v>419</v>
      </c>
      <c r="C4886" s="6" t="s">
        <v>100</v>
      </c>
      <c r="D4886" s="5">
        <v>44974</v>
      </c>
    </row>
    <row r="4887" spans="2:4">
      <c r="B4887" s="6" t="s">
        <v>138</v>
      </c>
      <c r="C4887" s="6" t="s">
        <v>108</v>
      </c>
      <c r="D4887" s="5">
        <v>44974</v>
      </c>
    </row>
    <row r="4888" spans="2:4">
      <c r="B4888" s="6" t="s">
        <v>97</v>
      </c>
      <c r="C4888" s="6" t="s">
        <v>107</v>
      </c>
      <c r="D4888" s="5">
        <v>44974</v>
      </c>
    </row>
    <row r="4889" spans="2:4">
      <c r="B4889" s="6" t="s">
        <v>130</v>
      </c>
      <c r="C4889" s="6" t="s">
        <v>216</v>
      </c>
      <c r="D4889" s="5">
        <v>44974</v>
      </c>
    </row>
    <row r="4890" spans="2:4">
      <c r="B4890" s="6" t="s">
        <v>117</v>
      </c>
      <c r="C4890" s="6" t="s">
        <v>211</v>
      </c>
      <c r="D4890" s="5">
        <v>44974</v>
      </c>
    </row>
    <row r="4891" spans="2:4">
      <c r="B4891" s="6" t="s">
        <v>233</v>
      </c>
      <c r="C4891" s="6" t="s">
        <v>204</v>
      </c>
      <c r="D4891" s="5">
        <v>44974</v>
      </c>
    </row>
    <row r="4892" spans="2:4">
      <c r="B4892" s="6" t="s">
        <v>361</v>
      </c>
      <c r="C4892" s="6" t="s">
        <v>112</v>
      </c>
      <c r="D4892" s="5">
        <v>44974</v>
      </c>
    </row>
    <row r="4893" spans="2:4">
      <c r="B4893" s="6" t="s">
        <v>285</v>
      </c>
      <c r="C4893" s="6" t="s">
        <v>230</v>
      </c>
      <c r="D4893" s="5">
        <v>44974</v>
      </c>
    </row>
    <row r="4894" spans="2:4">
      <c r="B4894" s="6" t="s">
        <v>397</v>
      </c>
      <c r="C4894" s="6" t="s">
        <v>266</v>
      </c>
      <c r="D4894" s="5">
        <v>44974</v>
      </c>
    </row>
    <row r="4895" spans="2:4">
      <c r="B4895" s="6" t="s">
        <v>296</v>
      </c>
      <c r="C4895" s="6" t="s">
        <v>256</v>
      </c>
      <c r="D4895" s="5">
        <v>44974</v>
      </c>
    </row>
    <row r="4896" spans="2:4">
      <c r="B4896" s="6" t="s">
        <v>101</v>
      </c>
      <c r="C4896" s="6" t="s">
        <v>422</v>
      </c>
      <c r="D4896" s="5">
        <v>44974</v>
      </c>
    </row>
    <row r="4897" spans="2:4">
      <c r="B4897" s="6" t="s">
        <v>347</v>
      </c>
      <c r="C4897" s="6" t="s">
        <v>674</v>
      </c>
      <c r="D4897" s="5">
        <v>44974</v>
      </c>
    </row>
    <row r="4898" spans="2:4">
      <c r="B4898" s="6" t="s">
        <v>378</v>
      </c>
      <c r="C4898" s="6" t="s">
        <v>607</v>
      </c>
      <c r="D4898" s="5">
        <v>44974</v>
      </c>
    </row>
    <row r="4899" spans="2:4">
      <c r="B4899" s="6" t="s">
        <v>433</v>
      </c>
      <c r="C4899" s="6" t="s">
        <v>189</v>
      </c>
      <c r="D4899" s="5">
        <v>44974</v>
      </c>
    </row>
    <row r="4900" spans="2:4">
      <c r="B4900" s="6" t="s">
        <v>381</v>
      </c>
      <c r="C4900" s="6" t="s">
        <v>345</v>
      </c>
      <c r="D4900" s="5">
        <v>44974</v>
      </c>
    </row>
    <row r="4901" spans="2:4">
      <c r="B4901" s="6" t="s">
        <v>70</v>
      </c>
      <c r="C4901" s="6" t="s">
        <v>72</v>
      </c>
      <c r="D4901" s="5">
        <v>44975</v>
      </c>
    </row>
    <row r="4902" spans="2:4">
      <c r="B4902" s="6" t="s">
        <v>314</v>
      </c>
      <c r="C4902" s="6" t="s">
        <v>170</v>
      </c>
      <c r="D4902" s="5">
        <v>44975</v>
      </c>
    </row>
    <row r="4903" spans="2:4">
      <c r="B4903" s="6" t="s">
        <v>74</v>
      </c>
      <c r="C4903" s="6" t="s">
        <v>93</v>
      </c>
      <c r="D4903" s="5">
        <v>44975</v>
      </c>
    </row>
    <row r="4904" spans="2:4">
      <c r="B4904" s="6" t="s">
        <v>39</v>
      </c>
      <c r="C4904" s="6" t="s">
        <v>155</v>
      </c>
      <c r="D4904" s="5">
        <v>44975</v>
      </c>
    </row>
    <row r="4905" spans="2:4">
      <c r="B4905" s="6" t="s">
        <v>395</v>
      </c>
      <c r="C4905" s="6" t="s">
        <v>202</v>
      </c>
      <c r="D4905" s="5">
        <v>44975</v>
      </c>
    </row>
    <row r="4906" spans="2:4">
      <c r="B4906" s="6" t="s">
        <v>171</v>
      </c>
      <c r="C4906" s="6" t="s">
        <v>287</v>
      </c>
      <c r="D4906" s="5">
        <v>44975</v>
      </c>
    </row>
    <row r="4907" spans="2:4">
      <c r="B4907" s="6" t="s">
        <v>105</v>
      </c>
      <c r="C4907" s="6" t="s">
        <v>203</v>
      </c>
      <c r="D4907" s="5">
        <v>44975</v>
      </c>
    </row>
    <row r="4908" spans="2:4">
      <c r="B4908" s="6" t="s">
        <v>362</v>
      </c>
      <c r="C4908" s="6" t="s">
        <v>127</v>
      </c>
      <c r="D4908" s="5">
        <v>44975</v>
      </c>
    </row>
    <row r="4909" spans="2:4">
      <c r="B4909" s="6" t="s">
        <v>396</v>
      </c>
      <c r="C4909" s="6" t="s">
        <v>427</v>
      </c>
      <c r="D4909" s="5">
        <v>44975</v>
      </c>
    </row>
    <row r="4910" spans="2:4">
      <c r="B4910" s="6" t="s">
        <v>62</v>
      </c>
      <c r="C4910" s="6" t="s">
        <v>60</v>
      </c>
      <c r="D4910" s="5">
        <v>44975</v>
      </c>
    </row>
    <row r="4911" spans="2:4">
      <c r="B4911" s="6" t="s">
        <v>188</v>
      </c>
      <c r="C4911" s="6" t="s">
        <v>46</v>
      </c>
      <c r="D4911" s="5">
        <v>44975</v>
      </c>
    </row>
    <row r="4912" spans="2:4">
      <c r="B4912" s="6" t="s">
        <v>32</v>
      </c>
      <c r="C4912" s="6" t="s">
        <v>27</v>
      </c>
      <c r="D4912" s="5">
        <v>44975</v>
      </c>
    </row>
    <row r="4913" spans="2:4">
      <c r="B4913" s="6" t="s">
        <v>45</v>
      </c>
      <c r="C4913" s="6" t="s">
        <v>54</v>
      </c>
      <c r="D4913" s="5">
        <v>44975</v>
      </c>
    </row>
    <row r="4914" spans="2:4">
      <c r="B4914" s="6" t="s">
        <v>245</v>
      </c>
      <c r="C4914" s="6" t="s">
        <v>36</v>
      </c>
      <c r="D4914" s="5">
        <v>44975</v>
      </c>
    </row>
    <row r="4915" spans="2:4">
      <c r="B4915" s="6" t="s">
        <v>65</v>
      </c>
      <c r="C4915" s="6" t="s">
        <v>64</v>
      </c>
      <c r="D4915" s="5">
        <v>44975</v>
      </c>
    </row>
    <row r="4916" spans="2:4">
      <c r="B4916" s="6" t="s">
        <v>104</v>
      </c>
      <c r="C4916" s="6" t="s">
        <v>267</v>
      </c>
      <c r="D4916" s="5">
        <v>44975</v>
      </c>
    </row>
    <row r="4917" spans="2:4">
      <c r="B4917" s="6" t="s">
        <v>272</v>
      </c>
      <c r="C4917" s="6" t="s">
        <v>413</v>
      </c>
      <c r="D4917" s="5">
        <v>44975</v>
      </c>
    </row>
    <row r="4918" spans="2:4">
      <c r="B4918" s="6" t="s">
        <v>199</v>
      </c>
      <c r="C4918" s="6" t="s">
        <v>334</v>
      </c>
      <c r="D4918" s="5">
        <v>44975</v>
      </c>
    </row>
    <row r="4919" spans="2:4">
      <c r="B4919" s="6" t="s">
        <v>80</v>
      </c>
      <c r="C4919" s="6" t="s">
        <v>86</v>
      </c>
      <c r="D4919" s="5">
        <v>44975</v>
      </c>
    </row>
    <row r="4920" spans="2:4">
      <c r="B4920" s="6" t="s">
        <v>278</v>
      </c>
      <c r="C4920" s="6" t="s">
        <v>113</v>
      </c>
      <c r="D4920" s="5">
        <v>44975</v>
      </c>
    </row>
    <row r="4921" spans="2:4">
      <c r="B4921" s="6" t="s">
        <v>148</v>
      </c>
      <c r="C4921" s="6" t="s">
        <v>137</v>
      </c>
      <c r="D4921" s="5">
        <v>44975</v>
      </c>
    </row>
    <row r="4922" spans="2:4">
      <c r="B4922" s="6" t="s">
        <v>253</v>
      </c>
      <c r="C4922" s="6" t="s">
        <v>301</v>
      </c>
      <c r="D4922" s="5">
        <v>44975</v>
      </c>
    </row>
    <row r="4923" spans="2:4">
      <c r="B4923" s="6" t="s">
        <v>269</v>
      </c>
      <c r="C4923" s="6" t="s">
        <v>126</v>
      </c>
      <c r="D4923" s="5">
        <v>44975</v>
      </c>
    </row>
    <row r="4924" spans="2:4">
      <c r="B4924" s="6" t="s">
        <v>81</v>
      </c>
      <c r="C4924" s="6" t="s">
        <v>90</v>
      </c>
      <c r="D4924" s="5">
        <v>44975</v>
      </c>
    </row>
    <row r="4925" spans="2:4">
      <c r="B4925" s="6" t="s">
        <v>261</v>
      </c>
      <c r="C4925" s="6" t="s">
        <v>102</v>
      </c>
      <c r="D4925" s="5">
        <v>44975</v>
      </c>
    </row>
    <row r="4926" spans="2:4">
      <c r="B4926" s="6" t="s">
        <v>282</v>
      </c>
      <c r="C4926" s="6" t="s">
        <v>103</v>
      </c>
      <c r="D4926" s="5">
        <v>44975</v>
      </c>
    </row>
    <row r="4927" spans="2:4">
      <c r="B4927" s="6" t="s">
        <v>246</v>
      </c>
      <c r="C4927" s="6" t="s">
        <v>590</v>
      </c>
      <c r="D4927" s="5">
        <v>44975</v>
      </c>
    </row>
    <row r="4928" spans="2:4">
      <c r="B4928" s="6" t="s">
        <v>405</v>
      </c>
      <c r="C4928" s="6" t="s">
        <v>338</v>
      </c>
      <c r="D4928" s="5">
        <v>44975</v>
      </c>
    </row>
    <row r="4929" spans="2:4">
      <c r="B4929" s="6" t="s">
        <v>84</v>
      </c>
      <c r="C4929" s="6" t="s">
        <v>79</v>
      </c>
      <c r="D4929" s="5">
        <v>44975</v>
      </c>
    </row>
    <row r="4930" spans="2:4">
      <c r="B4930" s="6" t="s">
        <v>30</v>
      </c>
      <c r="C4930" s="6" t="s">
        <v>29</v>
      </c>
      <c r="D4930" s="5">
        <v>44975</v>
      </c>
    </row>
    <row r="4931" spans="2:4">
      <c r="B4931" s="6" t="s">
        <v>34</v>
      </c>
      <c r="C4931" s="6" t="s">
        <v>322</v>
      </c>
      <c r="D4931" s="5">
        <v>44975</v>
      </c>
    </row>
    <row r="4932" spans="2:4">
      <c r="B4932" s="6" t="s">
        <v>50</v>
      </c>
      <c r="C4932" s="6" t="s">
        <v>536</v>
      </c>
      <c r="D4932" s="5">
        <v>44975</v>
      </c>
    </row>
    <row r="4933" spans="2:4">
      <c r="B4933" s="6" t="s">
        <v>176</v>
      </c>
      <c r="C4933" s="6" t="s">
        <v>131</v>
      </c>
      <c r="D4933" s="5">
        <v>44975</v>
      </c>
    </row>
    <row r="4934" spans="2:4">
      <c r="B4934" s="6" t="s">
        <v>360</v>
      </c>
      <c r="C4934" s="6" t="s">
        <v>114</v>
      </c>
      <c r="D4934" s="5">
        <v>44975</v>
      </c>
    </row>
    <row r="4935" spans="2:4">
      <c r="B4935" s="6" t="s">
        <v>325</v>
      </c>
      <c r="C4935" s="6" t="s">
        <v>326</v>
      </c>
      <c r="D4935" s="5">
        <v>44975</v>
      </c>
    </row>
    <row r="4936" spans="2:4">
      <c r="B4936" s="6" t="s">
        <v>48</v>
      </c>
      <c r="C4936" s="6" t="s">
        <v>53</v>
      </c>
      <c r="D4936" s="5">
        <v>44975</v>
      </c>
    </row>
    <row r="4937" spans="2:4">
      <c r="B4937" s="6" t="s">
        <v>174</v>
      </c>
      <c r="C4937" s="6" t="s">
        <v>215</v>
      </c>
      <c r="D4937" s="5">
        <v>44975</v>
      </c>
    </row>
    <row r="4938" spans="2:4">
      <c r="B4938" s="6" t="s">
        <v>124</v>
      </c>
      <c r="C4938" s="6" t="s">
        <v>300</v>
      </c>
      <c r="D4938" s="5">
        <v>44975</v>
      </c>
    </row>
    <row r="4939" spans="2:4">
      <c r="B4939" s="6" t="s">
        <v>298</v>
      </c>
      <c r="C4939" s="6" t="s">
        <v>192</v>
      </c>
      <c r="D4939" s="5">
        <v>44975</v>
      </c>
    </row>
    <row r="4940" spans="2:4">
      <c r="B4940" s="6" t="s">
        <v>336</v>
      </c>
      <c r="C4940" s="6" t="s">
        <v>175</v>
      </c>
      <c r="D4940" s="5">
        <v>44975</v>
      </c>
    </row>
    <row r="4941" spans="2:4">
      <c r="B4941" s="6" t="s">
        <v>294</v>
      </c>
      <c r="C4941" s="6" t="s">
        <v>150</v>
      </c>
      <c r="D4941" s="5">
        <v>44975</v>
      </c>
    </row>
    <row r="4942" spans="2:4">
      <c r="B4942" s="6" t="s">
        <v>418</v>
      </c>
      <c r="C4942" s="6" t="s">
        <v>324</v>
      </c>
      <c r="D4942" s="5">
        <v>44975</v>
      </c>
    </row>
    <row r="4943" spans="2:4">
      <c r="B4943" s="6" t="s">
        <v>115</v>
      </c>
      <c r="C4943" s="6" t="s">
        <v>129</v>
      </c>
      <c r="D4943" s="5">
        <v>44975</v>
      </c>
    </row>
    <row r="4944" spans="2:4">
      <c r="B4944" s="6" t="s">
        <v>158</v>
      </c>
      <c r="C4944" s="6" t="s">
        <v>403</v>
      </c>
      <c r="D4944" s="5">
        <v>44975</v>
      </c>
    </row>
    <row r="4945" spans="2:4">
      <c r="B4945" s="6" t="s">
        <v>356</v>
      </c>
      <c r="C4945" s="6" t="s">
        <v>610</v>
      </c>
      <c r="D4945" s="5">
        <v>44975</v>
      </c>
    </row>
    <row r="4946" spans="2:4">
      <c r="B4946" s="6" t="s">
        <v>121</v>
      </c>
      <c r="C4946" s="6" t="s">
        <v>349</v>
      </c>
      <c r="D4946" s="5">
        <v>44975</v>
      </c>
    </row>
    <row r="4947" spans="2:4">
      <c r="B4947" s="6" t="s">
        <v>414</v>
      </c>
      <c r="C4947" s="6" t="s">
        <v>109</v>
      </c>
      <c r="D4947" s="5">
        <v>44975</v>
      </c>
    </row>
    <row r="4948" spans="2:4">
      <c r="B4948" s="6" t="s">
        <v>373</v>
      </c>
      <c r="C4948" s="6" t="s">
        <v>182</v>
      </c>
      <c r="D4948" s="5">
        <v>44975</v>
      </c>
    </row>
    <row r="4949" spans="2:4">
      <c r="B4949" s="6" t="s">
        <v>290</v>
      </c>
      <c r="C4949" s="6" t="s">
        <v>323</v>
      </c>
      <c r="D4949" s="5">
        <v>44975</v>
      </c>
    </row>
    <row r="4950" spans="2:4">
      <c r="B4950" s="6" t="s">
        <v>297</v>
      </c>
      <c r="C4950" s="6" t="s">
        <v>425</v>
      </c>
      <c r="D4950" s="5">
        <v>44975</v>
      </c>
    </row>
    <row r="4951" spans="2:4">
      <c r="B4951" s="6" t="s">
        <v>316</v>
      </c>
      <c r="C4951" s="6" t="s">
        <v>289</v>
      </c>
      <c r="D4951" s="5">
        <v>44975</v>
      </c>
    </row>
    <row r="4952" spans="2:4">
      <c r="B4952" s="6" t="s">
        <v>367</v>
      </c>
      <c r="C4952" s="6" t="s">
        <v>259</v>
      </c>
      <c r="D4952" s="5">
        <v>44975</v>
      </c>
    </row>
    <row r="4953" spans="2:4">
      <c r="B4953" s="6" t="s">
        <v>151</v>
      </c>
      <c r="C4953" s="6" t="s">
        <v>208</v>
      </c>
      <c r="D4953" s="5">
        <v>44975</v>
      </c>
    </row>
    <row r="4954" spans="2:4">
      <c r="B4954" s="6" t="s">
        <v>305</v>
      </c>
      <c r="C4954" s="6" t="s">
        <v>603</v>
      </c>
      <c r="D4954" s="5">
        <v>44975</v>
      </c>
    </row>
    <row r="4955" spans="2:4">
      <c r="B4955" s="6" t="s">
        <v>88</v>
      </c>
      <c r="C4955" s="6" t="s">
        <v>85</v>
      </c>
      <c r="D4955" s="5">
        <v>44975</v>
      </c>
    </row>
    <row r="4956" spans="2:4">
      <c r="B4956" s="6" t="s">
        <v>26</v>
      </c>
      <c r="C4956" s="6" t="s">
        <v>28</v>
      </c>
      <c r="D4956" s="5">
        <v>44975</v>
      </c>
    </row>
    <row r="4957" spans="2:4">
      <c r="B4957" s="6" t="s">
        <v>116</v>
      </c>
      <c r="C4957" s="6" t="s">
        <v>96</v>
      </c>
      <c r="D4957" s="5">
        <v>44975</v>
      </c>
    </row>
    <row r="4958" spans="2:4">
      <c r="B4958" s="6" t="s">
        <v>335</v>
      </c>
      <c r="C4958" s="6" t="s">
        <v>276</v>
      </c>
      <c r="D4958" s="5">
        <v>44975</v>
      </c>
    </row>
    <row r="4959" spans="2:4">
      <c r="B4959" s="6" t="s">
        <v>382</v>
      </c>
      <c r="C4959" s="6" t="s">
        <v>181</v>
      </c>
      <c r="D4959" s="5">
        <v>44975</v>
      </c>
    </row>
    <row r="4960" spans="2:4">
      <c r="B4960" s="6" t="s">
        <v>264</v>
      </c>
      <c r="C4960" s="6" t="s">
        <v>277</v>
      </c>
      <c r="D4960" s="5">
        <v>44975</v>
      </c>
    </row>
    <row r="4961" spans="2:4">
      <c r="B4961" s="6" t="s">
        <v>320</v>
      </c>
      <c r="C4961" s="6" t="s">
        <v>318</v>
      </c>
      <c r="D4961" s="5">
        <v>44975</v>
      </c>
    </row>
    <row r="4962" spans="2:4">
      <c r="B4962" s="6" t="s">
        <v>312</v>
      </c>
      <c r="C4962" s="6" t="s">
        <v>213</v>
      </c>
      <c r="D4962" s="5">
        <v>44975</v>
      </c>
    </row>
    <row r="4963" spans="2:4">
      <c r="B4963" s="6" t="s">
        <v>220</v>
      </c>
      <c r="C4963" s="6" t="s">
        <v>580</v>
      </c>
      <c r="D4963" s="5">
        <v>44975</v>
      </c>
    </row>
    <row r="4964" spans="2:4">
      <c r="B4964" s="6" t="s">
        <v>368</v>
      </c>
      <c r="C4964" s="6" t="s">
        <v>195</v>
      </c>
      <c r="D4964" s="5">
        <v>44975</v>
      </c>
    </row>
    <row r="4965" spans="2:4">
      <c r="B4965" s="6" t="s">
        <v>310</v>
      </c>
      <c r="C4965" s="6" t="s">
        <v>238</v>
      </c>
      <c r="D4965" s="5">
        <v>44975</v>
      </c>
    </row>
    <row r="4966" spans="2:4">
      <c r="B4966" s="6" t="s">
        <v>319</v>
      </c>
      <c r="C4966" s="6" t="s">
        <v>295</v>
      </c>
      <c r="D4966" s="5">
        <v>44975</v>
      </c>
    </row>
    <row r="4967" spans="2:4">
      <c r="B4967" s="6" t="s">
        <v>281</v>
      </c>
      <c r="C4967" s="6" t="s">
        <v>210</v>
      </c>
      <c r="D4967" s="5">
        <v>44975</v>
      </c>
    </row>
    <row r="4968" spans="2:4">
      <c r="B4968" s="6" t="s">
        <v>110</v>
      </c>
      <c r="C4968" s="6" t="s">
        <v>273</v>
      </c>
      <c r="D4968" s="5">
        <v>44975</v>
      </c>
    </row>
    <row r="4969" spans="2:4">
      <c r="B4969" s="6" t="s">
        <v>180</v>
      </c>
      <c r="C4969" s="6" t="s">
        <v>247</v>
      </c>
      <c r="D4969" s="5">
        <v>44975</v>
      </c>
    </row>
    <row r="4970" spans="2:4">
      <c r="B4970" s="6" t="s">
        <v>98</v>
      </c>
      <c r="C4970" s="6" t="s">
        <v>410</v>
      </c>
      <c r="D4970" s="5">
        <v>44975</v>
      </c>
    </row>
    <row r="4971" spans="2:4">
      <c r="B4971" s="6" t="s">
        <v>306</v>
      </c>
      <c r="C4971" s="6" t="s">
        <v>333</v>
      </c>
      <c r="D4971" s="5">
        <v>44975</v>
      </c>
    </row>
    <row r="4972" spans="2:4">
      <c r="B4972" s="6" t="s">
        <v>286</v>
      </c>
      <c r="C4972" s="6" t="s">
        <v>136</v>
      </c>
      <c r="D4972" s="5">
        <v>44975</v>
      </c>
    </row>
    <row r="4973" spans="2:4">
      <c r="B4973" s="6" t="s">
        <v>304</v>
      </c>
      <c r="C4973" s="6" t="s">
        <v>250</v>
      </c>
      <c r="D4973" s="5">
        <v>44975</v>
      </c>
    </row>
    <row r="4974" spans="2:4">
      <c r="B4974" s="6" t="s">
        <v>118</v>
      </c>
      <c r="C4974" s="6" t="s">
        <v>327</v>
      </c>
      <c r="D4974" s="5">
        <v>44975</v>
      </c>
    </row>
    <row r="4975" spans="2:4">
      <c r="B4975" s="6" t="s">
        <v>123</v>
      </c>
      <c r="C4975" s="6" t="s">
        <v>268</v>
      </c>
      <c r="D4975" s="5">
        <v>44975</v>
      </c>
    </row>
    <row r="4976" spans="2:4">
      <c r="B4976" s="6" t="s">
        <v>179</v>
      </c>
      <c r="C4976" s="6" t="s">
        <v>146</v>
      </c>
      <c r="D4976" s="5">
        <v>44975</v>
      </c>
    </row>
    <row r="4977" spans="2:4">
      <c r="B4977" s="6" t="s">
        <v>147</v>
      </c>
      <c r="C4977" s="6" t="s">
        <v>354</v>
      </c>
      <c r="D4977" s="5">
        <v>44975</v>
      </c>
    </row>
    <row r="4978" spans="2:4">
      <c r="B4978" s="6" t="s">
        <v>353</v>
      </c>
      <c r="C4978" s="6" t="s">
        <v>201</v>
      </c>
      <c r="D4978" s="5">
        <v>44975</v>
      </c>
    </row>
    <row r="4979" spans="2:4">
      <c r="B4979" s="6" t="s">
        <v>248</v>
      </c>
      <c r="C4979" s="6" t="s">
        <v>355</v>
      </c>
      <c r="D4979" s="5">
        <v>44975</v>
      </c>
    </row>
    <row r="4980" spans="2:4">
      <c r="B4980" s="6" t="s">
        <v>40</v>
      </c>
      <c r="C4980" s="6" t="s">
        <v>35</v>
      </c>
      <c r="D4980" s="5">
        <v>44975</v>
      </c>
    </row>
    <row r="4981" spans="2:4">
      <c r="B4981" s="6" t="s">
        <v>364</v>
      </c>
      <c r="C4981" s="6" t="s">
        <v>156</v>
      </c>
      <c r="D4981" s="5">
        <v>44975</v>
      </c>
    </row>
    <row r="4982" spans="2:4">
      <c r="B4982" s="6" t="s">
        <v>343</v>
      </c>
      <c r="C4982" s="6" t="s">
        <v>134</v>
      </c>
      <c r="D4982" s="5">
        <v>44975</v>
      </c>
    </row>
    <row r="4983" spans="2:4">
      <c r="B4983" s="6" t="s">
        <v>342</v>
      </c>
      <c r="C4983" s="6" t="s">
        <v>640</v>
      </c>
      <c r="D4983" s="5">
        <v>44975</v>
      </c>
    </row>
    <row r="4984" spans="2:4">
      <c r="B4984" s="6" t="s">
        <v>400</v>
      </c>
      <c r="C4984" s="6" t="s">
        <v>209</v>
      </c>
      <c r="D4984" s="5">
        <v>44975</v>
      </c>
    </row>
    <row r="4985" spans="2:4">
      <c r="B4985" s="6" t="s">
        <v>309</v>
      </c>
      <c r="C4985" s="6" t="s">
        <v>370</v>
      </c>
      <c r="D4985" s="5">
        <v>44975</v>
      </c>
    </row>
    <row r="4986" spans="2:4">
      <c r="B4986" s="6" t="s">
        <v>240</v>
      </c>
      <c r="C4986" s="6" t="s">
        <v>329</v>
      </c>
      <c r="D4986" s="5">
        <v>44975</v>
      </c>
    </row>
    <row r="4987" spans="2:4">
      <c r="B4987" s="6" t="s">
        <v>52</v>
      </c>
      <c r="C4987" s="6" t="s">
        <v>49</v>
      </c>
      <c r="D4987" s="5">
        <v>44975</v>
      </c>
    </row>
    <row r="4988" spans="2:4">
      <c r="B4988" s="6" t="s">
        <v>394</v>
      </c>
      <c r="C4988" s="6" t="s">
        <v>386</v>
      </c>
      <c r="D4988" s="5">
        <v>44975</v>
      </c>
    </row>
    <row r="4989" spans="2:4">
      <c r="B4989" s="6" t="s">
        <v>288</v>
      </c>
      <c r="C4989" s="6" t="s">
        <v>140</v>
      </c>
      <c r="D4989" s="5">
        <v>44975</v>
      </c>
    </row>
    <row r="4990" spans="2:4">
      <c r="B4990" s="6" t="s">
        <v>321</v>
      </c>
      <c r="C4990" s="6" t="s">
        <v>615</v>
      </c>
      <c r="D4990" s="5">
        <v>44975</v>
      </c>
    </row>
    <row r="4991" spans="2:4">
      <c r="B4991" s="6" t="s">
        <v>393</v>
      </c>
      <c r="C4991" s="6" t="s">
        <v>426</v>
      </c>
      <c r="D4991" s="5">
        <v>44975</v>
      </c>
    </row>
    <row r="4992" spans="2:4">
      <c r="B4992" s="6" t="s">
        <v>128</v>
      </c>
      <c r="C4992" s="6" t="s">
        <v>120</v>
      </c>
      <c r="D4992" s="5">
        <v>44975</v>
      </c>
    </row>
    <row r="4993" spans="2:4">
      <c r="B4993" s="6" t="s">
        <v>588</v>
      </c>
      <c r="C4993" s="6" t="s">
        <v>183</v>
      </c>
      <c r="D4993" s="5">
        <v>44975</v>
      </c>
    </row>
    <row r="4994" spans="2:4">
      <c r="B4994" s="6" t="s">
        <v>270</v>
      </c>
      <c r="C4994" s="6" t="s">
        <v>191</v>
      </c>
      <c r="D4994" s="5">
        <v>44975</v>
      </c>
    </row>
    <row r="4995" spans="2:4">
      <c r="B4995" s="6" t="s">
        <v>47</v>
      </c>
      <c r="C4995" s="6" t="s">
        <v>44</v>
      </c>
      <c r="D4995" s="5">
        <v>44975</v>
      </c>
    </row>
    <row r="4996" spans="2:4">
      <c r="B4996" s="6" t="s">
        <v>82</v>
      </c>
      <c r="C4996" s="6" t="s">
        <v>89</v>
      </c>
      <c r="D4996" s="5">
        <v>44975</v>
      </c>
    </row>
    <row r="4997" spans="2:4">
      <c r="B4997" s="6" t="s">
        <v>33</v>
      </c>
      <c r="C4997" s="6" t="s">
        <v>31</v>
      </c>
      <c r="D4997" s="5">
        <v>44975</v>
      </c>
    </row>
    <row r="4998" spans="2:4">
      <c r="B4998" s="6" t="s">
        <v>73</v>
      </c>
      <c r="C4998" s="6" t="s">
        <v>77</v>
      </c>
      <c r="D4998" s="5">
        <v>44975</v>
      </c>
    </row>
    <row r="4999" spans="2:4">
      <c r="B4999" s="6" t="s">
        <v>242</v>
      </c>
      <c r="C4999" s="6" t="s">
        <v>274</v>
      </c>
      <c r="D4999" s="5">
        <v>44975</v>
      </c>
    </row>
    <row r="5000" spans="2:4">
      <c r="B5000" s="6" t="s">
        <v>97</v>
      </c>
      <c r="C5000" s="6" t="s">
        <v>100</v>
      </c>
      <c r="D5000" s="5">
        <v>44975</v>
      </c>
    </row>
    <row r="5001" spans="2:4">
      <c r="B5001" s="6" t="s">
        <v>125</v>
      </c>
      <c r="C5001" s="6" t="s">
        <v>108</v>
      </c>
      <c r="D5001" s="5">
        <v>44975</v>
      </c>
    </row>
    <row r="5002" spans="2:4">
      <c r="B5002" s="6" t="s">
        <v>419</v>
      </c>
      <c r="C5002" s="6" t="s">
        <v>107</v>
      </c>
      <c r="D5002" s="5">
        <v>44975</v>
      </c>
    </row>
    <row r="5003" spans="2:4">
      <c r="B5003" s="6" t="s">
        <v>87</v>
      </c>
      <c r="C5003" s="6" t="s">
        <v>91</v>
      </c>
      <c r="D5003" s="5">
        <v>44975</v>
      </c>
    </row>
    <row r="5004" spans="2:4">
      <c r="B5004" s="6" t="s">
        <v>292</v>
      </c>
      <c r="C5004" s="6" t="s">
        <v>142</v>
      </c>
      <c r="D5004" s="5">
        <v>44975</v>
      </c>
    </row>
    <row r="5005" spans="2:4">
      <c r="B5005" s="6" t="s">
        <v>399</v>
      </c>
      <c r="C5005" s="6" t="s">
        <v>332</v>
      </c>
      <c r="D5005" s="5">
        <v>44975</v>
      </c>
    </row>
    <row r="5006" spans="2:4">
      <c r="B5006" s="6" t="s">
        <v>99</v>
      </c>
      <c r="C5006" s="6" t="s">
        <v>178</v>
      </c>
      <c r="D5006" s="5">
        <v>44975</v>
      </c>
    </row>
    <row r="5007" spans="2:4">
      <c r="B5007" s="6" t="s">
        <v>165</v>
      </c>
      <c r="C5007" s="6" t="s">
        <v>132</v>
      </c>
      <c r="D5007" s="5">
        <v>44975</v>
      </c>
    </row>
    <row r="5008" spans="2:4">
      <c r="B5008" s="6" t="s">
        <v>249</v>
      </c>
      <c r="C5008" s="6" t="s">
        <v>303</v>
      </c>
      <c r="D5008" s="5">
        <v>44975</v>
      </c>
    </row>
    <row r="5009" spans="2:4">
      <c r="B5009" s="6" t="s">
        <v>43</v>
      </c>
      <c r="C5009" s="6" t="s">
        <v>51</v>
      </c>
      <c r="D5009" s="5">
        <v>44975</v>
      </c>
    </row>
    <row r="5010" spans="2:4">
      <c r="B5010" s="6" t="s">
        <v>177</v>
      </c>
      <c r="C5010" s="6" t="s">
        <v>205</v>
      </c>
      <c r="D5010" s="5">
        <v>44975</v>
      </c>
    </row>
    <row r="5011" spans="2:4">
      <c r="B5011" s="6" t="s">
        <v>138</v>
      </c>
      <c r="C5011" s="6" t="s">
        <v>351</v>
      </c>
      <c r="D5011" s="5">
        <v>44975</v>
      </c>
    </row>
    <row r="5012" spans="2:4">
      <c r="B5012" s="6" t="s">
        <v>63</v>
      </c>
      <c r="C5012" s="6" t="s">
        <v>66</v>
      </c>
      <c r="D5012" s="5">
        <v>44975</v>
      </c>
    </row>
    <row r="5013" spans="2:4">
      <c r="B5013" s="6" t="s">
        <v>193</v>
      </c>
      <c r="C5013" s="6" t="s">
        <v>194</v>
      </c>
      <c r="D5013" s="5">
        <v>44975</v>
      </c>
    </row>
    <row r="5014" spans="2:4">
      <c r="B5014" s="6" t="s">
        <v>409</v>
      </c>
      <c r="C5014" s="6" t="s">
        <v>365</v>
      </c>
      <c r="D5014" s="5">
        <v>44975</v>
      </c>
    </row>
    <row r="5015" spans="2:4">
      <c r="B5015" s="6" t="s">
        <v>412</v>
      </c>
      <c r="C5015" s="6" t="s">
        <v>358</v>
      </c>
      <c r="D5015" s="5">
        <v>44975</v>
      </c>
    </row>
    <row r="5016" spans="2:4">
      <c r="B5016" s="6" t="s">
        <v>621</v>
      </c>
      <c r="C5016" s="6" t="s">
        <v>207</v>
      </c>
      <c r="D5016" s="5">
        <v>44975</v>
      </c>
    </row>
    <row r="5017" spans="2:4">
      <c r="B5017" s="6" t="s">
        <v>420</v>
      </c>
      <c r="C5017" s="6" t="s">
        <v>428</v>
      </c>
      <c r="D5017" s="5">
        <v>44975</v>
      </c>
    </row>
    <row r="5018" spans="2:4">
      <c r="B5018" s="6" t="s">
        <v>255</v>
      </c>
      <c r="C5018" s="6" t="s">
        <v>173</v>
      </c>
      <c r="D5018" s="5">
        <v>44975</v>
      </c>
    </row>
    <row r="5019" spans="2:4">
      <c r="B5019" s="6" t="s">
        <v>302</v>
      </c>
      <c r="C5019" s="6" t="s">
        <v>38</v>
      </c>
      <c r="D5019" s="5">
        <v>44975</v>
      </c>
    </row>
    <row r="5020" spans="2:4">
      <c r="B5020" s="6" t="s">
        <v>231</v>
      </c>
      <c r="C5020" s="6" t="s">
        <v>221</v>
      </c>
      <c r="D5020" s="5">
        <v>44975</v>
      </c>
    </row>
    <row r="5021" spans="2:4">
      <c r="B5021" s="6" t="s">
        <v>308</v>
      </c>
      <c r="C5021" s="6" t="s">
        <v>232</v>
      </c>
      <c r="D5021" s="5">
        <v>44975</v>
      </c>
    </row>
    <row r="5022" spans="2:4">
      <c r="B5022" s="6" t="s">
        <v>71</v>
      </c>
      <c r="C5022" s="6" t="s">
        <v>76</v>
      </c>
      <c r="D5022" s="5">
        <v>44975</v>
      </c>
    </row>
    <row r="5023" spans="2:4">
      <c r="B5023" s="6" t="s">
        <v>143</v>
      </c>
      <c r="C5023" s="6" t="s">
        <v>313</v>
      </c>
      <c r="D5023" s="5">
        <v>44975</v>
      </c>
    </row>
    <row r="5024" spans="2:4">
      <c r="B5024" s="6" t="s">
        <v>584</v>
      </c>
      <c r="C5024" s="6" t="s">
        <v>94</v>
      </c>
      <c r="D5024" s="5">
        <v>44975</v>
      </c>
    </row>
    <row r="5025" spans="2:4">
      <c r="B5025" s="6" t="s">
        <v>133</v>
      </c>
      <c r="C5025" s="6" t="s">
        <v>284</v>
      </c>
      <c r="D5025" s="5">
        <v>44975</v>
      </c>
    </row>
    <row r="5026" spans="2:4">
      <c r="B5026" s="6" t="s">
        <v>168</v>
      </c>
      <c r="C5026" s="6" t="s">
        <v>169</v>
      </c>
      <c r="D5026" s="5">
        <v>44975</v>
      </c>
    </row>
    <row r="5027" spans="2:4">
      <c r="B5027" s="6" t="s">
        <v>388</v>
      </c>
      <c r="C5027" s="6" t="s">
        <v>415</v>
      </c>
      <c r="D5027" s="5">
        <v>44975</v>
      </c>
    </row>
    <row r="5028" spans="2:4">
      <c r="B5028" s="6" t="s">
        <v>424</v>
      </c>
      <c r="C5028" s="6" t="s">
        <v>383</v>
      </c>
      <c r="D5028" s="5">
        <v>44975</v>
      </c>
    </row>
    <row r="5029" spans="2:4">
      <c r="B5029" s="6" t="s">
        <v>348</v>
      </c>
      <c r="C5029" s="6" t="s">
        <v>330</v>
      </c>
      <c r="D5029" s="5">
        <v>44975</v>
      </c>
    </row>
    <row r="5030" spans="2:4">
      <c r="B5030" s="6" t="s">
        <v>184</v>
      </c>
      <c r="C5030" s="6" t="s">
        <v>359</v>
      </c>
      <c r="D5030" s="5">
        <v>44975</v>
      </c>
    </row>
    <row r="5031" spans="2:4">
      <c r="B5031" s="6" t="s">
        <v>331</v>
      </c>
      <c r="C5031" s="6" t="s">
        <v>196</v>
      </c>
      <c r="D5031" s="5">
        <v>44975</v>
      </c>
    </row>
    <row r="5032" spans="2:4">
      <c r="B5032" s="6" t="s">
        <v>357</v>
      </c>
      <c r="C5032" s="6" t="s">
        <v>385</v>
      </c>
      <c r="D5032" s="5">
        <v>44975</v>
      </c>
    </row>
    <row r="5033" spans="2:4">
      <c r="B5033" s="6" t="s">
        <v>154</v>
      </c>
      <c r="C5033" s="6" t="s">
        <v>423</v>
      </c>
      <c r="D5033" s="5">
        <v>44975</v>
      </c>
    </row>
    <row r="5034" spans="2:4">
      <c r="B5034" s="6" t="s">
        <v>185</v>
      </c>
      <c r="C5034" s="6" t="s">
        <v>83</v>
      </c>
      <c r="D5034" s="5">
        <v>44975</v>
      </c>
    </row>
    <row r="5035" spans="2:4">
      <c r="B5035" s="6" t="s">
        <v>161</v>
      </c>
      <c r="C5035" s="6" t="s">
        <v>160</v>
      </c>
      <c r="D5035" s="5">
        <v>44975</v>
      </c>
    </row>
    <row r="5036" spans="2:4">
      <c r="B5036" s="6" t="s">
        <v>59</v>
      </c>
      <c r="C5036" s="6" t="s">
        <v>55</v>
      </c>
      <c r="D5036" s="5">
        <v>44975</v>
      </c>
    </row>
    <row r="5037" spans="2:4">
      <c r="B5037" s="6" t="s">
        <v>376</v>
      </c>
      <c r="C5037" s="6" t="s">
        <v>135</v>
      </c>
      <c r="D5037" s="5">
        <v>44975</v>
      </c>
    </row>
    <row r="5038" spans="2:4">
      <c r="B5038" s="6" t="s">
        <v>375</v>
      </c>
      <c r="C5038" s="6" t="s">
        <v>344</v>
      </c>
      <c r="D5038" s="5">
        <v>44975</v>
      </c>
    </row>
    <row r="5039" spans="2:4">
      <c r="B5039" s="6" t="s">
        <v>167</v>
      </c>
      <c r="C5039" s="6" t="s">
        <v>141</v>
      </c>
      <c r="D5039" s="5">
        <v>44975</v>
      </c>
    </row>
    <row r="5040" spans="2:4">
      <c r="B5040" s="6" t="s">
        <v>391</v>
      </c>
      <c r="C5040" s="6" t="s">
        <v>190</v>
      </c>
      <c r="D5040" s="5">
        <v>44975</v>
      </c>
    </row>
    <row r="5041" spans="2:4">
      <c r="B5041" s="6" t="s">
        <v>398</v>
      </c>
      <c r="C5041" s="6" t="s">
        <v>157</v>
      </c>
      <c r="D5041" s="5">
        <v>44975</v>
      </c>
    </row>
    <row r="5042" spans="2:4">
      <c r="B5042" s="6" t="s">
        <v>236</v>
      </c>
      <c r="C5042" s="6" t="s">
        <v>599</v>
      </c>
      <c r="D5042" s="5">
        <v>44975</v>
      </c>
    </row>
    <row r="5043" spans="2:4">
      <c r="B5043" s="6" t="s">
        <v>402</v>
      </c>
      <c r="C5043" s="6" t="s">
        <v>206</v>
      </c>
      <c r="D5043" s="5">
        <v>44975</v>
      </c>
    </row>
    <row r="5044" spans="2:4">
      <c r="B5044" s="6" t="s">
        <v>389</v>
      </c>
      <c r="C5044" s="6" t="s">
        <v>153</v>
      </c>
      <c r="D5044" s="5">
        <v>44975</v>
      </c>
    </row>
    <row r="5045" spans="2:4">
      <c r="B5045" s="6" t="s">
        <v>75</v>
      </c>
      <c r="C5045" s="6" t="s">
        <v>164</v>
      </c>
      <c r="D5045" s="5">
        <v>44975</v>
      </c>
    </row>
    <row r="5046" spans="2:4">
      <c r="B5046" s="6" t="s">
        <v>411</v>
      </c>
      <c r="C5046" s="6" t="s">
        <v>187</v>
      </c>
      <c r="D5046" s="5">
        <v>44976</v>
      </c>
    </row>
    <row r="5047" spans="2:4">
      <c r="B5047" s="6" t="s">
        <v>149</v>
      </c>
      <c r="C5047" s="6" t="s">
        <v>251</v>
      </c>
      <c r="D5047" s="5">
        <v>44976</v>
      </c>
    </row>
    <row r="5048" spans="2:4">
      <c r="B5048" s="6" t="s">
        <v>58</v>
      </c>
      <c r="C5048" s="6" t="s">
        <v>57</v>
      </c>
      <c r="D5048" s="5">
        <v>44976</v>
      </c>
    </row>
    <row r="5049" spans="2:4">
      <c r="B5049" s="6" t="s">
        <v>422</v>
      </c>
      <c r="C5049" s="6" t="s">
        <v>172</v>
      </c>
      <c r="D5049" s="5">
        <v>44976</v>
      </c>
    </row>
    <row r="5050" spans="2:4">
      <c r="B5050" s="6" t="s">
        <v>145</v>
      </c>
      <c r="C5050" s="6" t="s">
        <v>95</v>
      </c>
      <c r="D5050" s="5">
        <v>44976</v>
      </c>
    </row>
    <row r="5051" spans="2:4">
      <c r="B5051" s="6" t="s">
        <v>363</v>
      </c>
      <c r="C5051" s="6" t="s">
        <v>186</v>
      </c>
      <c r="D5051" s="5">
        <v>44976</v>
      </c>
    </row>
    <row r="5052" spans="2:4">
      <c r="B5052" s="6" t="s">
        <v>280</v>
      </c>
      <c r="C5052" s="6" t="s">
        <v>139</v>
      </c>
      <c r="D5052" s="5">
        <v>44976</v>
      </c>
    </row>
    <row r="5053" spans="2:4">
      <c r="B5053" s="6" t="s">
        <v>241</v>
      </c>
      <c r="C5053" s="6" t="s">
        <v>119</v>
      </c>
      <c r="D5053" s="5">
        <v>44976</v>
      </c>
    </row>
    <row r="5054" spans="2:4">
      <c r="B5054" s="6" t="s">
        <v>244</v>
      </c>
      <c r="C5054" s="6" t="s">
        <v>285</v>
      </c>
      <c r="D5054" s="5">
        <v>44976</v>
      </c>
    </row>
    <row r="5055" spans="2:4">
      <c r="B5055" s="6" t="s">
        <v>216</v>
      </c>
      <c r="C5055" s="6" t="s">
        <v>117</v>
      </c>
      <c r="D5055" s="5">
        <v>44976</v>
      </c>
    </row>
    <row r="5056" spans="2:4">
      <c r="B5056" s="6" t="s">
        <v>233</v>
      </c>
      <c r="C5056" s="6" t="s">
        <v>211</v>
      </c>
      <c r="D5056" s="5">
        <v>44976</v>
      </c>
    </row>
    <row r="5057" spans="2:4">
      <c r="B5057" s="6" t="s">
        <v>361</v>
      </c>
      <c r="C5057" s="6" t="s">
        <v>204</v>
      </c>
      <c r="D5057" s="5">
        <v>44976</v>
      </c>
    </row>
    <row r="5058" spans="2:4">
      <c r="B5058" s="6" t="s">
        <v>112</v>
      </c>
      <c r="C5058" s="6" t="s">
        <v>230</v>
      </c>
      <c r="D5058" s="5">
        <v>44976</v>
      </c>
    </row>
    <row r="5059" spans="2:4">
      <c r="B5059" s="6" t="s">
        <v>252</v>
      </c>
      <c r="C5059" s="6" t="s">
        <v>337</v>
      </c>
      <c r="D5059" s="5">
        <v>44976</v>
      </c>
    </row>
    <row r="5060" spans="2:4">
      <c r="B5060" s="6" t="s">
        <v>296</v>
      </c>
      <c r="C5060" s="6" t="s">
        <v>266</v>
      </c>
      <c r="D5060" s="5">
        <v>44976</v>
      </c>
    </row>
    <row r="5061" spans="2:4">
      <c r="B5061" s="6" t="s">
        <v>212</v>
      </c>
      <c r="C5061" s="6" t="s">
        <v>144</v>
      </c>
      <c r="D5061" s="5">
        <v>44976</v>
      </c>
    </row>
    <row r="5062" spans="2:4">
      <c r="B5062" s="6" t="s">
        <v>347</v>
      </c>
      <c r="C5062" s="6" t="s">
        <v>122</v>
      </c>
      <c r="D5062" s="5">
        <v>44976</v>
      </c>
    </row>
    <row r="5063" spans="2:4">
      <c r="B5063" s="6" t="s">
        <v>341</v>
      </c>
      <c r="C5063" s="6" t="s">
        <v>275</v>
      </c>
      <c r="D5063" s="5">
        <v>44976</v>
      </c>
    </row>
    <row r="5064" spans="2:4">
      <c r="B5064" s="6" t="s">
        <v>42</v>
      </c>
      <c r="C5064" s="6" t="s">
        <v>41</v>
      </c>
      <c r="D5064" s="5">
        <v>44976</v>
      </c>
    </row>
    <row r="5065" spans="2:4">
      <c r="B5065" s="6" t="s">
        <v>397</v>
      </c>
      <c r="C5065" s="6" t="s">
        <v>256</v>
      </c>
      <c r="D5065" s="5">
        <v>44976</v>
      </c>
    </row>
    <row r="5066" spans="2:4">
      <c r="B5066" s="6" t="s">
        <v>67</v>
      </c>
      <c r="C5066" s="6" t="s">
        <v>56</v>
      </c>
      <c r="D5066" s="5">
        <v>44976</v>
      </c>
    </row>
    <row r="5067" spans="2:4">
      <c r="B5067" s="6" t="s">
        <v>111</v>
      </c>
      <c r="C5067" s="6" t="s">
        <v>436</v>
      </c>
      <c r="D5067" s="5">
        <v>44976</v>
      </c>
    </row>
    <row r="5068" spans="2:4">
      <c r="B5068" s="6" t="s">
        <v>68</v>
      </c>
      <c r="C5068" s="6" t="s">
        <v>61</v>
      </c>
      <c r="D5068" s="5">
        <v>44976</v>
      </c>
    </row>
    <row r="5069" spans="2:4">
      <c r="B5069" s="6" t="s">
        <v>78</v>
      </c>
      <c r="C5069" s="6" t="s">
        <v>69</v>
      </c>
      <c r="D5069" s="5">
        <v>44976</v>
      </c>
    </row>
    <row r="5070" spans="2:4">
      <c r="B5070" s="6" t="s">
        <v>162</v>
      </c>
      <c r="C5070" s="6" t="s">
        <v>163</v>
      </c>
      <c r="D5070" s="5">
        <v>44976</v>
      </c>
    </row>
    <row r="5071" spans="2:4">
      <c r="B5071" s="6" t="s">
        <v>249</v>
      </c>
      <c r="C5071" s="6" t="s">
        <v>332</v>
      </c>
      <c r="D5071" s="5">
        <v>44977</v>
      </c>
    </row>
    <row r="5072" spans="2:4">
      <c r="B5072" s="6" t="s">
        <v>314</v>
      </c>
      <c r="C5072" s="6" t="s">
        <v>232</v>
      </c>
      <c r="D5072" s="5">
        <v>44977</v>
      </c>
    </row>
    <row r="5073" spans="2:4">
      <c r="B5073" s="6" t="s">
        <v>141</v>
      </c>
      <c r="C5073" s="6" t="s">
        <v>236</v>
      </c>
      <c r="D5073" s="5">
        <v>44977</v>
      </c>
    </row>
    <row r="5074" spans="2:4">
      <c r="B5074" s="6" t="s">
        <v>44</v>
      </c>
      <c r="C5074" s="6" t="s">
        <v>43</v>
      </c>
      <c r="D5074" s="5">
        <v>44977</v>
      </c>
    </row>
    <row r="5075" spans="2:4">
      <c r="B5075" s="6" t="s">
        <v>32</v>
      </c>
      <c r="C5075" s="6" t="s">
        <v>322</v>
      </c>
      <c r="D5075" s="5">
        <v>44977</v>
      </c>
    </row>
    <row r="5076" spans="2:4">
      <c r="B5076" s="6" t="s">
        <v>238</v>
      </c>
      <c r="C5076" s="6" t="s">
        <v>96</v>
      </c>
      <c r="D5076" s="5">
        <v>44977</v>
      </c>
    </row>
    <row r="5077" spans="2:4">
      <c r="B5077" s="6" t="s">
        <v>335</v>
      </c>
      <c r="C5077" s="6" t="s">
        <v>277</v>
      </c>
      <c r="D5077" s="5">
        <v>44977</v>
      </c>
    </row>
    <row r="5078" spans="2:4">
      <c r="B5078" s="6" t="s">
        <v>264</v>
      </c>
      <c r="C5078" s="6" t="s">
        <v>276</v>
      </c>
      <c r="D5078" s="5">
        <v>44977</v>
      </c>
    </row>
    <row r="5079" spans="2:4">
      <c r="B5079" s="6" t="s">
        <v>310</v>
      </c>
      <c r="C5079" s="6" t="s">
        <v>116</v>
      </c>
      <c r="D5079" s="5">
        <v>44977</v>
      </c>
    </row>
    <row r="5080" spans="2:4">
      <c r="B5080" s="6" t="s">
        <v>399</v>
      </c>
      <c r="C5080" s="6" t="s">
        <v>303</v>
      </c>
      <c r="D5080" s="5">
        <v>44977</v>
      </c>
    </row>
    <row r="5081" spans="2:4">
      <c r="B5081" s="6" t="s">
        <v>34</v>
      </c>
      <c r="C5081" s="6" t="s">
        <v>26</v>
      </c>
      <c r="D5081" s="5">
        <v>44977</v>
      </c>
    </row>
    <row r="5082" spans="2:4">
      <c r="B5082" s="6" t="s">
        <v>308</v>
      </c>
      <c r="C5082" s="6" t="s">
        <v>170</v>
      </c>
      <c r="D5082" s="5">
        <v>44977</v>
      </c>
    </row>
    <row r="5083" spans="2:4">
      <c r="B5083" s="6" t="s">
        <v>586</v>
      </c>
      <c r="C5083" s="6" t="s">
        <v>428</v>
      </c>
      <c r="D5083" s="5">
        <v>44977</v>
      </c>
    </row>
    <row r="5084" spans="2:4">
      <c r="B5084" s="6" t="s">
        <v>423</v>
      </c>
      <c r="C5084" s="6" t="s">
        <v>621</v>
      </c>
      <c r="D5084" s="5">
        <v>44977</v>
      </c>
    </row>
    <row r="5085" spans="2:4">
      <c r="B5085" s="6" t="s">
        <v>599</v>
      </c>
      <c r="C5085" s="6" t="s">
        <v>154</v>
      </c>
      <c r="D5085" s="5">
        <v>44977</v>
      </c>
    </row>
    <row r="5086" spans="2:4">
      <c r="B5086" s="6" t="s">
        <v>207</v>
      </c>
      <c r="C5086" s="6" t="s">
        <v>167</v>
      </c>
      <c r="D5086" s="5">
        <v>44977</v>
      </c>
    </row>
    <row r="5087" spans="2:4">
      <c r="B5087" s="6" t="s">
        <v>169</v>
      </c>
      <c r="C5087" s="6" t="s">
        <v>433</v>
      </c>
      <c r="D5087" s="5">
        <v>44978</v>
      </c>
    </row>
    <row r="5088" spans="2:4">
      <c r="B5088" s="6" t="s">
        <v>203</v>
      </c>
      <c r="C5088" s="6" t="s">
        <v>362</v>
      </c>
      <c r="D5088" s="5">
        <v>44978</v>
      </c>
    </row>
    <row r="5089" spans="2:4">
      <c r="B5089" s="6" t="s">
        <v>39</v>
      </c>
      <c r="C5089" s="6" t="s">
        <v>35</v>
      </c>
      <c r="D5089" s="5">
        <v>44978</v>
      </c>
    </row>
    <row r="5090" spans="2:4">
      <c r="B5090" s="6" t="s">
        <v>33</v>
      </c>
      <c r="C5090" s="6" t="s">
        <v>28</v>
      </c>
      <c r="D5090" s="5">
        <v>44978</v>
      </c>
    </row>
    <row r="5091" spans="2:4">
      <c r="B5091" s="6" t="s">
        <v>91</v>
      </c>
      <c r="C5091" s="6" t="s">
        <v>86</v>
      </c>
      <c r="D5091" s="5">
        <v>44978</v>
      </c>
    </row>
    <row r="5092" spans="2:4">
      <c r="B5092" s="6" t="s">
        <v>320</v>
      </c>
      <c r="C5092" s="6" t="s">
        <v>312</v>
      </c>
      <c r="D5092" s="5">
        <v>44978</v>
      </c>
    </row>
    <row r="5093" spans="2:4">
      <c r="B5093" s="6" t="s">
        <v>52</v>
      </c>
      <c r="C5093" s="6" t="s">
        <v>48</v>
      </c>
      <c r="D5093" s="5">
        <v>44978</v>
      </c>
    </row>
    <row r="5094" spans="2:4">
      <c r="B5094" s="6" t="s">
        <v>49</v>
      </c>
      <c r="C5094" s="6" t="s">
        <v>50</v>
      </c>
      <c r="D5094" s="5">
        <v>44978</v>
      </c>
    </row>
    <row r="5095" spans="2:4">
      <c r="B5095" s="6" t="s">
        <v>87</v>
      </c>
      <c r="C5095" s="6" t="s">
        <v>85</v>
      </c>
      <c r="D5095" s="5">
        <v>44978</v>
      </c>
    </row>
    <row r="5096" spans="2:4">
      <c r="B5096" s="6" t="s">
        <v>334</v>
      </c>
      <c r="C5096" s="6" t="s">
        <v>121</v>
      </c>
      <c r="D5096" s="5">
        <v>44978</v>
      </c>
    </row>
    <row r="5097" spans="2:4">
      <c r="B5097" s="6" t="s">
        <v>200</v>
      </c>
      <c r="C5097" s="6" t="s">
        <v>133</v>
      </c>
      <c r="D5097" s="5">
        <v>44978</v>
      </c>
    </row>
    <row r="5098" spans="2:4">
      <c r="B5098" s="6" t="s">
        <v>247</v>
      </c>
      <c r="C5098" s="6" t="s">
        <v>414</v>
      </c>
      <c r="D5098" s="5">
        <v>44978</v>
      </c>
    </row>
    <row r="5099" spans="2:4">
      <c r="B5099" s="6" t="s">
        <v>140</v>
      </c>
      <c r="C5099" s="6" t="s">
        <v>105</v>
      </c>
      <c r="D5099" s="5">
        <v>44978</v>
      </c>
    </row>
    <row r="5100" spans="2:4">
      <c r="B5100" s="6" t="s">
        <v>109</v>
      </c>
      <c r="C5100" s="6" t="s">
        <v>180</v>
      </c>
      <c r="D5100" s="5">
        <v>44978</v>
      </c>
    </row>
    <row r="5101" spans="2:4">
      <c r="B5101" s="6" t="s">
        <v>127</v>
      </c>
      <c r="C5101" s="6" t="s">
        <v>400</v>
      </c>
      <c r="D5101" s="5">
        <v>44978</v>
      </c>
    </row>
    <row r="5102" spans="2:4">
      <c r="B5102" s="6" t="s">
        <v>209</v>
      </c>
      <c r="C5102" s="6" t="s">
        <v>288</v>
      </c>
      <c r="D5102" s="5">
        <v>44978</v>
      </c>
    </row>
    <row r="5103" spans="2:4">
      <c r="B5103" s="6" t="s">
        <v>412</v>
      </c>
      <c r="C5103" s="6" t="s">
        <v>418</v>
      </c>
      <c r="D5103" s="5">
        <v>44978</v>
      </c>
    </row>
    <row r="5104" spans="2:4">
      <c r="B5104" s="6" t="s">
        <v>95</v>
      </c>
      <c r="C5104" s="6" t="s">
        <v>275</v>
      </c>
      <c r="D5104" s="5">
        <v>44978</v>
      </c>
    </row>
    <row r="5105" spans="2:4">
      <c r="B5105" s="6" t="s">
        <v>38</v>
      </c>
      <c r="C5105" s="6" t="s">
        <v>37</v>
      </c>
      <c r="D5105" s="5">
        <v>44978</v>
      </c>
    </row>
    <row r="5106" spans="2:4">
      <c r="B5106" s="6" t="s">
        <v>84</v>
      </c>
      <c r="C5106" s="6" t="s">
        <v>89</v>
      </c>
      <c r="D5106" s="5">
        <v>44978</v>
      </c>
    </row>
    <row r="5107" spans="2:4">
      <c r="B5107" s="6" t="s">
        <v>30</v>
      </c>
      <c r="C5107" s="6" t="s">
        <v>31</v>
      </c>
      <c r="D5107" s="5">
        <v>44978</v>
      </c>
    </row>
    <row r="5108" spans="2:4">
      <c r="B5108" s="6" t="s">
        <v>55</v>
      </c>
      <c r="C5108" s="6" t="s">
        <v>62</v>
      </c>
      <c r="D5108" s="5">
        <v>44978</v>
      </c>
    </row>
    <row r="5109" spans="2:4">
      <c r="B5109" s="6" t="s">
        <v>29</v>
      </c>
      <c r="C5109" s="6" t="s">
        <v>27</v>
      </c>
      <c r="D5109" s="5">
        <v>44978</v>
      </c>
    </row>
    <row r="5110" spans="2:4">
      <c r="B5110" s="6" t="s">
        <v>152</v>
      </c>
      <c r="C5110" s="6" t="s">
        <v>168</v>
      </c>
      <c r="D5110" s="5">
        <v>44978</v>
      </c>
    </row>
    <row r="5111" spans="2:4">
      <c r="B5111" s="6" t="s">
        <v>198</v>
      </c>
      <c r="C5111" s="6" t="s">
        <v>394</v>
      </c>
      <c r="D5111" s="5">
        <v>44978</v>
      </c>
    </row>
    <row r="5112" spans="2:4">
      <c r="B5112" s="6" t="s">
        <v>392</v>
      </c>
      <c r="C5112" s="6" t="s">
        <v>386</v>
      </c>
      <c r="D5112" s="5">
        <v>44978</v>
      </c>
    </row>
    <row r="5113" spans="2:4">
      <c r="B5113" s="6" t="s">
        <v>120</v>
      </c>
      <c r="C5113" s="6" t="s">
        <v>248</v>
      </c>
      <c r="D5113" s="5">
        <v>44979</v>
      </c>
    </row>
    <row r="5114" spans="2:4">
      <c r="B5114" s="6" t="s">
        <v>148</v>
      </c>
      <c r="C5114" s="6" t="s">
        <v>278</v>
      </c>
      <c r="D5114" s="5">
        <v>44979</v>
      </c>
    </row>
    <row r="5115" spans="2:4">
      <c r="B5115" s="6" t="s">
        <v>245</v>
      </c>
      <c r="C5115" s="6" t="s">
        <v>40</v>
      </c>
      <c r="D5115" s="5">
        <v>44979</v>
      </c>
    </row>
    <row r="5116" spans="2:4">
      <c r="B5116" s="6" t="s">
        <v>79</v>
      </c>
      <c r="C5116" s="6" t="s">
        <v>80</v>
      </c>
      <c r="D5116" s="5">
        <v>44979</v>
      </c>
    </row>
    <row r="5117" spans="2:4">
      <c r="B5117" s="6" t="s">
        <v>54</v>
      </c>
      <c r="C5117" s="6" t="s">
        <v>188</v>
      </c>
      <c r="D5117" s="5">
        <v>44979</v>
      </c>
    </row>
    <row r="5118" spans="2:4">
      <c r="B5118" s="6" t="s">
        <v>300</v>
      </c>
      <c r="C5118" s="6" t="s">
        <v>214</v>
      </c>
      <c r="D5118" s="5">
        <v>44979</v>
      </c>
    </row>
    <row r="5119" spans="2:4">
      <c r="B5119" s="6" t="s">
        <v>114</v>
      </c>
      <c r="C5119" s="6" t="s">
        <v>113</v>
      </c>
      <c r="D5119" s="5">
        <v>44979</v>
      </c>
    </row>
    <row r="5120" spans="2:4">
      <c r="B5120" s="6" t="s">
        <v>187</v>
      </c>
      <c r="C5120" s="6" t="s">
        <v>145</v>
      </c>
      <c r="D5120" s="5">
        <v>44979</v>
      </c>
    </row>
    <row r="5121" spans="2:4">
      <c r="B5121" s="6" t="s">
        <v>411</v>
      </c>
      <c r="C5121" s="6" t="s">
        <v>231</v>
      </c>
      <c r="D5121" s="5">
        <v>44979</v>
      </c>
    </row>
    <row r="5122" spans="2:4">
      <c r="B5122" s="6" t="s">
        <v>137</v>
      </c>
      <c r="C5122" s="6" t="s">
        <v>176</v>
      </c>
      <c r="D5122" s="5">
        <v>44979</v>
      </c>
    </row>
    <row r="5123" spans="2:4">
      <c r="B5123" s="6" t="s">
        <v>580</v>
      </c>
      <c r="C5123" s="6" t="s">
        <v>131</v>
      </c>
      <c r="D5123" s="5">
        <v>44979</v>
      </c>
    </row>
    <row r="5124" spans="2:4">
      <c r="B5124" s="6" t="s">
        <v>139</v>
      </c>
      <c r="C5124" s="6" t="s">
        <v>119</v>
      </c>
      <c r="D5124" s="5">
        <v>44979</v>
      </c>
    </row>
    <row r="5125" spans="2:4">
      <c r="B5125" s="6" t="s">
        <v>51</v>
      </c>
      <c r="C5125" s="6" t="s">
        <v>47</v>
      </c>
      <c r="D5125" s="5">
        <v>44979</v>
      </c>
    </row>
    <row r="5126" spans="2:4">
      <c r="B5126" s="6" t="s">
        <v>301</v>
      </c>
      <c r="C5126" s="6" t="s">
        <v>269</v>
      </c>
      <c r="D5126" s="5">
        <v>44979</v>
      </c>
    </row>
    <row r="5127" spans="2:4">
      <c r="B5127" s="6" t="s">
        <v>253</v>
      </c>
      <c r="C5127" s="6" t="s">
        <v>174</v>
      </c>
      <c r="D5127" s="5">
        <v>44979</v>
      </c>
    </row>
    <row r="5128" spans="2:4">
      <c r="B5128" s="6" t="s">
        <v>177</v>
      </c>
      <c r="C5128" s="6" t="s">
        <v>106</v>
      </c>
      <c r="D5128" s="5">
        <v>44979</v>
      </c>
    </row>
    <row r="5129" spans="2:4">
      <c r="B5129" s="6" t="s">
        <v>205</v>
      </c>
      <c r="C5129" s="6" t="s">
        <v>126</v>
      </c>
      <c r="D5129" s="5">
        <v>44979</v>
      </c>
    </row>
    <row r="5130" spans="2:4">
      <c r="B5130" s="6" t="s">
        <v>360</v>
      </c>
      <c r="C5130" s="6" t="s">
        <v>220</v>
      </c>
      <c r="D5130" s="5">
        <v>44979</v>
      </c>
    </row>
    <row r="5131" spans="2:4">
      <c r="B5131" s="6" t="s">
        <v>56</v>
      </c>
      <c r="C5131" s="6" t="s">
        <v>63</v>
      </c>
      <c r="D5131" s="5">
        <v>44979</v>
      </c>
    </row>
    <row r="5132" spans="2:4">
      <c r="B5132" s="6" t="s">
        <v>81</v>
      </c>
      <c r="C5132" s="6" t="s">
        <v>185</v>
      </c>
      <c r="D5132" s="5">
        <v>44979</v>
      </c>
    </row>
    <row r="5133" spans="2:4">
      <c r="B5133" s="6" t="s">
        <v>199</v>
      </c>
      <c r="C5133" s="6" t="s">
        <v>252</v>
      </c>
      <c r="D5133" s="5">
        <v>44979</v>
      </c>
    </row>
    <row r="5134" spans="2:4">
      <c r="B5134" s="6" t="s">
        <v>124</v>
      </c>
      <c r="C5134" s="6" t="s">
        <v>337</v>
      </c>
      <c r="D5134" s="5">
        <v>44979</v>
      </c>
    </row>
    <row r="5135" spans="2:4">
      <c r="B5135" s="6" t="s">
        <v>210</v>
      </c>
      <c r="C5135" s="6" t="s">
        <v>284</v>
      </c>
      <c r="D5135" s="5">
        <v>44979</v>
      </c>
    </row>
    <row r="5136" spans="2:4">
      <c r="B5136" s="6" t="s">
        <v>192</v>
      </c>
      <c r="C5136" s="6" t="s">
        <v>273</v>
      </c>
      <c r="D5136" s="5">
        <v>44979</v>
      </c>
    </row>
    <row r="5137" spans="2:4">
      <c r="B5137" s="6" t="s">
        <v>110</v>
      </c>
      <c r="C5137" s="6" t="s">
        <v>202</v>
      </c>
      <c r="D5137" s="5">
        <v>44979</v>
      </c>
    </row>
    <row r="5138" spans="2:4">
      <c r="B5138" s="6" t="s">
        <v>425</v>
      </c>
      <c r="C5138" s="6" t="s">
        <v>395</v>
      </c>
      <c r="D5138" s="5">
        <v>44979</v>
      </c>
    </row>
    <row r="5139" spans="2:4">
      <c r="B5139" s="6" t="s">
        <v>297</v>
      </c>
      <c r="C5139" s="6" t="s">
        <v>270</v>
      </c>
      <c r="D5139" s="5">
        <v>44979</v>
      </c>
    </row>
    <row r="5140" spans="2:4">
      <c r="B5140" s="6" t="s">
        <v>191</v>
      </c>
      <c r="C5140" s="6" t="s">
        <v>298</v>
      </c>
      <c r="D5140" s="5">
        <v>44979</v>
      </c>
    </row>
    <row r="5141" spans="2:4">
      <c r="B5141" s="6" t="s">
        <v>104</v>
      </c>
      <c r="C5141" s="6" t="s">
        <v>102</v>
      </c>
      <c r="D5141" s="5">
        <v>44979</v>
      </c>
    </row>
    <row r="5142" spans="2:4">
      <c r="B5142" s="6" t="s">
        <v>436</v>
      </c>
      <c r="C5142" s="6" t="s">
        <v>282</v>
      </c>
      <c r="D5142" s="5">
        <v>44979</v>
      </c>
    </row>
    <row r="5143" spans="2:4">
      <c r="B5143" s="6" t="s">
        <v>111</v>
      </c>
      <c r="C5143" s="6" t="s">
        <v>171</v>
      </c>
      <c r="D5143" s="5">
        <v>44979</v>
      </c>
    </row>
    <row r="5144" spans="2:4">
      <c r="B5144" s="6" t="s">
        <v>267</v>
      </c>
      <c r="C5144" s="6" t="s">
        <v>287</v>
      </c>
      <c r="D5144" s="5">
        <v>44979</v>
      </c>
    </row>
    <row r="5145" spans="2:4">
      <c r="B5145" s="6" t="s">
        <v>261</v>
      </c>
      <c r="C5145" s="6" t="s">
        <v>103</v>
      </c>
      <c r="D5145" s="5">
        <v>44979</v>
      </c>
    </row>
    <row r="5146" spans="2:4">
      <c r="B5146" s="6" t="s">
        <v>136</v>
      </c>
      <c r="C5146" s="6" t="s">
        <v>316</v>
      </c>
      <c r="D5146" s="5">
        <v>44979</v>
      </c>
    </row>
    <row r="5147" spans="2:4">
      <c r="B5147" s="6" t="s">
        <v>409</v>
      </c>
      <c r="C5147" s="6" t="s">
        <v>193</v>
      </c>
      <c r="D5147" s="5">
        <v>44979</v>
      </c>
    </row>
    <row r="5148" spans="2:4">
      <c r="B5148" s="6" t="s">
        <v>289</v>
      </c>
      <c r="C5148" s="6" t="s">
        <v>294</v>
      </c>
      <c r="D5148" s="5">
        <v>44979</v>
      </c>
    </row>
    <row r="5149" spans="2:4">
      <c r="B5149" s="6" t="s">
        <v>259</v>
      </c>
      <c r="C5149" s="6" t="s">
        <v>286</v>
      </c>
      <c r="D5149" s="5">
        <v>44979</v>
      </c>
    </row>
    <row r="5150" spans="2:4">
      <c r="B5150" s="6" t="s">
        <v>355</v>
      </c>
      <c r="C5150" s="6" t="s">
        <v>353</v>
      </c>
      <c r="D5150" s="5">
        <v>44979</v>
      </c>
    </row>
    <row r="5151" spans="2:4">
      <c r="B5151" s="6" t="s">
        <v>610</v>
      </c>
      <c r="C5151" s="6" t="s">
        <v>201</v>
      </c>
      <c r="D5151" s="5">
        <v>44979</v>
      </c>
    </row>
    <row r="5152" spans="2:4">
      <c r="B5152" s="6" t="s">
        <v>142</v>
      </c>
      <c r="C5152" s="6" t="s">
        <v>147</v>
      </c>
      <c r="D5152" s="5">
        <v>44979</v>
      </c>
    </row>
    <row r="5153" spans="2:4">
      <c r="B5153" s="6" t="s">
        <v>354</v>
      </c>
      <c r="C5153" s="6" t="s">
        <v>255</v>
      </c>
      <c r="D5153" s="5">
        <v>44979</v>
      </c>
    </row>
    <row r="5154" spans="2:4">
      <c r="B5154" s="6" t="s">
        <v>292</v>
      </c>
      <c r="C5154" s="6" t="s">
        <v>128</v>
      </c>
      <c r="D5154" s="5">
        <v>44979</v>
      </c>
    </row>
    <row r="5155" spans="2:4">
      <c r="B5155" s="6" t="s">
        <v>173</v>
      </c>
      <c r="C5155" s="6" t="s">
        <v>356</v>
      </c>
      <c r="D5155" s="5">
        <v>44979</v>
      </c>
    </row>
    <row r="5156" spans="2:4">
      <c r="B5156" s="6" t="s">
        <v>186</v>
      </c>
      <c r="C5156" s="6" t="s">
        <v>325</v>
      </c>
      <c r="D5156" s="5">
        <v>44979</v>
      </c>
    </row>
    <row r="5157" spans="2:4">
      <c r="B5157" s="6" t="s">
        <v>333</v>
      </c>
      <c r="C5157" s="6" t="s">
        <v>194</v>
      </c>
      <c r="D5157" s="5">
        <v>44979</v>
      </c>
    </row>
    <row r="5158" spans="2:4">
      <c r="B5158" s="6" t="s">
        <v>241</v>
      </c>
      <c r="C5158" s="6" t="s">
        <v>318</v>
      </c>
      <c r="D5158" s="5">
        <v>44979</v>
      </c>
    </row>
    <row r="5159" spans="2:4">
      <c r="B5159" s="6" t="s">
        <v>213</v>
      </c>
      <c r="C5159" s="6" t="s">
        <v>280</v>
      </c>
      <c r="D5159" s="5">
        <v>44979</v>
      </c>
    </row>
    <row r="5160" spans="2:4">
      <c r="B5160" s="6" t="s">
        <v>363</v>
      </c>
      <c r="C5160" s="6" t="s">
        <v>326</v>
      </c>
      <c r="D5160" s="5">
        <v>44979</v>
      </c>
    </row>
    <row r="5161" spans="2:4">
      <c r="B5161" s="6" t="s">
        <v>345</v>
      </c>
      <c r="C5161" s="6" t="s">
        <v>290</v>
      </c>
      <c r="D5161" s="5">
        <v>44979</v>
      </c>
    </row>
    <row r="5162" spans="2:4">
      <c r="B5162" s="6" t="s">
        <v>365</v>
      </c>
      <c r="C5162" s="6" t="s">
        <v>367</v>
      </c>
      <c r="D5162" s="5">
        <v>44979</v>
      </c>
    </row>
    <row r="5163" spans="2:4">
      <c r="B5163" s="6" t="s">
        <v>150</v>
      </c>
      <c r="C5163" s="6" t="s">
        <v>306</v>
      </c>
      <c r="D5163" s="5">
        <v>44979</v>
      </c>
    </row>
    <row r="5164" spans="2:4">
      <c r="B5164" s="6" t="s">
        <v>155</v>
      </c>
      <c r="C5164" s="6" t="s">
        <v>42</v>
      </c>
      <c r="D5164" s="5">
        <v>44979</v>
      </c>
    </row>
    <row r="5165" spans="2:4">
      <c r="B5165" s="6" t="s">
        <v>46</v>
      </c>
      <c r="C5165" s="6" t="s">
        <v>251</v>
      </c>
      <c r="D5165" s="5">
        <v>44979</v>
      </c>
    </row>
    <row r="5166" spans="2:4">
      <c r="B5166" s="6" t="s">
        <v>212</v>
      </c>
      <c r="C5166" s="6" t="s">
        <v>221</v>
      </c>
      <c r="D5166" s="5">
        <v>44979</v>
      </c>
    </row>
    <row r="5167" spans="2:4">
      <c r="B5167" s="6" t="s">
        <v>83</v>
      </c>
      <c r="C5167" s="6" t="s">
        <v>88</v>
      </c>
      <c r="D5167" s="5">
        <v>44979</v>
      </c>
    </row>
    <row r="5168" spans="2:4">
      <c r="B5168" s="6" t="s">
        <v>90</v>
      </c>
      <c r="C5168" s="6" t="s">
        <v>82</v>
      </c>
      <c r="D5168" s="5">
        <v>44979</v>
      </c>
    </row>
    <row r="5169" spans="2:4">
      <c r="B5169" s="6" t="s">
        <v>149</v>
      </c>
      <c r="C5169" s="6" t="s">
        <v>53</v>
      </c>
      <c r="D5169" s="5">
        <v>44979</v>
      </c>
    </row>
    <row r="5170" spans="2:4">
      <c r="B5170" s="6" t="s">
        <v>41</v>
      </c>
      <c r="C5170" s="6" t="s">
        <v>302</v>
      </c>
      <c r="D5170" s="5">
        <v>44979</v>
      </c>
    </row>
    <row r="5171" spans="2:4">
      <c r="B5171" s="6" t="s">
        <v>65</v>
      </c>
      <c r="C5171" s="6" t="s">
        <v>61</v>
      </c>
      <c r="D5171" s="5">
        <v>44979</v>
      </c>
    </row>
    <row r="5172" spans="2:4">
      <c r="B5172" s="6" t="s">
        <v>350</v>
      </c>
      <c r="C5172" s="6" t="s">
        <v>349</v>
      </c>
      <c r="D5172" s="5">
        <v>44979</v>
      </c>
    </row>
    <row r="5173" spans="2:4">
      <c r="B5173" s="6" t="s">
        <v>375</v>
      </c>
      <c r="C5173" s="6" t="s">
        <v>381</v>
      </c>
      <c r="D5173" s="5">
        <v>44979</v>
      </c>
    </row>
    <row r="5174" spans="2:4">
      <c r="B5174" s="6" t="s">
        <v>162</v>
      </c>
      <c r="C5174" s="6" t="s">
        <v>189</v>
      </c>
      <c r="D5174" s="5">
        <v>44979</v>
      </c>
    </row>
    <row r="5175" spans="2:4">
      <c r="B5175" s="6" t="s">
        <v>167</v>
      </c>
      <c r="C5175" s="6" t="s">
        <v>236</v>
      </c>
      <c r="D5175" s="5">
        <v>44980</v>
      </c>
    </row>
    <row r="5176" spans="2:4">
      <c r="B5176" s="6" t="s">
        <v>196</v>
      </c>
      <c r="C5176" s="6" t="s">
        <v>330</v>
      </c>
      <c r="D5176" s="5">
        <v>44980</v>
      </c>
    </row>
    <row r="5177" spans="2:4">
      <c r="B5177" s="6" t="s">
        <v>57</v>
      </c>
      <c r="C5177" s="6" t="s">
        <v>66</v>
      </c>
      <c r="D5177" s="5">
        <v>44980</v>
      </c>
    </row>
    <row r="5178" spans="2:4">
      <c r="B5178" s="6" t="s">
        <v>352</v>
      </c>
      <c r="C5178" s="6" t="s">
        <v>144</v>
      </c>
      <c r="D5178" s="5">
        <v>44980</v>
      </c>
    </row>
    <row r="5179" spans="2:4">
      <c r="B5179" s="6" t="s">
        <v>421</v>
      </c>
      <c r="C5179" s="6" t="s">
        <v>368</v>
      </c>
      <c r="D5179" s="5">
        <v>44980</v>
      </c>
    </row>
    <row r="5180" spans="2:4">
      <c r="B5180" s="6" t="s">
        <v>274</v>
      </c>
      <c r="C5180" s="6" t="s">
        <v>376</v>
      </c>
      <c r="D5180" s="5">
        <v>44980</v>
      </c>
    </row>
    <row r="5181" spans="2:4">
      <c r="B5181" s="6" t="s">
        <v>182</v>
      </c>
      <c r="C5181" s="6" t="s">
        <v>135</v>
      </c>
      <c r="D5181" s="5">
        <v>44980</v>
      </c>
    </row>
    <row r="5182" spans="2:4">
      <c r="B5182" s="6" t="s">
        <v>98</v>
      </c>
      <c r="C5182" s="6" t="s">
        <v>590</v>
      </c>
      <c r="D5182" s="5">
        <v>44980</v>
      </c>
    </row>
    <row r="5183" spans="2:4">
      <c r="B5183" s="6" t="s">
        <v>336</v>
      </c>
      <c r="C5183" s="6" t="s">
        <v>587</v>
      </c>
      <c r="D5183" s="5">
        <v>44980</v>
      </c>
    </row>
    <row r="5184" spans="2:4">
      <c r="B5184" s="6" t="s">
        <v>338</v>
      </c>
      <c r="C5184" s="6" t="s">
        <v>410</v>
      </c>
      <c r="D5184" s="5">
        <v>44980</v>
      </c>
    </row>
    <row r="5185" spans="2:4">
      <c r="B5185" s="6" t="s">
        <v>175</v>
      </c>
      <c r="C5185" s="6" t="s">
        <v>246</v>
      </c>
      <c r="D5185" s="5">
        <v>44980</v>
      </c>
    </row>
    <row r="5186" spans="2:4">
      <c r="B5186" s="6" t="s">
        <v>101</v>
      </c>
      <c r="C5186" s="6" t="s">
        <v>266</v>
      </c>
      <c r="D5186" s="5">
        <v>44980</v>
      </c>
    </row>
    <row r="5187" spans="2:4">
      <c r="B5187" s="6" t="s">
        <v>422</v>
      </c>
      <c r="C5187" s="6" t="s">
        <v>256</v>
      </c>
      <c r="D5187" s="5">
        <v>44980</v>
      </c>
    </row>
    <row r="5188" spans="2:4">
      <c r="B5188" s="6" t="s">
        <v>413</v>
      </c>
      <c r="C5188" s="6" t="s">
        <v>129</v>
      </c>
      <c r="D5188" s="5">
        <v>44980</v>
      </c>
    </row>
    <row r="5189" spans="2:4">
      <c r="B5189" s="6" t="s">
        <v>432</v>
      </c>
      <c r="C5189" s="6" t="s">
        <v>123</v>
      </c>
      <c r="D5189" s="5">
        <v>44980</v>
      </c>
    </row>
    <row r="5190" spans="2:4">
      <c r="B5190" s="6" t="s">
        <v>268</v>
      </c>
      <c r="C5190" s="6" t="s">
        <v>118</v>
      </c>
      <c r="D5190" s="5">
        <v>44980</v>
      </c>
    </row>
    <row r="5191" spans="2:4">
      <c r="B5191" s="6" t="s">
        <v>179</v>
      </c>
      <c r="C5191" s="6" t="s">
        <v>115</v>
      </c>
      <c r="D5191" s="5">
        <v>44980</v>
      </c>
    </row>
    <row r="5192" spans="2:4">
      <c r="B5192" s="6" t="s">
        <v>327</v>
      </c>
      <c r="C5192" s="6" t="s">
        <v>99</v>
      </c>
      <c r="D5192" s="5">
        <v>44980</v>
      </c>
    </row>
    <row r="5193" spans="2:4">
      <c r="B5193" s="6" t="s">
        <v>146</v>
      </c>
      <c r="C5193" s="6" t="s">
        <v>272</v>
      </c>
      <c r="D5193" s="5">
        <v>44980</v>
      </c>
    </row>
    <row r="5194" spans="2:4">
      <c r="B5194" s="6" t="s">
        <v>195</v>
      </c>
      <c r="C5194" s="6" t="s">
        <v>143</v>
      </c>
      <c r="D5194" s="5">
        <v>44980</v>
      </c>
    </row>
    <row r="5195" spans="2:4">
      <c r="B5195" s="6" t="s">
        <v>344</v>
      </c>
      <c r="C5195" s="6" t="s">
        <v>607</v>
      </c>
      <c r="D5195" s="5">
        <v>44980</v>
      </c>
    </row>
    <row r="5196" spans="2:4">
      <c r="B5196" s="6" t="s">
        <v>415</v>
      </c>
      <c r="C5196" s="6" t="s">
        <v>159</v>
      </c>
      <c r="D5196" s="5">
        <v>44980</v>
      </c>
    </row>
    <row r="5197" spans="2:4">
      <c r="B5197" s="6" t="s">
        <v>172</v>
      </c>
      <c r="C5197" s="6" t="s">
        <v>412</v>
      </c>
      <c r="D5197" s="5">
        <v>44980</v>
      </c>
    </row>
    <row r="5198" spans="2:4">
      <c r="B5198" s="6" t="s">
        <v>134</v>
      </c>
      <c r="C5198" s="6" t="s">
        <v>319</v>
      </c>
      <c r="D5198" s="5">
        <v>44980</v>
      </c>
    </row>
    <row r="5199" spans="2:4">
      <c r="B5199" s="6" t="s">
        <v>94</v>
      </c>
      <c r="C5199" s="6" t="s">
        <v>183</v>
      </c>
      <c r="D5199" s="5">
        <v>44980</v>
      </c>
    </row>
    <row r="5200" spans="2:4">
      <c r="B5200" s="6" t="s">
        <v>584</v>
      </c>
      <c r="C5200" s="6" t="s">
        <v>342</v>
      </c>
      <c r="D5200" s="5">
        <v>44980</v>
      </c>
    </row>
    <row r="5201" spans="2:4">
      <c r="B5201" s="6" t="s">
        <v>323</v>
      </c>
      <c r="C5201" s="6" t="s">
        <v>378</v>
      </c>
      <c r="D5201" s="5">
        <v>44980</v>
      </c>
    </row>
    <row r="5202" spans="2:4">
      <c r="B5202" s="6" t="s">
        <v>388</v>
      </c>
      <c r="C5202" s="6" t="s">
        <v>383</v>
      </c>
      <c r="D5202" s="5">
        <v>44980</v>
      </c>
    </row>
    <row r="5203" spans="2:4">
      <c r="B5203" s="6" t="s">
        <v>359</v>
      </c>
      <c r="C5203" s="6" t="s">
        <v>348</v>
      </c>
      <c r="D5203" s="5">
        <v>44980</v>
      </c>
    </row>
    <row r="5204" spans="2:4">
      <c r="B5204" s="6" t="s">
        <v>208</v>
      </c>
      <c r="C5204" s="6" t="s">
        <v>184</v>
      </c>
      <c r="D5204" s="5">
        <v>44980</v>
      </c>
    </row>
    <row r="5205" spans="2:4">
      <c r="B5205" s="6" t="s">
        <v>385</v>
      </c>
      <c r="C5205" s="6" t="s">
        <v>331</v>
      </c>
      <c r="D5205" s="5">
        <v>44980</v>
      </c>
    </row>
    <row r="5206" spans="2:4">
      <c r="B5206" s="6" t="s">
        <v>64</v>
      </c>
      <c r="C5206" s="6" t="s">
        <v>59</v>
      </c>
      <c r="D5206" s="5">
        <v>44980</v>
      </c>
    </row>
    <row r="5207" spans="2:4">
      <c r="B5207" s="6" t="s">
        <v>640</v>
      </c>
      <c r="C5207" s="6" t="s">
        <v>588</v>
      </c>
      <c r="D5207" s="5">
        <v>44980</v>
      </c>
    </row>
    <row r="5208" spans="2:4">
      <c r="B5208" s="6" t="s">
        <v>295</v>
      </c>
      <c r="C5208" s="6" t="s">
        <v>343</v>
      </c>
      <c r="D5208" s="5">
        <v>44980</v>
      </c>
    </row>
    <row r="5209" spans="2:4">
      <c r="B5209" s="6" t="s">
        <v>615</v>
      </c>
      <c r="C5209" s="6" t="s">
        <v>304</v>
      </c>
      <c r="D5209" s="5">
        <v>44980</v>
      </c>
    </row>
    <row r="5210" spans="2:4">
      <c r="B5210" s="6" t="s">
        <v>329</v>
      </c>
      <c r="C5210" s="6" t="s">
        <v>305</v>
      </c>
      <c r="D5210" s="5">
        <v>44980</v>
      </c>
    </row>
    <row r="5211" spans="2:4">
      <c r="B5211" s="6" t="s">
        <v>370</v>
      </c>
      <c r="C5211" s="6" t="s">
        <v>240</v>
      </c>
      <c r="D5211" s="5">
        <v>44980</v>
      </c>
    </row>
    <row r="5212" spans="2:4">
      <c r="B5212" s="6" t="s">
        <v>358</v>
      </c>
      <c r="C5212" s="6" t="s">
        <v>296</v>
      </c>
      <c r="D5212" s="5">
        <v>44980</v>
      </c>
    </row>
    <row r="5213" spans="2:4">
      <c r="B5213" s="6" t="s">
        <v>60</v>
      </c>
      <c r="C5213" s="6" t="s">
        <v>68</v>
      </c>
      <c r="D5213" s="5">
        <v>44980</v>
      </c>
    </row>
    <row r="5214" spans="2:4">
      <c r="B5214" s="6" t="s">
        <v>313</v>
      </c>
      <c r="C5214" s="6" t="s">
        <v>373</v>
      </c>
      <c r="D5214" s="5">
        <v>44980</v>
      </c>
    </row>
    <row r="5215" spans="2:4">
      <c r="B5215" s="6" t="s">
        <v>72</v>
      </c>
      <c r="C5215" s="6" t="s">
        <v>74</v>
      </c>
      <c r="D5215" s="5">
        <v>44980</v>
      </c>
    </row>
    <row r="5216" spans="2:4">
      <c r="B5216" s="6" t="s">
        <v>164</v>
      </c>
      <c r="C5216" s="6" t="s">
        <v>71</v>
      </c>
      <c r="D5216" s="5">
        <v>44980</v>
      </c>
    </row>
    <row r="5217" spans="2:4">
      <c r="B5217" s="6" t="s">
        <v>250</v>
      </c>
      <c r="C5217" s="6" t="s">
        <v>309</v>
      </c>
      <c r="D5217" s="5">
        <v>44980</v>
      </c>
    </row>
    <row r="5218" spans="2:4">
      <c r="B5218" s="6" t="s">
        <v>603</v>
      </c>
      <c r="C5218" s="6" t="s">
        <v>321</v>
      </c>
      <c r="D5218" s="5">
        <v>44980</v>
      </c>
    </row>
    <row r="5219" spans="2:4">
      <c r="B5219" s="6" t="s">
        <v>324</v>
      </c>
      <c r="C5219" s="6" t="s">
        <v>397</v>
      </c>
      <c r="D5219" s="5">
        <v>44980</v>
      </c>
    </row>
    <row r="5220" spans="2:4">
      <c r="B5220" s="6" t="s">
        <v>391</v>
      </c>
      <c r="C5220" s="6" t="s">
        <v>389</v>
      </c>
      <c r="D5220" s="5">
        <v>44980</v>
      </c>
    </row>
    <row r="5221" spans="2:4">
      <c r="B5221" s="6" t="s">
        <v>190</v>
      </c>
      <c r="C5221" s="6" t="s">
        <v>402</v>
      </c>
      <c r="D5221" s="5">
        <v>44980</v>
      </c>
    </row>
    <row r="5222" spans="2:4">
      <c r="B5222" s="6" t="s">
        <v>153</v>
      </c>
      <c r="C5222" s="6" t="s">
        <v>158</v>
      </c>
      <c r="D5222" s="5">
        <v>44980</v>
      </c>
    </row>
    <row r="5223" spans="2:4">
      <c r="B5223" s="6" t="s">
        <v>206</v>
      </c>
      <c r="C5223" s="6" t="s">
        <v>393</v>
      </c>
      <c r="D5223" s="5">
        <v>44980</v>
      </c>
    </row>
    <row r="5224" spans="2:4">
      <c r="B5224" s="6" t="s">
        <v>398</v>
      </c>
      <c r="C5224" s="6" t="s">
        <v>427</v>
      </c>
      <c r="D5224" s="5">
        <v>44980</v>
      </c>
    </row>
    <row r="5225" spans="2:4">
      <c r="B5225" s="6" t="s">
        <v>160</v>
      </c>
      <c r="C5225" s="6" t="s">
        <v>165</v>
      </c>
      <c r="D5225" s="5">
        <v>44980</v>
      </c>
    </row>
    <row r="5226" spans="2:4">
      <c r="B5226" s="6" t="s">
        <v>423</v>
      </c>
      <c r="C5226" s="6" t="s">
        <v>420</v>
      </c>
      <c r="D5226" s="5">
        <v>44980</v>
      </c>
    </row>
    <row r="5227" spans="2:4">
      <c r="B5227" s="6" t="s">
        <v>599</v>
      </c>
      <c r="C5227" s="6" t="s">
        <v>586</v>
      </c>
      <c r="D5227" s="5">
        <v>44980</v>
      </c>
    </row>
    <row r="5228" spans="2:4">
      <c r="B5228" s="6" t="s">
        <v>621</v>
      </c>
      <c r="C5228" s="6" t="s">
        <v>141</v>
      </c>
      <c r="D5228" s="5">
        <v>44980</v>
      </c>
    </row>
    <row r="5229" spans="2:4">
      <c r="B5229" s="6" t="s">
        <v>77</v>
      </c>
      <c r="C5229" s="6" t="s">
        <v>75</v>
      </c>
      <c r="D5229" s="5">
        <v>44980</v>
      </c>
    </row>
    <row r="5230" spans="2:4">
      <c r="B5230" s="6" t="s">
        <v>132</v>
      </c>
      <c r="C5230" s="6" t="s">
        <v>166</v>
      </c>
      <c r="D5230" s="5">
        <v>44980</v>
      </c>
    </row>
    <row r="5231" spans="2:4">
      <c r="B5231" s="6" t="s">
        <v>93</v>
      </c>
      <c r="C5231" s="6" t="s">
        <v>78</v>
      </c>
      <c r="D5231" s="5">
        <v>44980</v>
      </c>
    </row>
    <row r="5232" spans="2:4">
      <c r="B5232" s="6" t="s">
        <v>404</v>
      </c>
      <c r="C5232" s="6" t="s">
        <v>161</v>
      </c>
      <c r="D5232" s="5">
        <v>44980</v>
      </c>
    </row>
    <row r="5233" spans="2:4">
      <c r="B5233" s="6" t="s">
        <v>428</v>
      </c>
      <c r="C5233" s="6" t="s">
        <v>154</v>
      </c>
      <c r="D5233" s="5">
        <v>44980</v>
      </c>
    </row>
    <row r="5234" spans="2:4">
      <c r="B5234" s="6" t="s">
        <v>142</v>
      </c>
      <c r="C5234" s="6" t="s">
        <v>128</v>
      </c>
      <c r="D5234" s="5">
        <v>44981</v>
      </c>
    </row>
    <row r="5235" spans="2:4">
      <c r="B5235" s="6" t="s">
        <v>173</v>
      </c>
      <c r="C5235" s="6" t="s">
        <v>353</v>
      </c>
      <c r="D5235" s="5">
        <v>44981</v>
      </c>
    </row>
    <row r="5236" spans="2:4">
      <c r="B5236" s="6" t="s">
        <v>117</v>
      </c>
      <c r="C5236" s="6" t="s">
        <v>130</v>
      </c>
      <c r="D5236" s="5">
        <v>44981</v>
      </c>
    </row>
    <row r="5237" spans="2:4">
      <c r="B5237" s="6" t="s">
        <v>204</v>
      </c>
      <c r="C5237" s="6" t="s">
        <v>112</v>
      </c>
      <c r="D5237" s="5">
        <v>44981</v>
      </c>
    </row>
    <row r="5238" spans="2:4">
      <c r="B5238" s="6" t="s">
        <v>233</v>
      </c>
      <c r="C5238" s="6" t="s">
        <v>285</v>
      </c>
      <c r="D5238" s="5">
        <v>44981</v>
      </c>
    </row>
    <row r="5239" spans="2:4">
      <c r="B5239" s="6" t="s">
        <v>230</v>
      </c>
      <c r="C5239" s="6" t="s">
        <v>361</v>
      </c>
      <c r="D5239" s="5">
        <v>44981</v>
      </c>
    </row>
    <row r="5240" spans="2:4">
      <c r="B5240" s="6" t="s">
        <v>211</v>
      </c>
      <c r="C5240" s="6" t="s">
        <v>244</v>
      </c>
      <c r="D5240" s="5">
        <v>44981</v>
      </c>
    </row>
    <row r="5241" spans="2:4">
      <c r="B5241" s="6" t="s">
        <v>36</v>
      </c>
      <c r="C5241" s="6" t="s">
        <v>39</v>
      </c>
      <c r="D5241" s="5">
        <v>44981</v>
      </c>
    </row>
    <row r="5242" spans="2:4">
      <c r="B5242" s="6" t="s">
        <v>121</v>
      </c>
      <c r="C5242" s="6" t="s">
        <v>200</v>
      </c>
      <c r="D5242" s="5">
        <v>44981</v>
      </c>
    </row>
    <row r="5243" spans="2:4">
      <c r="B5243" s="6" t="s">
        <v>136</v>
      </c>
      <c r="C5243" s="6" t="s">
        <v>193</v>
      </c>
      <c r="D5243" s="5">
        <v>44981</v>
      </c>
    </row>
    <row r="5244" spans="2:4">
      <c r="B5244" s="6" t="s">
        <v>194</v>
      </c>
      <c r="C5244" s="6" t="s">
        <v>294</v>
      </c>
      <c r="D5244" s="5">
        <v>44981</v>
      </c>
    </row>
    <row r="5245" spans="2:4">
      <c r="B5245" s="6" t="s">
        <v>289</v>
      </c>
      <c r="C5245" s="6" t="s">
        <v>286</v>
      </c>
      <c r="D5245" s="5">
        <v>44981</v>
      </c>
    </row>
    <row r="5246" spans="2:4">
      <c r="B5246" s="6" t="s">
        <v>355</v>
      </c>
      <c r="C5246" s="6" t="s">
        <v>356</v>
      </c>
      <c r="D5246" s="5">
        <v>44981</v>
      </c>
    </row>
    <row r="5247" spans="2:4">
      <c r="B5247" s="6" t="s">
        <v>354</v>
      </c>
      <c r="C5247" s="6" t="s">
        <v>248</v>
      </c>
      <c r="D5247" s="5">
        <v>44981</v>
      </c>
    </row>
    <row r="5248" spans="2:4">
      <c r="B5248" s="6" t="s">
        <v>120</v>
      </c>
      <c r="C5248" s="6" t="s">
        <v>255</v>
      </c>
      <c r="D5248" s="5">
        <v>44981</v>
      </c>
    </row>
    <row r="5249" spans="2:4">
      <c r="B5249" s="6" t="s">
        <v>201</v>
      </c>
      <c r="C5249" s="6" t="s">
        <v>610</v>
      </c>
      <c r="D5249" s="5">
        <v>44981</v>
      </c>
    </row>
    <row r="5250" spans="2:4">
      <c r="B5250" s="6" t="s">
        <v>292</v>
      </c>
      <c r="C5250" s="6" t="s">
        <v>147</v>
      </c>
      <c r="D5250" s="5">
        <v>44981</v>
      </c>
    </row>
    <row r="5251" spans="2:4">
      <c r="B5251" s="6" t="s">
        <v>333</v>
      </c>
      <c r="C5251" s="6" t="s">
        <v>367</v>
      </c>
      <c r="D5251" s="5">
        <v>44981</v>
      </c>
    </row>
    <row r="5252" spans="2:4">
      <c r="B5252" s="6" t="s">
        <v>365</v>
      </c>
      <c r="C5252" s="6" t="s">
        <v>306</v>
      </c>
      <c r="D5252" s="5">
        <v>44981</v>
      </c>
    </row>
    <row r="5253" spans="2:4">
      <c r="B5253" s="6" t="s">
        <v>150</v>
      </c>
      <c r="C5253" s="6" t="s">
        <v>316</v>
      </c>
      <c r="D5253" s="5">
        <v>44981</v>
      </c>
    </row>
    <row r="5254" spans="2:4">
      <c r="B5254" s="6" t="s">
        <v>409</v>
      </c>
      <c r="C5254" s="6" t="s">
        <v>259</v>
      </c>
      <c r="D5254" s="5">
        <v>44981</v>
      </c>
    </row>
    <row r="5255" spans="2:4">
      <c r="B5255" s="6" t="s">
        <v>386</v>
      </c>
      <c r="C5255" s="6" t="s">
        <v>152</v>
      </c>
      <c r="D5255" s="5">
        <v>44981</v>
      </c>
    </row>
    <row r="5256" spans="2:4">
      <c r="B5256" s="6" t="s">
        <v>381</v>
      </c>
      <c r="C5256" s="6" t="s">
        <v>424</v>
      </c>
      <c r="D5256" s="5">
        <v>44981</v>
      </c>
    </row>
    <row r="5257" spans="2:4">
      <c r="B5257" s="6" t="s">
        <v>163</v>
      </c>
      <c r="C5257" s="6" t="s">
        <v>198</v>
      </c>
      <c r="D5257" s="5">
        <v>44981</v>
      </c>
    </row>
    <row r="5258" spans="2:4">
      <c r="B5258" s="6" t="s">
        <v>394</v>
      </c>
      <c r="C5258" s="6" t="s">
        <v>169</v>
      </c>
      <c r="D5258" s="5">
        <v>44981</v>
      </c>
    </row>
    <row r="5259" spans="2:4">
      <c r="B5259" s="6" t="s">
        <v>251</v>
      </c>
      <c r="C5259" s="6" t="s">
        <v>188</v>
      </c>
      <c r="D5259" s="5">
        <v>44982</v>
      </c>
    </row>
    <row r="5260" spans="2:4">
      <c r="B5260" s="6" t="s">
        <v>44</v>
      </c>
      <c r="C5260" s="6" t="s">
        <v>52</v>
      </c>
      <c r="D5260" s="5">
        <v>44982</v>
      </c>
    </row>
    <row r="5261" spans="2:4">
      <c r="B5261" s="6" t="s">
        <v>82</v>
      </c>
      <c r="C5261" s="6" t="s">
        <v>84</v>
      </c>
      <c r="D5261" s="5">
        <v>44982</v>
      </c>
    </row>
    <row r="5262" spans="2:4">
      <c r="B5262" s="6" t="s">
        <v>314</v>
      </c>
      <c r="C5262" s="6" t="s">
        <v>308</v>
      </c>
      <c r="D5262" s="5">
        <v>44982</v>
      </c>
    </row>
    <row r="5263" spans="2:4">
      <c r="B5263" s="6" t="s">
        <v>131</v>
      </c>
      <c r="C5263" s="6" t="s">
        <v>148</v>
      </c>
      <c r="D5263" s="5">
        <v>44982</v>
      </c>
    </row>
    <row r="5264" spans="2:4">
      <c r="B5264" s="6" t="s">
        <v>77</v>
      </c>
      <c r="C5264" s="6" t="s">
        <v>74</v>
      </c>
      <c r="D5264" s="5">
        <v>44982</v>
      </c>
    </row>
    <row r="5265" spans="2:4">
      <c r="B5265" s="6" t="s">
        <v>395</v>
      </c>
      <c r="C5265" s="6" t="s">
        <v>297</v>
      </c>
      <c r="D5265" s="5">
        <v>44982</v>
      </c>
    </row>
    <row r="5266" spans="2:4">
      <c r="B5266" s="6" t="s">
        <v>171</v>
      </c>
      <c r="C5266" s="6" t="s">
        <v>282</v>
      </c>
      <c r="D5266" s="5">
        <v>44982</v>
      </c>
    </row>
    <row r="5267" spans="2:4">
      <c r="B5267" s="6" t="s">
        <v>362</v>
      </c>
      <c r="C5267" s="6" t="s">
        <v>400</v>
      </c>
      <c r="D5267" s="5">
        <v>44982</v>
      </c>
    </row>
    <row r="5268" spans="2:4">
      <c r="B5268" s="6" t="s">
        <v>165</v>
      </c>
      <c r="C5268" s="6" t="s">
        <v>396</v>
      </c>
      <c r="D5268" s="5">
        <v>44982</v>
      </c>
    </row>
    <row r="5269" spans="2:4">
      <c r="B5269" s="6" t="s">
        <v>427</v>
      </c>
      <c r="C5269" s="6" t="s">
        <v>161</v>
      </c>
      <c r="D5269" s="5">
        <v>44982</v>
      </c>
    </row>
    <row r="5270" spans="2:4">
      <c r="B5270" s="6" t="s">
        <v>35</v>
      </c>
      <c r="C5270" s="6" t="s">
        <v>38</v>
      </c>
      <c r="D5270" s="5">
        <v>44982</v>
      </c>
    </row>
    <row r="5271" spans="2:4">
      <c r="B5271" s="6" t="s">
        <v>27</v>
      </c>
      <c r="C5271" s="6" t="s">
        <v>34</v>
      </c>
      <c r="D5271" s="5">
        <v>44982</v>
      </c>
    </row>
    <row r="5272" spans="2:4">
      <c r="B5272" s="6" t="s">
        <v>31</v>
      </c>
      <c r="C5272" s="6" t="s">
        <v>29</v>
      </c>
      <c r="D5272" s="5">
        <v>44982</v>
      </c>
    </row>
    <row r="5273" spans="2:4">
      <c r="B5273" s="6" t="s">
        <v>149</v>
      </c>
      <c r="C5273" s="6" t="s">
        <v>51</v>
      </c>
      <c r="D5273" s="5">
        <v>44982</v>
      </c>
    </row>
    <row r="5274" spans="2:4">
      <c r="B5274" s="6" t="s">
        <v>302</v>
      </c>
      <c r="C5274" s="6" t="s">
        <v>245</v>
      </c>
      <c r="D5274" s="5">
        <v>44982</v>
      </c>
    </row>
    <row r="5275" spans="2:4">
      <c r="B5275" s="6" t="s">
        <v>61</v>
      </c>
      <c r="C5275" s="6" t="s">
        <v>55</v>
      </c>
      <c r="D5275" s="5">
        <v>44982</v>
      </c>
    </row>
    <row r="5276" spans="2:4">
      <c r="B5276" s="6" t="s">
        <v>278</v>
      </c>
      <c r="C5276" s="6" t="s">
        <v>114</v>
      </c>
      <c r="D5276" s="5">
        <v>44982</v>
      </c>
    </row>
    <row r="5277" spans="2:4">
      <c r="B5277" s="6" t="s">
        <v>89</v>
      </c>
      <c r="C5277" s="6" t="s">
        <v>87</v>
      </c>
      <c r="D5277" s="5">
        <v>44982</v>
      </c>
    </row>
    <row r="5278" spans="2:4">
      <c r="B5278" s="6" t="s">
        <v>209</v>
      </c>
      <c r="C5278" s="6" t="s">
        <v>127</v>
      </c>
      <c r="D5278" s="5">
        <v>44982</v>
      </c>
    </row>
    <row r="5279" spans="2:4">
      <c r="B5279" s="6" t="s">
        <v>405</v>
      </c>
      <c r="C5279" s="6" t="s">
        <v>175</v>
      </c>
      <c r="D5279" s="5">
        <v>44982</v>
      </c>
    </row>
    <row r="5280" spans="2:4">
      <c r="B5280" s="6" t="s">
        <v>246</v>
      </c>
      <c r="C5280" s="6" t="s">
        <v>336</v>
      </c>
      <c r="D5280" s="5">
        <v>44982</v>
      </c>
    </row>
    <row r="5281" spans="2:4">
      <c r="B5281" s="6" t="s">
        <v>410</v>
      </c>
      <c r="C5281" s="6" t="s">
        <v>587</v>
      </c>
      <c r="D5281" s="5">
        <v>44982</v>
      </c>
    </row>
    <row r="5282" spans="2:4">
      <c r="B5282" s="6" t="s">
        <v>422</v>
      </c>
      <c r="C5282" s="6" t="s">
        <v>266</v>
      </c>
      <c r="D5282" s="5">
        <v>44982</v>
      </c>
    </row>
    <row r="5283" spans="2:4">
      <c r="B5283" s="6" t="s">
        <v>28</v>
      </c>
      <c r="C5283" s="6" t="s">
        <v>30</v>
      </c>
      <c r="D5283" s="5">
        <v>44982</v>
      </c>
    </row>
    <row r="5284" spans="2:4">
      <c r="B5284" s="6" t="s">
        <v>70</v>
      </c>
      <c r="C5284" s="6" t="s">
        <v>73</v>
      </c>
      <c r="D5284" s="5">
        <v>44982</v>
      </c>
    </row>
    <row r="5285" spans="2:4">
      <c r="B5285" s="6" t="s">
        <v>113</v>
      </c>
      <c r="C5285" s="6" t="s">
        <v>137</v>
      </c>
      <c r="D5285" s="5">
        <v>44982</v>
      </c>
    </row>
    <row r="5286" spans="2:4">
      <c r="B5286" s="6" t="s">
        <v>322</v>
      </c>
      <c r="C5286" s="6" t="s">
        <v>33</v>
      </c>
      <c r="D5286" s="5">
        <v>44982</v>
      </c>
    </row>
    <row r="5287" spans="2:4">
      <c r="B5287" s="6" t="s">
        <v>50</v>
      </c>
      <c r="C5287" s="6" t="s">
        <v>43</v>
      </c>
      <c r="D5287" s="5">
        <v>44982</v>
      </c>
    </row>
    <row r="5288" spans="2:4">
      <c r="B5288" s="6" t="s">
        <v>48</v>
      </c>
      <c r="C5288" s="6" t="s">
        <v>45</v>
      </c>
      <c r="D5288" s="5">
        <v>44982</v>
      </c>
    </row>
    <row r="5289" spans="2:4">
      <c r="B5289" s="6" t="s">
        <v>126</v>
      </c>
      <c r="C5289" s="6" t="s">
        <v>174</v>
      </c>
      <c r="D5289" s="5">
        <v>44982</v>
      </c>
    </row>
    <row r="5290" spans="2:4">
      <c r="B5290" s="6" t="s">
        <v>108</v>
      </c>
      <c r="C5290" s="6" t="s">
        <v>97</v>
      </c>
      <c r="D5290" s="5">
        <v>44982</v>
      </c>
    </row>
    <row r="5291" spans="2:4">
      <c r="B5291" s="6" t="s">
        <v>419</v>
      </c>
      <c r="C5291" s="6" t="s">
        <v>351</v>
      </c>
      <c r="D5291" s="5">
        <v>44982</v>
      </c>
    </row>
    <row r="5292" spans="2:4">
      <c r="B5292" s="6" t="s">
        <v>138</v>
      </c>
      <c r="C5292" s="6" t="s">
        <v>107</v>
      </c>
      <c r="D5292" s="5">
        <v>44982</v>
      </c>
    </row>
    <row r="5293" spans="2:4">
      <c r="B5293" s="6" t="s">
        <v>421</v>
      </c>
      <c r="C5293" s="6" t="s">
        <v>376</v>
      </c>
      <c r="D5293" s="5">
        <v>44982</v>
      </c>
    </row>
    <row r="5294" spans="2:4">
      <c r="B5294" s="6" t="s">
        <v>191</v>
      </c>
      <c r="C5294" s="6" t="s">
        <v>110</v>
      </c>
      <c r="D5294" s="5">
        <v>44982</v>
      </c>
    </row>
    <row r="5295" spans="2:4">
      <c r="B5295" s="6" t="s">
        <v>273</v>
      </c>
      <c r="C5295" s="6" t="s">
        <v>425</v>
      </c>
      <c r="D5295" s="5">
        <v>44982</v>
      </c>
    </row>
    <row r="5296" spans="2:4">
      <c r="B5296" s="6" t="s">
        <v>202</v>
      </c>
      <c r="C5296" s="6" t="s">
        <v>298</v>
      </c>
      <c r="D5296" s="5">
        <v>44982</v>
      </c>
    </row>
    <row r="5297" spans="2:4">
      <c r="B5297" s="6" t="s">
        <v>140</v>
      </c>
      <c r="C5297" s="6" t="s">
        <v>203</v>
      </c>
      <c r="D5297" s="5">
        <v>44982</v>
      </c>
    </row>
    <row r="5298" spans="2:4">
      <c r="B5298" s="6" t="s">
        <v>359</v>
      </c>
      <c r="C5298" s="6" t="s">
        <v>330</v>
      </c>
      <c r="D5298" s="5">
        <v>44982</v>
      </c>
    </row>
    <row r="5299" spans="2:4">
      <c r="B5299" s="6" t="s">
        <v>196</v>
      </c>
      <c r="C5299" s="6" t="s">
        <v>348</v>
      </c>
      <c r="D5299" s="5">
        <v>44982</v>
      </c>
    </row>
    <row r="5300" spans="2:4">
      <c r="B5300" s="6" t="s">
        <v>268</v>
      </c>
      <c r="C5300" s="6" t="s">
        <v>179</v>
      </c>
      <c r="D5300" s="5">
        <v>44982</v>
      </c>
    </row>
    <row r="5301" spans="2:4">
      <c r="B5301" s="6" t="s">
        <v>413</v>
      </c>
      <c r="C5301" s="6" t="s">
        <v>115</v>
      </c>
      <c r="D5301" s="5">
        <v>44982</v>
      </c>
    </row>
    <row r="5302" spans="2:4">
      <c r="B5302" s="6" t="s">
        <v>178</v>
      </c>
      <c r="C5302" s="6" t="s">
        <v>272</v>
      </c>
      <c r="D5302" s="5">
        <v>44982</v>
      </c>
    </row>
    <row r="5303" spans="2:4">
      <c r="B5303" s="6" t="s">
        <v>349</v>
      </c>
      <c r="C5303" s="6" t="s">
        <v>124</v>
      </c>
      <c r="D5303" s="5">
        <v>44982</v>
      </c>
    </row>
    <row r="5304" spans="2:4">
      <c r="B5304" s="6" t="s">
        <v>323</v>
      </c>
      <c r="C5304" s="6" t="s">
        <v>607</v>
      </c>
      <c r="D5304" s="5">
        <v>44982</v>
      </c>
    </row>
    <row r="5305" spans="2:4">
      <c r="B5305" s="6" t="s">
        <v>102</v>
      </c>
      <c r="C5305" s="6" t="s">
        <v>111</v>
      </c>
      <c r="D5305" s="5">
        <v>44982</v>
      </c>
    </row>
    <row r="5306" spans="2:4">
      <c r="B5306" s="6" t="s">
        <v>385</v>
      </c>
      <c r="C5306" s="6" t="s">
        <v>184</v>
      </c>
      <c r="D5306" s="5">
        <v>44982</v>
      </c>
    </row>
    <row r="5307" spans="2:4">
      <c r="B5307" s="6" t="s">
        <v>305</v>
      </c>
      <c r="C5307" s="6" t="s">
        <v>250</v>
      </c>
      <c r="D5307" s="5">
        <v>44982</v>
      </c>
    </row>
    <row r="5308" spans="2:4">
      <c r="B5308" s="6" t="s">
        <v>101</v>
      </c>
      <c r="C5308" s="6" t="s">
        <v>256</v>
      </c>
      <c r="D5308" s="5">
        <v>44982</v>
      </c>
    </row>
    <row r="5309" spans="2:4">
      <c r="B5309" s="6" t="s">
        <v>67</v>
      </c>
      <c r="C5309" s="6" t="s">
        <v>63</v>
      </c>
      <c r="D5309" s="5">
        <v>44982</v>
      </c>
    </row>
    <row r="5310" spans="2:4">
      <c r="B5310" s="6" t="s">
        <v>85</v>
      </c>
      <c r="C5310" s="6" t="s">
        <v>91</v>
      </c>
      <c r="D5310" s="5">
        <v>44982</v>
      </c>
    </row>
    <row r="5311" spans="2:4">
      <c r="B5311" s="6" t="s">
        <v>247</v>
      </c>
      <c r="C5311" s="6" t="s">
        <v>109</v>
      </c>
      <c r="D5311" s="5">
        <v>44982</v>
      </c>
    </row>
    <row r="5312" spans="2:4">
      <c r="B5312" s="6" t="s">
        <v>80</v>
      </c>
      <c r="C5312" s="6" t="s">
        <v>83</v>
      </c>
      <c r="D5312" s="5">
        <v>44982</v>
      </c>
    </row>
    <row r="5313" spans="2:4">
      <c r="B5313" s="6" t="s">
        <v>26</v>
      </c>
      <c r="C5313" s="6" t="s">
        <v>32</v>
      </c>
      <c r="D5313" s="5">
        <v>44982</v>
      </c>
    </row>
    <row r="5314" spans="2:4">
      <c r="B5314" s="6" t="s">
        <v>277</v>
      </c>
      <c r="C5314" s="6" t="s">
        <v>96</v>
      </c>
      <c r="D5314" s="5">
        <v>44982</v>
      </c>
    </row>
    <row r="5315" spans="2:4">
      <c r="B5315" s="6" t="s">
        <v>170</v>
      </c>
      <c r="C5315" s="6" t="s">
        <v>382</v>
      </c>
      <c r="D5315" s="5">
        <v>44982</v>
      </c>
    </row>
    <row r="5316" spans="2:4">
      <c r="B5316" s="6" t="s">
        <v>238</v>
      </c>
      <c r="C5316" s="6" t="s">
        <v>264</v>
      </c>
      <c r="D5316" s="5">
        <v>44982</v>
      </c>
    </row>
    <row r="5317" spans="2:4">
      <c r="B5317" s="6" t="s">
        <v>116</v>
      </c>
      <c r="C5317" s="6" t="s">
        <v>335</v>
      </c>
      <c r="D5317" s="5">
        <v>44982</v>
      </c>
    </row>
    <row r="5318" spans="2:4">
      <c r="B5318" s="6" t="s">
        <v>242</v>
      </c>
      <c r="C5318" s="6" t="s">
        <v>373</v>
      </c>
      <c r="D5318" s="5">
        <v>44982</v>
      </c>
    </row>
    <row r="5319" spans="2:4">
      <c r="B5319" s="6" t="s">
        <v>220</v>
      </c>
      <c r="C5319" s="6" t="s">
        <v>176</v>
      </c>
      <c r="D5319" s="5">
        <v>44982</v>
      </c>
    </row>
    <row r="5320" spans="2:4">
      <c r="B5320" s="6" t="s">
        <v>182</v>
      </c>
      <c r="C5320" s="6" t="s">
        <v>143</v>
      </c>
      <c r="D5320" s="5">
        <v>44982</v>
      </c>
    </row>
    <row r="5321" spans="2:4">
      <c r="B5321" s="6" t="s">
        <v>276</v>
      </c>
      <c r="C5321" s="6" t="s">
        <v>310</v>
      </c>
      <c r="D5321" s="5">
        <v>44982</v>
      </c>
    </row>
    <row r="5322" spans="2:4">
      <c r="B5322" s="6" t="s">
        <v>319</v>
      </c>
      <c r="C5322" s="6" t="s">
        <v>584</v>
      </c>
      <c r="D5322" s="5">
        <v>44982</v>
      </c>
    </row>
    <row r="5323" spans="2:4">
      <c r="B5323" s="6" t="s">
        <v>433</v>
      </c>
      <c r="C5323" s="6" t="s">
        <v>162</v>
      </c>
      <c r="D5323" s="5">
        <v>44982</v>
      </c>
    </row>
    <row r="5324" spans="2:4">
      <c r="B5324" s="6" t="s">
        <v>287</v>
      </c>
      <c r="C5324" s="6" t="s">
        <v>261</v>
      </c>
      <c r="D5324" s="5">
        <v>44982</v>
      </c>
    </row>
    <row r="5325" spans="2:4">
      <c r="B5325" s="6" t="s">
        <v>436</v>
      </c>
      <c r="C5325" s="6" t="s">
        <v>267</v>
      </c>
      <c r="D5325" s="5">
        <v>44982</v>
      </c>
    </row>
    <row r="5326" spans="2:4">
      <c r="B5326" s="6" t="s">
        <v>105</v>
      </c>
      <c r="C5326" s="6" t="s">
        <v>414</v>
      </c>
      <c r="D5326" s="5">
        <v>44982</v>
      </c>
    </row>
    <row r="5327" spans="2:4">
      <c r="B5327" s="6" t="s">
        <v>338</v>
      </c>
      <c r="C5327" s="6" t="s">
        <v>98</v>
      </c>
      <c r="D5327" s="5">
        <v>44982</v>
      </c>
    </row>
    <row r="5328" spans="2:4">
      <c r="B5328" s="6" t="s">
        <v>432</v>
      </c>
      <c r="C5328" s="6" t="s">
        <v>99</v>
      </c>
      <c r="D5328" s="5">
        <v>44982</v>
      </c>
    </row>
    <row r="5329" spans="2:4">
      <c r="B5329" s="6" t="s">
        <v>426</v>
      </c>
      <c r="C5329" s="6" t="s">
        <v>403</v>
      </c>
      <c r="D5329" s="5">
        <v>44982</v>
      </c>
    </row>
    <row r="5330" spans="2:4">
      <c r="B5330" s="6" t="s">
        <v>183</v>
      </c>
      <c r="C5330" s="6" t="s">
        <v>342</v>
      </c>
      <c r="D5330" s="5">
        <v>44982</v>
      </c>
    </row>
    <row r="5331" spans="2:4">
      <c r="B5331" s="6" t="s">
        <v>370</v>
      </c>
      <c r="C5331" s="6" t="s">
        <v>321</v>
      </c>
      <c r="D5331" s="5">
        <v>44982</v>
      </c>
    </row>
    <row r="5332" spans="2:4">
      <c r="B5332" s="6" t="s">
        <v>309</v>
      </c>
      <c r="C5332" s="6" t="s">
        <v>615</v>
      </c>
      <c r="D5332" s="5">
        <v>44982</v>
      </c>
    </row>
    <row r="5333" spans="2:4">
      <c r="B5333" s="6" t="s">
        <v>329</v>
      </c>
      <c r="C5333" s="6" t="s">
        <v>304</v>
      </c>
      <c r="D5333" s="5">
        <v>44982</v>
      </c>
    </row>
    <row r="5334" spans="2:4">
      <c r="B5334" s="6" t="s">
        <v>603</v>
      </c>
      <c r="C5334" s="6" t="s">
        <v>240</v>
      </c>
      <c r="D5334" s="5">
        <v>44982</v>
      </c>
    </row>
    <row r="5335" spans="2:4">
      <c r="B5335" s="6" t="s">
        <v>232</v>
      </c>
      <c r="C5335" s="6" t="s">
        <v>181</v>
      </c>
      <c r="D5335" s="5">
        <v>44982</v>
      </c>
    </row>
    <row r="5336" spans="2:4">
      <c r="B5336" s="6" t="s">
        <v>156</v>
      </c>
      <c r="C5336" s="6" t="s">
        <v>399</v>
      </c>
      <c r="D5336" s="5">
        <v>44982</v>
      </c>
    </row>
    <row r="5337" spans="2:4">
      <c r="B5337" s="6" t="s">
        <v>580</v>
      </c>
      <c r="C5337" s="6" t="s">
        <v>360</v>
      </c>
      <c r="D5337" s="5">
        <v>44982</v>
      </c>
    </row>
    <row r="5338" spans="2:4">
      <c r="B5338" s="6" t="s">
        <v>164</v>
      </c>
      <c r="C5338" s="6" t="s">
        <v>78</v>
      </c>
      <c r="D5338" s="5">
        <v>44982</v>
      </c>
    </row>
    <row r="5339" spans="2:4">
      <c r="B5339" s="6" t="s">
        <v>49</v>
      </c>
      <c r="C5339" s="6" t="s">
        <v>47</v>
      </c>
      <c r="D5339" s="5">
        <v>44982</v>
      </c>
    </row>
    <row r="5340" spans="2:4">
      <c r="B5340" s="6" t="s">
        <v>269</v>
      </c>
      <c r="C5340" s="6" t="s">
        <v>253</v>
      </c>
      <c r="D5340" s="5">
        <v>44982</v>
      </c>
    </row>
    <row r="5341" spans="2:4">
      <c r="B5341" s="6" t="s">
        <v>295</v>
      </c>
      <c r="C5341" s="6" t="s">
        <v>588</v>
      </c>
      <c r="D5341" s="5">
        <v>44982</v>
      </c>
    </row>
    <row r="5342" spans="2:4">
      <c r="B5342" s="6" t="s">
        <v>288</v>
      </c>
      <c r="C5342" s="6" t="s">
        <v>180</v>
      </c>
      <c r="D5342" s="5">
        <v>44982</v>
      </c>
    </row>
    <row r="5343" spans="2:4">
      <c r="B5343" s="6" t="s">
        <v>151</v>
      </c>
      <c r="C5343" s="6" t="s">
        <v>357</v>
      </c>
      <c r="D5343" s="5">
        <v>44982</v>
      </c>
    </row>
    <row r="5344" spans="2:4">
      <c r="B5344" s="6" t="s">
        <v>640</v>
      </c>
      <c r="C5344" s="6" t="s">
        <v>343</v>
      </c>
      <c r="D5344" s="5">
        <v>44982</v>
      </c>
    </row>
    <row r="5345" spans="2:4">
      <c r="B5345" s="6" t="s">
        <v>415</v>
      </c>
      <c r="C5345" s="6" t="s">
        <v>378</v>
      </c>
      <c r="D5345" s="5">
        <v>44982</v>
      </c>
    </row>
    <row r="5346" spans="2:4">
      <c r="B5346" s="6" t="s">
        <v>270</v>
      </c>
      <c r="C5346" s="6" t="s">
        <v>192</v>
      </c>
      <c r="D5346" s="5">
        <v>44982</v>
      </c>
    </row>
    <row r="5347" spans="2:4">
      <c r="B5347" s="6" t="s">
        <v>86</v>
      </c>
      <c r="C5347" s="6" t="s">
        <v>90</v>
      </c>
      <c r="D5347" s="5">
        <v>44982</v>
      </c>
    </row>
    <row r="5348" spans="2:4">
      <c r="B5348" s="6" t="s">
        <v>214</v>
      </c>
      <c r="C5348" s="6" t="s">
        <v>281</v>
      </c>
      <c r="D5348" s="5">
        <v>44982</v>
      </c>
    </row>
    <row r="5349" spans="2:4">
      <c r="B5349" s="6" t="s">
        <v>185</v>
      </c>
      <c r="C5349" s="6" t="s">
        <v>79</v>
      </c>
      <c r="D5349" s="5">
        <v>44982</v>
      </c>
    </row>
    <row r="5350" spans="2:4">
      <c r="B5350" s="6" t="s">
        <v>133</v>
      </c>
      <c r="C5350" s="6" t="s">
        <v>350</v>
      </c>
      <c r="D5350" s="5">
        <v>44982</v>
      </c>
    </row>
    <row r="5351" spans="2:4">
      <c r="B5351" s="6" t="s">
        <v>337</v>
      </c>
      <c r="C5351" s="6" t="s">
        <v>210</v>
      </c>
      <c r="D5351" s="5">
        <v>44982</v>
      </c>
    </row>
    <row r="5352" spans="2:4">
      <c r="B5352" s="6" t="s">
        <v>391</v>
      </c>
      <c r="C5352" s="6" t="s">
        <v>402</v>
      </c>
      <c r="D5352" s="5">
        <v>44982</v>
      </c>
    </row>
    <row r="5353" spans="2:4">
      <c r="B5353" s="6" t="s">
        <v>364</v>
      </c>
      <c r="C5353" s="6" t="s">
        <v>249</v>
      </c>
      <c r="D5353" s="5">
        <v>44982</v>
      </c>
    </row>
    <row r="5354" spans="2:4">
      <c r="B5354" s="6" t="s">
        <v>303</v>
      </c>
      <c r="C5354" s="6" t="s">
        <v>332</v>
      </c>
      <c r="D5354" s="5">
        <v>44982</v>
      </c>
    </row>
    <row r="5355" spans="2:4">
      <c r="B5355" s="6" t="s">
        <v>231</v>
      </c>
      <c r="C5355" s="6" t="s">
        <v>341</v>
      </c>
      <c r="D5355" s="5">
        <v>44982</v>
      </c>
    </row>
    <row r="5356" spans="2:4">
      <c r="B5356" s="6" t="s">
        <v>53</v>
      </c>
      <c r="C5356" s="6" t="s">
        <v>46</v>
      </c>
      <c r="D5356" s="5">
        <v>44982</v>
      </c>
    </row>
    <row r="5357" spans="2:4">
      <c r="B5357" s="6" t="s">
        <v>106</v>
      </c>
      <c r="C5357" s="6" t="s">
        <v>205</v>
      </c>
      <c r="D5357" s="5">
        <v>44982</v>
      </c>
    </row>
    <row r="5358" spans="2:4">
      <c r="B5358" s="6" t="s">
        <v>215</v>
      </c>
      <c r="C5358" s="6" t="s">
        <v>177</v>
      </c>
      <c r="D5358" s="5">
        <v>44982</v>
      </c>
    </row>
    <row r="5359" spans="2:4">
      <c r="B5359" s="6" t="s">
        <v>100</v>
      </c>
      <c r="C5359" s="6" t="s">
        <v>125</v>
      </c>
      <c r="D5359" s="5">
        <v>44982</v>
      </c>
    </row>
    <row r="5360" spans="2:4">
      <c r="B5360" s="6" t="s">
        <v>274</v>
      </c>
      <c r="C5360" s="6" t="s">
        <v>368</v>
      </c>
      <c r="D5360" s="5">
        <v>44982</v>
      </c>
    </row>
    <row r="5361" spans="2:4">
      <c r="B5361" s="6" t="s">
        <v>94</v>
      </c>
      <c r="C5361" s="6" t="s">
        <v>134</v>
      </c>
      <c r="D5361" s="5">
        <v>44982</v>
      </c>
    </row>
    <row r="5362" spans="2:4">
      <c r="B5362" s="6" t="s">
        <v>345</v>
      </c>
      <c r="C5362" s="6" t="s">
        <v>383</v>
      </c>
      <c r="D5362" s="5">
        <v>44982</v>
      </c>
    </row>
    <row r="5363" spans="2:4">
      <c r="B5363" s="6" t="s">
        <v>103</v>
      </c>
      <c r="C5363" s="6" t="s">
        <v>104</v>
      </c>
      <c r="D5363" s="5">
        <v>44982</v>
      </c>
    </row>
    <row r="5364" spans="2:4">
      <c r="B5364" s="6" t="s">
        <v>172</v>
      </c>
      <c r="C5364" s="6" t="s">
        <v>418</v>
      </c>
      <c r="D5364" s="5">
        <v>44982</v>
      </c>
    </row>
    <row r="5365" spans="2:4">
      <c r="B5365" s="6" t="s">
        <v>324</v>
      </c>
      <c r="C5365" s="6" t="s">
        <v>296</v>
      </c>
      <c r="D5365" s="5">
        <v>44982</v>
      </c>
    </row>
    <row r="5366" spans="2:4">
      <c r="B5366" s="6" t="s">
        <v>327</v>
      </c>
      <c r="C5366" s="6" t="s">
        <v>123</v>
      </c>
      <c r="D5366" s="5">
        <v>44982</v>
      </c>
    </row>
    <row r="5367" spans="2:4">
      <c r="B5367" s="6" t="s">
        <v>129</v>
      </c>
      <c r="C5367" s="6" t="s">
        <v>118</v>
      </c>
      <c r="D5367" s="5">
        <v>44982</v>
      </c>
    </row>
    <row r="5368" spans="2:4">
      <c r="B5368" s="6" t="s">
        <v>420</v>
      </c>
      <c r="C5368" s="6" t="s">
        <v>599</v>
      </c>
      <c r="D5368" s="5">
        <v>44982</v>
      </c>
    </row>
    <row r="5369" spans="2:4">
      <c r="B5369" s="6" t="s">
        <v>58</v>
      </c>
      <c r="C5369" s="6" t="s">
        <v>62</v>
      </c>
      <c r="D5369" s="5">
        <v>44982</v>
      </c>
    </row>
    <row r="5370" spans="2:4">
      <c r="B5370" s="6" t="s">
        <v>37</v>
      </c>
      <c r="C5370" s="6" t="s">
        <v>155</v>
      </c>
      <c r="D5370" s="5">
        <v>44982</v>
      </c>
    </row>
    <row r="5371" spans="2:4">
      <c r="B5371" s="6" t="s">
        <v>344</v>
      </c>
      <c r="C5371" s="6" t="s">
        <v>388</v>
      </c>
      <c r="D5371" s="5">
        <v>44982</v>
      </c>
    </row>
    <row r="5372" spans="2:4">
      <c r="B5372" s="6" t="s">
        <v>275</v>
      </c>
      <c r="C5372" s="6" t="s">
        <v>212</v>
      </c>
      <c r="D5372" s="5">
        <v>44982</v>
      </c>
    </row>
    <row r="5373" spans="2:4">
      <c r="B5373" s="6" t="s">
        <v>313</v>
      </c>
      <c r="C5373" s="6" t="s">
        <v>195</v>
      </c>
      <c r="D5373" s="5">
        <v>44982</v>
      </c>
    </row>
    <row r="5374" spans="2:4">
      <c r="B5374" s="6" t="s">
        <v>208</v>
      </c>
      <c r="C5374" s="6" t="s">
        <v>331</v>
      </c>
      <c r="D5374" s="5">
        <v>44982</v>
      </c>
    </row>
    <row r="5375" spans="2:4">
      <c r="B5375" s="6" t="s">
        <v>358</v>
      </c>
      <c r="C5375" s="6" t="s">
        <v>397</v>
      </c>
      <c r="D5375" s="5">
        <v>44982</v>
      </c>
    </row>
    <row r="5376" spans="2:4">
      <c r="B5376" s="6" t="s">
        <v>153</v>
      </c>
      <c r="C5376" s="6" t="s">
        <v>393</v>
      </c>
      <c r="D5376" s="5">
        <v>44982</v>
      </c>
    </row>
    <row r="5377" spans="2:4">
      <c r="B5377" s="6" t="s">
        <v>88</v>
      </c>
      <c r="C5377" s="6" t="s">
        <v>81</v>
      </c>
      <c r="D5377" s="5">
        <v>44982</v>
      </c>
    </row>
    <row r="5378" spans="2:4">
      <c r="B5378" s="6" t="s">
        <v>190</v>
      </c>
      <c r="C5378" s="6" t="s">
        <v>389</v>
      </c>
      <c r="D5378" s="5">
        <v>44982</v>
      </c>
    </row>
    <row r="5379" spans="2:4">
      <c r="B5379" s="6" t="s">
        <v>206</v>
      </c>
      <c r="C5379" s="6" t="s">
        <v>158</v>
      </c>
      <c r="D5379" s="5">
        <v>44982</v>
      </c>
    </row>
    <row r="5380" spans="2:4">
      <c r="B5380" s="6" t="s">
        <v>132</v>
      </c>
      <c r="C5380" s="6" t="s">
        <v>398</v>
      </c>
      <c r="D5380" s="5">
        <v>44982</v>
      </c>
    </row>
    <row r="5381" spans="2:4">
      <c r="B5381" s="6" t="s">
        <v>189</v>
      </c>
      <c r="C5381" s="6" t="s">
        <v>392</v>
      </c>
      <c r="D5381" s="5">
        <v>44982</v>
      </c>
    </row>
    <row r="5382" spans="2:4">
      <c r="B5382" s="6" t="s">
        <v>76</v>
      </c>
      <c r="C5382" s="6" t="s">
        <v>69</v>
      </c>
      <c r="D5382" s="5">
        <v>44982</v>
      </c>
    </row>
    <row r="5383" spans="2:4">
      <c r="B5383" s="6" t="s">
        <v>166</v>
      </c>
      <c r="C5383" s="6" t="s">
        <v>160</v>
      </c>
      <c r="D5383" s="5">
        <v>44982</v>
      </c>
    </row>
    <row r="5384" spans="2:4">
      <c r="B5384" s="6" t="s">
        <v>157</v>
      </c>
      <c r="C5384" s="6" t="s">
        <v>404</v>
      </c>
      <c r="D5384" s="5">
        <v>44982</v>
      </c>
    </row>
    <row r="5385" spans="2:4">
      <c r="B5385" s="6" t="s">
        <v>207</v>
      </c>
      <c r="C5385" s="6" t="s">
        <v>141</v>
      </c>
      <c r="D5385" s="5">
        <v>44982</v>
      </c>
    </row>
    <row r="5386" spans="2:4">
      <c r="B5386" s="6" t="s">
        <v>586</v>
      </c>
      <c r="C5386" s="6" t="s">
        <v>621</v>
      </c>
      <c r="D5386" s="5">
        <v>44982</v>
      </c>
    </row>
    <row r="5387" spans="2:4">
      <c r="B5387" s="6" t="s">
        <v>236</v>
      </c>
      <c r="C5387" s="6" t="s">
        <v>423</v>
      </c>
      <c r="D5387" s="5">
        <v>44982</v>
      </c>
    </row>
    <row r="5388" spans="2:4">
      <c r="B5388" s="6" t="s">
        <v>428</v>
      </c>
      <c r="C5388" s="6" t="s">
        <v>167</v>
      </c>
      <c r="D5388" s="5">
        <v>44982</v>
      </c>
    </row>
    <row r="5389" spans="2:4">
      <c r="B5389" s="6" t="s">
        <v>93</v>
      </c>
      <c r="C5389" s="6" t="s">
        <v>71</v>
      </c>
      <c r="D5389" s="5">
        <v>44983</v>
      </c>
    </row>
    <row r="5390" spans="2:4">
      <c r="B5390" s="6" t="s">
        <v>57</v>
      </c>
      <c r="C5390" s="6" t="s">
        <v>60</v>
      </c>
      <c r="D5390" s="5">
        <v>44983</v>
      </c>
    </row>
    <row r="5391" spans="2:4">
      <c r="B5391" s="6" t="s">
        <v>56</v>
      </c>
      <c r="C5391" s="6" t="s">
        <v>68</v>
      </c>
      <c r="D5391" s="5">
        <v>44983</v>
      </c>
    </row>
    <row r="5392" spans="2:4">
      <c r="B5392" s="6" t="s">
        <v>252</v>
      </c>
      <c r="C5392" s="6" t="s">
        <v>334</v>
      </c>
      <c r="D5392" s="5">
        <v>44983</v>
      </c>
    </row>
    <row r="5393" spans="2:4">
      <c r="B5393" s="6" t="s">
        <v>41</v>
      </c>
      <c r="C5393" s="6" t="s">
        <v>40</v>
      </c>
      <c r="D5393" s="5">
        <v>44983</v>
      </c>
    </row>
    <row r="5394" spans="2:4">
      <c r="B5394" s="6" t="s">
        <v>204</v>
      </c>
      <c r="C5394" s="6" t="s">
        <v>244</v>
      </c>
      <c r="D5394" s="5">
        <v>44983</v>
      </c>
    </row>
    <row r="5395" spans="2:4">
      <c r="B5395" s="6" t="s">
        <v>285</v>
      </c>
      <c r="C5395" s="6" t="s">
        <v>130</v>
      </c>
      <c r="D5395" s="5">
        <v>44983</v>
      </c>
    </row>
    <row r="5396" spans="2:4">
      <c r="B5396" s="6" t="s">
        <v>211</v>
      </c>
      <c r="C5396" s="6" t="s">
        <v>112</v>
      </c>
      <c r="D5396" s="5">
        <v>44983</v>
      </c>
    </row>
    <row r="5397" spans="2:4">
      <c r="B5397" s="6" t="s">
        <v>59</v>
      </c>
      <c r="C5397" s="6" t="s">
        <v>65</v>
      </c>
      <c r="D5397" s="5">
        <v>44983</v>
      </c>
    </row>
    <row r="5398" spans="2:4">
      <c r="B5398" s="6" t="s">
        <v>144</v>
      </c>
      <c r="C5398" s="6" t="s">
        <v>187</v>
      </c>
      <c r="D5398" s="5">
        <v>44983</v>
      </c>
    </row>
    <row r="5399" spans="2:4">
      <c r="B5399" s="6" t="s">
        <v>280</v>
      </c>
      <c r="C5399" s="6" t="s">
        <v>241</v>
      </c>
      <c r="D5399" s="5">
        <v>44983</v>
      </c>
    </row>
    <row r="5400" spans="2:4">
      <c r="B5400" s="6" t="s">
        <v>312</v>
      </c>
      <c r="C5400" s="6" t="s">
        <v>139</v>
      </c>
      <c r="D5400" s="5">
        <v>44983</v>
      </c>
    </row>
    <row r="5401" spans="2:4">
      <c r="B5401" s="6" t="s">
        <v>325</v>
      </c>
      <c r="C5401" s="6" t="s">
        <v>320</v>
      </c>
      <c r="D5401" s="5">
        <v>44983</v>
      </c>
    </row>
    <row r="5402" spans="2:4">
      <c r="B5402" s="6" t="s">
        <v>326</v>
      </c>
      <c r="C5402" s="6" t="s">
        <v>213</v>
      </c>
      <c r="D5402" s="5">
        <v>44983</v>
      </c>
    </row>
    <row r="5403" spans="2:4">
      <c r="B5403" s="6" t="s">
        <v>318</v>
      </c>
      <c r="C5403" s="6" t="s">
        <v>186</v>
      </c>
      <c r="D5403" s="5">
        <v>44983</v>
      </c>
    </row>
    <row r="5404" spans="2:4">
      <c r="B5404" s="6" t="s">
        <v>119</v>
      </c>
      <c r="C5404" s="6" t="s">
        <v>363</v>
      </c>
      <c r="D5404" s="5">
        <v>44983</v>
      </c>
    </row>
    <row r="5405" spans="2:4">
      <c r="B5405" s="6" t="s">
        <v>117</v>
      </c>
      <c r="C5405" s="6" t="s">
        <v>233</v>
      </c>
      <c r="D5405" s="5">
        <v>44983</v>
      </c>
    </row>
    <row r="5406" spans="2:4">
      <c r="B5406" s="6" t="s">
        <v>216</v>
      </c>
      <c r="C5406" s="6" t="s">
        <v>230</v>
      </c>
      <c r="D5406" s="5">
        <v>44983</v>
      </c>
    </row>
    <row r="5407" spans="2:4">
      <c r="B5407" s="6" t="s">
        <v>284</v>
      </c>
      <c r="C5407" s="6" t="s">
        <v>199</v>
      </c>
      <c r="D5407" s="5">
        <v>44983</v>
      </c>
    </row>
    <row r="5408" spans="2:4">
      <c r="B5408" s="6" t="s">
        <v>221</v>
      </c>
      <c r="C5408" s="6" t="s">
        <v>352</v>
      </c>
      <c r="D5408" s="5">
        <v>44983</v>
      </c>
    </row>
    <row r="5409" spans="2:4">
      <c r="B5409" s="6" t="s">
        <v>72</v>
      </c>
      <c r="C5409" s="6" t="s">
        <v>75</v>
      </c>
      <c r="D5409" s="5">
        <v>44983</v>
      </c>
    </row>
    <row r="5410" spans="2:4">
      <c r="B5410" s="6" t="s">
        <v>95</v>
      </c>
      <c r="C5410" s="6" t="s">
        <v>411</v>
      </c>
      <c r="D5410" s="5">
        <v>44983</v>
      </c>
    </row>
    <row r="5411" spans="2:4">
      <c r="B5411" s="6" t="s">
        <v>66</v>
      </c>
      <c r="C5411" s="6" t="s">
        <v>64</v>
      </c>
      <c r="D5411" s="5">
        <v>44983</v>
      </c>
    </row>
    <row r="5412" spans="2:4">
      <c r="B5412" s="6" t="s">
        <v>290</v>
      </c>
      <c r="C5412" s="6" t="s">
        <v>159</v>
      </c>
      <c r="D5412" s="5">
        <v>44983</v>
      </c>
    </row>
    <row r="5413" spans="2:4">
      <c r="B5413" s="6" t="s">
        <v>45</v>
      </c>
      <c r="C5413" s="6" t="s">
        <v>251</v>
      </c>
      <c r="D5413" s="5">
        <v>44984</v>
      </c>
    </row>
    <row r="5414" spans="2:4">
      <c r="B5414" s="6" t="s">
        <v>276</v>
      </c>
      <c r="C5414" s="6" t="s">
        <v>96</v>
      </c>
      <c r="D5414" s="5">
        <v>44984</v>
      </c>
    </row>
    <row r="5415" spans="2:4">
      <c r="B5415" s="6" t="s">
        <v>170</v>
      </c>
      <c r="C5415" s="6" t="s">
        <v>181</v>
      </c>
      <c r="D5415" s="5">
        <v>44984</v>
      </c>
    </row>
    <row r="5416" spans="2:4">
      <c r="B5416" s="6" t="s">
        <v>335</v>
      </c>
      <c r="C5416" s="6" t="s">
        <v>238</v>
      </c>
      <c r="D5416" s="5">
        <v>44984</v>
      </c>
    </row>
    <row r="5417" spans="2:4">
      <c r="B5417" s="6" t="s">
        <v>232</v>
      </c>
      <c r="C5417" s="6" t="s">
        <v>382</v>
      </c>
      <c r="D5417" s="5">
        <v>44984</v>
      </c>
    </row>
    <row r="5418" spans="2:4">
      <c r="B5418" s="6" t="s">
        <v>264</v>
      </c>
      <c r="C5418" s="6" t="s">
        <v>116</v>
      </c>
      <c r="D5418" s="5">
        <v>44984</v>
      </c>
    </row>
    <row r="5419" spans="2:4">
      <c r="B5419" s="6" t="s">
        <v>277</v>
      </c>
      <c r="C5419" s="6" t="s">
        <v>310</v>
      </c>
      <c r="D5419" s="5">
        <v>44984</v>
      </c>
    </row>
    <row r="5420" spans="2:4">
      <c r="B5420" s="6" t="s">
        <v>156</v>
      </c>
      <c r="C5420" s="6" t="s">
        <v>249</v>
      </c>
      <c r="D5420" s="5">
        <v>44984</v>
      </c>
    </row>
    <row r="5421" spans="2:4">
      <c r="B5421" s="6" t="s">
        <v>403</v>
      </c>
      <c r="C5421" s="6" t="s">
        <v>206</v>
      </c>
      <c r="D5421" s="5">
        <v>44984</v>
      </c>
    </row>
    <row r="5422" spans="2:4">
      <c r="B5422" s="6" t="s">
        <v>426</v>
      </c>
      <c r="C5422" s="6" t="s">
        <v>153</v>
      </c>
      <c r="D5422" s="5">
        <v>44984</v>
      </c>
    </row>
    <row r="5423" spans="2:4">
      <c r="B5423" s="6" t="s">
        <v>364</v>
      </c>
      <c r="C5423" s="6" t="s">
        <v>399</v>
      </c>
      <c r="D5423" s="5">
        <v>44984</v>
      </c>
    </row>
    <row r="5424" spans="2:4">
      <c r="B5424" s="6" t="s">
        <v>322</v>
      </c>
      <c r="C5424" s="6" t="s">
        <v>28</v>
      </c>
      <c r="D5424" s="5">
        <v>44984</v>
      </c>
    </row>
    <row r="5425" spans="2:4">
      <c r="B5425" s="6" t="s">
        <v>31</v>
      </c>
      <c r="C5425" s="6" t="s">
        <v>32</v>
      </c>
      <c r="D5425" s="5">
        <v>44984</v>
      </c>
    </row>
    <row r="5426" spans="2:4">
      <c r="B5426" s="6" t="s">
        <v>152</v>
      </c>
      <c r="C5426" s="6" t="s">
        <v>169</v>
      </c>
      <c r="D5426" s="5">
        <v>44984</v>
      </c>
    </row>
    <row r="5427" spans="2:4">
      <c r="B5427" s="6" t="s">
        <v>158</v>
      </c>
      <c r="C5427" s="6" t="s">
        <v>190</v>
      </c>
      <c r="D5427" s="5">
        <v>44984</v>
      </c>
    </row>
    <row r="5428" spans="2:4">
      <c r="B5428" s="6" t="s">
        <v>393</v>
      </c>
      <c r="C5428" s="6" t="s">
        <v>391</v>
      </c>
      <c r="D5428" s="5">
        <v>44984</v>
      </c>
    </row>
    <row r="5429" spans="2:4">
      <c r="B5429" s="6" t="s">
        <v>402</v>
      </c>
      <c r="C5429" s="6" t="s">
        <v>389</v>
      </c>
      <c r="D5429" s="5">
        <v>44984</v>
      </c>
    </row>
    <row r="5430" spans="2:4">
      <c r="B5430" s="6" t="s">
        <v>214</v>
      </c>
      <c r="C5430" s="6" t="s">
        <v>210</v>
      </c>
      <c r="D5430" s="5">
        <v>44985</v>
      </c>
    </row>
    <row r="5431" spans="2:4">
      <c r="B5431" s="6" t="s">
        <v>42</v>
      </c>
      <c r="C5431" s="6" t="s">
        <v>37</v>
      </c>
      <c r="D5431" s="5">
        <v>44985</v>
      </c>
    </row>
    <row r="5432" spans="2:4">
      <c r="B5432" s="6" t="s">
        <v>44</v>
      </c>
      <c r="C5432" s="6" t="s">
        <v>149</v>
      </c>
      <c r="D5432" s="5">
        <v>44985</v>
      </c>
    </row>
    <row r="5433" spans="2:4">
      <c r="B5433" s="6" t="s">
        <v>62</v>
      </c>
      <c r="C5433" s="6" t="s">
        <v>61</v>
      </c>
      <c r="D5433" s="5">
        <v>44985</v>
      </c>
    </row>
    <row r="5434" spans="2:4">
      <c r="B5434" s="6" t="s">
        <v>188</v>
      </c>
      <c r="C5434" s="6" t="s">
        <v>51</v>
      </c>
      <c r="D5434" s="5">
        <v>44985</v>
      </c>
    </row>
    <row r="5435" spans="2:4">
      <c r="B5435" s="6" t="s">
        <v>47</v>
      </c>
      <c r="C5435" s="6" t="s">
        <v>50</v>
      </c>
      <c r="D5435" s="5">
        <v>44985</v>
      </c>
    </row>
    <row r="5436" spans="2:4">
      <c r="B5436" s="6" t="s">
        <v>53</v>
      </c>
      <c r="C5436" s="6" t="s">
        <v>54</v>
      </c>
      <c r="D5436" s="5">
        <v>44985</v>
      </c>
    </row>
    <row r="5437" spans="2:4">
      <c r="B5437" s="6" t="s">
        <v>253</v>
      </c>
      <c r="C5437" s="6" t="s">
        <v>177</v>
      </c>
      <c r="D5437" s="5">
        <v>44985</v>
      </c>
    </row>
    <row r="5438" spans="2:4">
      <c r="B5438" s="6" t="s">
        <v>126</v>
      </c>
      <c r="C5438" s="6" t="s">
        <v>301</v>
      </c>
      <c r="D5438" s="5">
        <v>44985</v>
      </c>
    </row>
    <row r="5439" spans="2:4">
      <c r="B5439" s="6" t="s">
        <v>174</v>
      </c>
      <c r="C5439" s="6" t="s">
        <v>106</v>
      </c>
      <c r="D5439" s="5">
        <v>44985</v>
      </c>
    </row>
    <row r="5440" spans="2:4">
      <c r="B5440" s="6" t="s">
        <v>205</v>
      </c>
      <c r="C5440" s="6" t="s">
        <v>215</v>
      </c>
      <c r="D5440" s="5">
        <v>44985</v>
      </c>
    </row>
    <row r="5441" spans="2:4">
      <c r="B5441" s="6" t="s">
        <v>89</v>
      </c>
      <c r="C5441" s="6" t="s">
        <v>79</v>
      </c>
      <c r="D5441" s="5">
        <v>44985</v>
      </c>
    </row>
    <row r="5442" spans="2:4">
      <c r="B5442" s="6" t="s">
        <v>121</v>
      </c>
      <c r="C5442" s="6" t="s">
        <v>133</v>
      </c>
      <c r="D5442" s="5">
        <v>44985</v>
      </c>
    </row>
    <row r="5443" spans="2:4">
      <c r="B5443" s="6" t="s">
        <v>362</v>
      </c>
      <c r="C5443" s="6" t="s">
        <v>140</v>
      </c>
      <c r="D5443" s="5">
        <v>44985</v>
      </c>
    </row>
    <row r="5444" spans="2:4">
      <c r="B5444" s="6" t="s">
        <v>288</v>
      </c>
      <c r="C5444" s="6" t="s">
        <v>247</v>
      </c>
      <c r="D5444" s="5">
        <v>44985</v>
      </c>
    </row>
    <row r="5445" spans="2:4">
      <c r="B5445" s="6" t="s">
        <v>180</v>
      </c>
      <c r="C5445" s="6" t="s">
        <v>127</v>
      </c>
      <c r="D5445" s="5">
        <v>44985</v>
      </c>
    </row>
    <row r="5446" spans="2:4">
      <c r="B5446" s="6" t="s">
        <v>414</v>
      </c>
      <c r="C5446" s="6" t="s">
        <v>209</v>
      </c>
      <c r="D5446" s="5">
        <v>44985</v>
      </c>
    </row>
    <row r="5447" spans="2:4">
      <c r="B5447" s="6" t="s">
        <v>105</v>
      </c>
      <c r="C5447" s="6" t="s">
        <v>109</v>
      </c>
      <c r="D5447" s="5">
        <v>44985</v>
      </c>
    </row>
    <row r="5448" spans="2:4">
      <c r="B5448" s="6" t="s">
        <v>400</v>
      </c>
      <c r="C5448" s="6" t="s">
        <v>203</v>
      </c>
      <c r="D5448" s="5">
        <v>44985</v>
      </c>
    </row>
    <row r="5449" spans="2:4">
      <c r="B5449" s="6" t="s">
        <v>36</v>
      </c>
      <c r="C5449" s="6" t="s">
        <v>35</v>
      </c>
      <c r="D5449" s="5">
        <v>44985</v>
      </c>
    </row>
    <row r="5450" spans="2:4">
      <c r="B5450" s="6" t="s">
        <v>26</v>
      </c>
      <c r="C5450" s="6" t="s">
        <v>27</v>
      </c>
      <c r="D5450" s="5">
        <v>44985</v>
      </c>
    </row>
    <row r="5451" spans="2:4">
      <c r="B5451" s="6" t="s">
        <v>86</v>
      </c>
      <c r="C5451" s="6" t="s">
        <v>84</v>
      </c>
      <c r="D5451" s="5">
        <v>44985</v>
      </c>
    </row>
    <row r="5452" spans="2:4">
      <c r="B5452" s="6" t="s">
        <v>162</v>
      </c>
      <c r="C5452" s="6" t="s">
        <v>392</v>
      </c>
      <c r="D5452" s="5">
        <v>44985</v>
      </c>
    </row>
    <row r="5453" spans="2:4">
      <c r="B5453" s="6" t="s">
        <v>43</v>
      </c>
      <c r="C5453" s="6" t="s">
        <v>52</v>
      </c>
      <c r="D5453" s="5">
        <v>44985</v>
      </c>
    </row>
    <row r="5454" spans="2:4">
      <c r="B5454" s="6" t="s">
        <v>67</v>
      </c>
      <c r="C5454" s="6" t="s">
        <v>55</v>
      </c>
      <c r="D5454" s="5">
        <v>44985</v>
      </c>
    </row>
    <row r="5455" spans="2:4">
      <c r="B5455" s="6" t="s">
        <v>85</v>
      </c>
      <c r="C5455" s="6" t="s">
        <v>90</v>
      </c>
      <c r="D5455" s="5">
        <v>44985</v>
      </c>
    </row>
    <row r="5456" spans="2:4">
      <c r="B5456" s="6" t="s">
        <v>88</v>
      </c>
      <c r="C5456" s="6" t="s">
        <v>91</v>
      </c>
      <c r="D5456" s="5">
        <v>44985</v>
      </c>
    </row>
    <row r="5457" spans="2:4">
      <c r="B5457" s="6" t="s">
        <v>189</v>
      </c>
      <c r="C5457" s="6" t="s">
        <v>394</v>
      </c>
      <c r="D5457" s="5">
        <v>44985</v>
      </c>
    </row>
    <row r="5458" spans="2:4">
      <c r="B5458" s="6" t="s">
        <v>433</v>
      </c>
      <c r="C5458" s="6" t="s">
        <v>386</v>
      </c>
      <c r="D5458" s="5">
        <v>44985</v>
      </c>
    </row>
    <row r="5459" spans="2:4">
      <c r="B5459" s="6" t="s">
        <v>319</v>
      </c>
      <c r="C5459" s="6" t="s">
        <v>94</v>
      </c>
      <c r="D5459" s="5">
        <v>44986</v>
      </c>
    </row>
    <row r="5460" spans="2:4">
      <c r="B5460" s="6" t="s">
        <v>40</v>
      </c>
      <c r="C5460" s="6" t="s">
        <v>39</v>
      </c>
      <c r="D5460" s="5">
        <v>44986</v>
      </c>
    </row>
    <row r="5461" spans="2:4">
      <c r="B5461" s="6" t="s">
        <v>80</v>
      </c>
      <c r="C5461" s="6" t="s">
        <v>185</v>
      </c>
      <c r="D5461" s="5">
        <v>44986</v>
      </c>
    </row>
    <row r="5462" spans="2:4">
      <c r="B5462" s="6" t="s">
        <v>82</v>
      </c>
      <c r="C5462" s="6" t="s">
        <v>83</v>
      </c>
      <c r="D5462" s="5">
        <v>44986</v>
      </c>
    </row>
    <row r="5463" spans="2:4">
      <c r="B5463" s="6" t="s">
        <v>231</v>
      </c>
      <c r="C5463" s="6" t="s">
        <v>95</v>
      </c>
      <c r="D5463" s="5">
        <v>44986</v>
      </c>
    </row>
    <row r="5464" spans="2:4">
      <c r="B5464" s="6" t="s">
        <v>46</v>
      </c>
      <c r="C5464" s="6" t="s">
        <v>49</v>
      </c>
      <c r="D5464" s="5">
        <v>44986</v>
      </c>
    </row>
    <row r="5465" spans="2:4">
      <c r="B5465" s="6" t="s">
        <v>245</v>
      </c>
      <c r="C5465" s="6" t="s">
        <v>155</v>
      </c>
      <c r="D5465" s="5">
        <v>44986</v>
      </c>
    </row>
    <row r="5466" spans="2:4">
      <c r="B5466" s="6" t="s">
        <v>57</v>
      </c>
      <c r="C5466" s="6" t="s">
        <v>56</v>
      </c>
      <c r="D5466" s="5">
        <v>44986</v>
      </c>
    </row>
    <row r="5467" spans="2:4">
      <c r="B5467" s="6" t="s">
        <v>334</v>
      </c>
      <c r="C5467" s="6" t="s">
        <v>200</v>
      </c>
      <c r="D5467" s="5">
        <v>44986</v>
      </c>
    </row>
    <row r="5468" spans="2:4">
      <c r="B5468" s="6" t="s">
        <v>284</v>
      </c>
      <c r="C5468" s="6" t="s">
        <v>300</v>
      </c>
      <c r="D5468" s="5">
        <v>44986</v>
      </c>
    </row>
    <row r="5469" spans="2:4">
      <c r="B5469" s="6" t="s">
        <v>199</v>
      </c>
      <c r="C5469" s="6" t="s">
        <v>337</v>
      </c>
      <c r="D5469" s="5">
        <v>44986</v>
      </c>
    </row>
    <row r="5470" spans="2:4">
      <c r="B5470" s="6" t="s">
        <v>281</v>
      </c>
      <c r="C5470" s="6" t="s">
        <v>349</v>
      </c>
      <c r="D5470" s="5">
        <v>44986</v>
      </c>
    </row>
    <row r="5471" spans="2:4">
      <c r="B5471" s="6" t="s">
        <v>290</v>
      </c>
      <c r="C5471" s="6" t="s">
        <v>415</v>
      </c>
      <c r="D5471" s="5">
        <v>44986</v>
      </c>
    </row>
    <row r="5472" spans="2:4">
      <c r="B5472" s="6" t="s">
        <v>33</v>
      </c>
      <c r="C5472" s="6" t="s">
        <v>29</v>
      </c>
      <c r="D5472" s="5">
        <v>44986</v>
      </c>
    </row>
    <row r="5473" spans="2:4">
      <c r="B5473" s="6" t="s">
        <v>584</v>
      </c>
      <c r="C5473" s="6" t="s">
        <v>183</v>
      </c>
      <c r="D5473" s="5">
        <v>44986</v>
      </c>
    </row>
    <row r="5474" spans="2:4">
      <c r="B5474" s="6" t="s">
        <v>345</v>
      </c>
      <c r="C5474" s="6" t="s">
        <v>375</v>
      </c>
      <c r="D5474" s="5">
        <v>44986</v>
      </c>
    </row>
    <row r="5475" spans="2:4">
      <c r="B5475" s="6" t="s">
        <v>383</v>
      </c>
      <c r="C5475" s="6" t="s">
        <v>323</v>
      </c>
      <c r="D5475" s="5">
        <v>44986</v>
      </c>
    </row>
    <row r="5476" spans="2:4">
      <c r="B5476" s="6" t="s">
        <v>38</v>
      </c>
      <c r="C5476" s="6" t="s">
        <v>41</v>
      </c>
      <c r="D5476" s="5">
        <v>44986</v>
      </c>
    </row>
    <row r="5477" spans="2:4">
      <c r="B5477" s="6" t="s">
        <v>342</v>
      </c>
      <c r="C5477" s="6" t="s">
        <v>134</v>
      </c>
      <c r="D5477" s="5">
        <v>44986</v>
      </c>
    </row>
    <row r="5478" spans="2:4">
      <c r="B5478" s="6" t="s">
        <v>132</v>
      </c>
      <c r="C5478" s="6" t="s">
        <v>347</v>
      </c>
      <c r="D5478" s="5">
        <v>44986</v>
      </c>
    </row>
    <row r="5479" spans="2:4">
      <c r="B5479" s="6" t="s">
        <v>34</v>
      </c>
      <c r="C5479" s="6" t="s">
        <v>30</v>
      </c>
      <c r="D5479" s="5">
        <v>44986</v>
      </c>
    </row>
    <row r="5480" spans="2:4">
      <c r="B5480" s="6" t="s">
        <v>275</v>
      </c>
      <c r="C5480" s="6" t="s">
        <v>221</v>
      </c>
      <c r="D5480" s="5">
        <v>44986</v>
      </c>
    </row>
    <row r="5481" spans="2:4">
      <c r="B5481" s="6" t="s">
        <v>588</v>
      </c>
      <c r="C5481" s="6" t="s">
        <v>640</v>
      </c>
      <c r="D5481" s="5">
        <v>44986</v>
      </c>
    </row>
    <row r="5482" spans="2:4">
      <c r="B5482" s="6" t="s">
        <v>343</v>
      </c>
      <c r="C5482" s="6" t="s">
        <v>295</v>
      </c>
      <c r="D5482" s="5">
        <v>44986</v>
      </c>
    </row>
    <row r="5483" spans="2:4">
      <c r="B5483" s="6" t="s">
        <v>68</v>
      </c>
      <c r="C5483" s="6" t="s">
        <v>66</v>
      </c>
      <c r="D5483" s="5">
        <v>44986</v>
      </c>
    </row>
    <row r="5484" spans="2:4">
      <c r="B5484" s="6" t="s">
        <v>81</v>
      </c>
      <c r="C5484" s="6" t="s">
        <v>87</v>
      </c>
      <c r="D5484" s="5">
        <v>44986</v>
      </c>
    </row>
    <row r="5485" spans="2:4">
      <c r="B5485" s="6" t="s">
        <v>350</v>
      </c>
      <c r="C5485" s="6" t="s">
        <v>124</v>
      </c>
      <c r="D5485" s="5">
        <v>44986</v>
      </c>
    </row>
    <row r="5486" spans="2:4">
      <c r="B5486" s="6" t="s">
        <v>378</v>
      </c>
      <c r="C5486" s="6" t="s">
        <v>381</v>
      </c>
      <c r="D5486" s="5">
        <v>44986</v>
      </c>
    </row>
    <row r="5487" spans="2:4">
      <c r="B5487" s="6" t="s">
        <v>607</v>
      </c>
      <c r="C5487" s="6" t="s">
        <v>424</v>
      </c>
      <c r="D5487" s="5">
        <v>44986</v>
      </c>
    </row>
    <row r="5488" spans="2:4">
      <c r="B5488" s="6" t="s">
        <v>159</v>
      </c>
      <c r="C5488" s="6" t="s">
        <v>344</v>
      </c>
      <c r="D5488" s="5">
        <v>44986</v>
      </c>
    </row>
    <row r="5489" spans="2:4">
      <c r="B5489" s="6" t="s">
        <v>163</v>
      </c>
      <c r="C5489" s="6" t="s">
        <v>168</v>
      </c>
      <c r="D5489" s="5">
        <v>44986</v>
      </c>
    </row>
    <row r="5490" spans="2:4">
      <c r="B5490" s="6" t="s">
        <v>75</v>
      </c>
      <c r="C5490" s="6" t="s">
        <v>73</v>
      </c>
      <c r="D5490" s="5">
        <v>44987</v>
      </c>
    </row>
    <row r="5491" spans="2:4">
      <c r="B5491" s="6" t="s">
        <v>74</v>
      </c>
      <c r="C5491" s="6" t="s">
        <v>70</v>
      </c>
      <c r="D5491" s="5">
        <v>44987</v>
      </c>
    </row>
    <row r="5492" spans="2:4">
      <c r="B5492" s="6" t="s">
        <v>212</v>
      </c>
      <c r="C5492" s="6" t="s">
        <v>352</v>
      </c>
      <c r="D5492" s="5">
        <v>44987</v>
      </c>
    </row>
    <row r="5493" spans="2:4">
      <c r="B5493" s="6" t="s">
        <v>60</v>
      </c>
      <c r="C5493" s="6" t="s">
        <v>59</v>
      </c>
      <c r="D5493" s="5">
        <v>44987</v>
      </c>
    </row>
    <row r="5494" spans="2:4">
      <c r="B5494" s="6" t="s">
        <v>145</v>
      </c>
      <c r="C5494" s="6" t="s">
        <v>411</v>
      </c>
      <c r="D5494" s="5">
        <v>44987</v>
      </c>
    </row>
    <row r="5495" spans="2:4">
      <c r="B5495" s="6" t="s">
        <v>373</v>
      </c>
      <c r="C5495" s="6" t="s">
        <v>274</v>
      </c>
      <c r="D5495" s="5">
        <v>44987</v>
      </c>
    </row>
    <row r="5496" spans="2:4">
      <c r="B5496" s="6" t="s">
        <v>238</v>
      </c>
      <c r="C5496" s="6" t="s">
        <v>116</v>
      </c>
      <c r="D5496" s="5">
        <v>44987</v>
      </c>
    </row>
    <row r="5497" spans="2:4">
      <c r="B5497" s="6" t="s">
        <v>130</v>
      </c>
      <c r="C5497" s="6" t="s">
        <v>230</v>
      </c>
      <c r="D5497" s="5">
        <v>44987</v>
      </c>
    </row>
    <row r="5498" spans="2:4">
      <c r="B5498" s="6" t="s">
        <v>244</v>
      </c>
      <c r="C5498" s="6" t="s">
        <v>117</v>
      </c>
      <c r="D5498" s="5">
        <v>44987</v>
      </c>
    </row>
    <row r="5499" spans="2:4">
      <c r="B5499" s="6" t="s">
        <v>285</v>
      </c>
      <c r="C5499" s="6" t="s">
        <v>361</v>
      </c>
      <c r="D5499" s="5">
        <v>44987</v>
      </c>
    </row>
    <row r="5500" spans="2:4">
      <c r="B5500" s="6" t="s">
        <v>63</v>
      </c>
      <c r="C5500" s="6" t="s">
        <v>64</v>
      </c>
      <c r="D5500" s="5">
        <v>44987</v>
      </c>
    </row>
    <row r="5501" spans="2:4">
      <c r="B5501" s="6" t="s">
        <v>276</v>
      </c>
      <c r="C5501" s="6" t="s">
        <v>277</v>
      </c>
      <c r="D5501" s="5">
        <v>44987</v>
      </c>
    </row>
    <row r="5502" spans="2:4">
      <c r="B5502" s="6" t="s">
        <v>264</v>
      </c>
      <c r="C5502" s="6" t="s">
        <v>335</v>
      </c>
      <c r="D5502" s="5">
        <v>44987</v>
      </c>
    </row>
    <row r="5503" spans="2:4">
      <c r="B5503" s="6" t="s">
        <v>112</v>
      </c>
      <c r="C5503" s="6" t="s">
        <v>216</v>
      </c>
      <c r="D5503" s="5">
        <v>44987</v>
      </c>
    </row>
    <row r="5504" spans="2:4">
      <c r="B5504" s="6" t="s">
        <v>382</v>
      </c>
      <c r="C5504" s="6" t="s">
        <v>308</v>
      </c>
      <c r="D5504" s="5">
        <v>44987</v>
      </c>
    </row>
    <row r="5505" spans="2:4">
      <c r="B5505" s="6" t="s">
        <v>135</v>
      </c>
      <c r="C5505" s="6" t="s">
        <v>242</v>
      </c>
      <c r="D5505" s="5">
        <v>44987</v>
      </c>
    </row>
    <row r="5506" spans="2:4">
      <c r="B5506" s="6" t="s">
        <v>143</v>
      </c>
      <c r="C5506" s="6" t="s">
        <v>421</v>
      </c>
      <c r="D5506" s="5">
        <v>44987</v>
      </c>
    </row>
    <row r="5507" spans="2:4">
      <c r="B5507" s="6" t="s">
        <v>368</v>
      </c>
      <c r="C5507" s="6" t="s">
        <v>182</v>
      </c>
      <c r="D5507" s="5">
        <v>44987</v>
      </c>
    </row>
    <row r="5508" spans="2:4">
      <c r="B5508" s="6" t="s">
        <v>303</v>
      </c>
      <c r="C5508" s="6" t="s">
        <v>156</v>
      </c>
      <c r="D5508" s="5">
        <v>44987</v>
      </c>
    </row>
    <row r="5509" spans="2:4">
      <c r="B5509" s="6" t="s">
        <v>332</v>
      </c>
      <c r="C5509" s="6" t="s">
        <v>364</v>
      </c>
      <c r="D5509" s="5">
        <v>44987</v>
      </c>
    </row>
    <row r="5510" spans="2:4">
      <c r="B5510" s="6" t="s">
        <v>341</v>
      </c>
      <c r="C5510" s="6" t="s">
        <v>144</v>
      </c>
      <c r="D5510" s="5">
        <v>44987</v>
      </c>
    </row>
    <row r="5511" spans="2:4">
      <c r="B5511" s="6" t="s">
        <v>181</v>
      </c>
      <c r="C5511" s="6" t="s">
        <v>314</v>
      </c>
      <c r="D5511" s="5">
        <v>44987</v>
      </c>
    </row>
    <row r="5512" spans="2:4">
      <c r="B5512" s="6" t="s">
        <v>76</v>
      </c>
      <c r="C5512" s="6" t="s">
        <v>93</v>
      </c>
      <c r="D5512" s="5">
        <v>44987</v>
      </c>
    </row>
    <row r="5513" spans="2:4">
      <c r="B5513" s="6" t="s">
        <v>376</v>
      </c>
      <c r="C5513" s="6" t="s">
        <v>313</v>
      </c>
      <c r="D5513" s="5">
        <v>44987</v>
      </c>
    </row>
    <row r="5514" spans="2:4">
      <c r="B5514" s="6" t="s">
        <v>96</v>
      </c>
      <c r="C5514" s="6" t="s">
        <v>310</v>
      </c>
      <c r="D5514" s="5">
        <v>44987</v>
      </c>
    </row>
    <row r="5515" spans="2:4">
      <c r="B5515" s="6" t="s">
        <v>65</v>
      </c>
      <c r="C5515" s="6" t="s">
        <v>58</v>
      </c>
      <c r="D5515" s="5">
        <v>44987</v>
      </c>
    </row>
    <row r="5516" spans="2:4">
      <c r="B5516" s="6" t="s">
        <v>141</v>
      </c>
      <c r="C5516" s="6" t="s">
        <v>423</v>
      </c>
      <c r="D5516" s="5">
        <v>44987</v>
      </c>
    </row>
    <row r="5517" spans="2:4">
      <c r="B5517" s="6" t="s">
        <v>236</v>
      </c>
      <c r="C5517" s="6" t="s">
        <v>207</v>
      </c>
      <c r="D5517" s="5">
        <v>44987</v>
      </c>
    </row>
    <row r="5518" spans="2:4">
      <c r="B5518" s="6" t="s">
        <v>420</v>
      </c>
      <c r="C5518" s="6" t="s">
        <v>586</v>
      </c>
      <c r="D5518" s="5">
        <v>44987</v>
      </c>
    </row>
    <row r="5519" spans="2:4">
      <c r="B5519" s="6" t="s">
        <v>599</v>
      </c>
      <c r="C5519" s="6" t="s">
        <v>428</v>
      </c>
      <c r="D5519" s="5">
        <v>44987</v>
      </c>
    </row>
    <row r="5520" spans="2:4">
      <c r="B5520" s="6" t="s">
        <v>154</v>
      </c>
      <c r="C5520" s="6" t="s">
        <v>167</v>
      </c>
      <c r="D5520" s="5">
        <v>44987</v>
      </c>
    </row>
    <row r="5521" spans="2:4">
      <c r="B5521" s="6" t="s">
        <v>69</v>
      </c>
      <c r="C5521" s="6" t="s">
        <v>164</v>
      </c>
      <c r="D5521" s="5">
        <v>44987</v>
      </c>
    </row>
    <row r="5522" spans="2:4">
      <c r="B5522" s="6" t="s">
        <v>71</v>
      </c>
      <c r="C5522" s="6" t="s">
        <v>78</v>
      </c>
      <c r="D5522" s="5">
        <v>44987</v>
      </c>
    </row>
    <row r="5523" spans="2:4">
      <c r="B5523" s="6" t="s">
        <v>203</v>
      </c>
      <c r="C5523" s="6" t="s">
        <v>209</v>
      </c>
      <c r="D5523" s="5">
        <v>44988</v>
      </c>
    </row>
    <row r="5524" spans="2:4">
      <c r="B5524" s="6" t="s">
        <v>133</v>
      </c>
      <c r="C5524" s="6" t="s">
        <v>214</v>
      </c>
      <c r="D5524" s="5">
        <v>44988</v>
      </c>
    </row>
    <row r="5525" spans="2:4">
      <c r="B5525" s="6" t="s">
        <v>180</v>
      </c>
      <c r="C5525" s="6" t="s">
        <v>105</v>
      </c>
      <c r="D5525" s="5">
        <v>44988</v>
      </c>
    </row>
    <row r="5526" spans="2:4">
      <c r="B5526" s="6" t="s">
        <v>109</v>
      </c>
      <c r="C5526" s="6" t="s">
        <v>140</v>
      </c>
      <c r="D5526" s="5">
        <v>44988</v>
      </c>
    </row>
    <row r="5527" spans="2:4">
      <c r="B5527" s="6" t="s">
        <v>127</v>
      </c>
      <c r="C5527" s="6" t="s">
        <v>288</v>
      </c>
      <c r="D5527" s="5">
        <v>44988</v>
      </c>
    </row>
    <row r="5528" spans="2:4">
      <c r="B5528" s="6" t="s">
        <v>414</v>
      </c>
      <c r="C5528" s="6" t="s">
        <v>362</v>
      </c>
      <c r="D5528" s="5">
        <v>44988</v>
      </c>
    </row>
    <row r="5529" spans="2:4">
      <c r="B5529" s="6" t="s">
        <v>415</v>
      </c>
      <c r="C5529" s="6" t="s">
        <v>345</v>
      </c>
      <c r="D5529" s="5">
        <v>44988</v>
      </c>
    </row>
    <row r="5530" spans="2:4">
      <c r="B5530" s="6" t="s">
        <v>388</v>
      </c>
      <c r="C5530" s="6" t="s">
        <v>375</v>
      </c>
      <c r="D5530" s="5">
        <v>44988</v>
      </c>
    </row>
    <row r="5531" spans="2:4">
      <c r="B5531" s="6" t="s">
        <v>383</v>
      </c>
      <c r="C5531" s="6" t="s">
        <v>290</v>
      </c>
      <c r="D5531" s="5">
        <v>44988</v>
      </c>
    </row>
    <row r="5532" spans="2:4">
      <c r="B5532" s="6" t="s">
        <v>400</v>
      </c>
      <c r="C5532" s="6" t="s">
        <v>247</v>
      </c>
      <c r="D5532" s="5">
        <v>44988</v>
      </c>
    </row>
    <row r="5533" spans="2:4">
      <c r="B5533" s="6" t="s">
        <v>378</v>
      </c>
      <c r="C5533" s="6" t="s">
        <v>159</v>
      </c>
      <c r="D5533" s="5">
        <v>44988</v>
      </c>
    </row>
    <row r="5534" spans="2:4">
      <c r="B5534" s="6" t="s">
        <v>607</v>
      </c>
      <c r="C5534" s="6" t="s">
        <v>381</v>
      </c>
      <c r="D5534" s="5">
        <v>44988</v>
      </c>
    </row>
    <row r="5535" spans="2:4">
      <c r="B5535" s="6" t="s">
        <v>424</v>
      </c>
      <c r="C5535" s="6" t="s">
        <v>323</v>
      </c>
      <c r="D5535" s="5">
        <v>44988</v>
      </c>
    </row>
    <row r="5536" spans="2:4">
      <c r="B5536" s="6" t="s">
        <v>386</v>
      </c>
      <c r="C5536" s="6" t="s">
        <v>189</v>
      </c>
      <c r="D5536" s="5">
        <v>44988</v>
      </c>
    </row>
    <row r="5537" spans="2:4">
      <c r="B5537" s="6" t="s">
        <v>30</v>
      </c>
      <c r="C5537" s="6" t="s">
        <v>26</v>
      </c>
      <c r="D5537" s="5">
        <v>44989</v>
      </c>
    </row>
    <row r="5538" spans="2:4">
      <c r="B5538" s="6" t="s">
        <v>28</v>
      </c>
      <c r="C5538" s="6" t="s">
        <v>31</v>
      </c>
      <c r="D5538" s="5">
        <v>44989</v>
      </c>
    </row>
    <row r="5539" spans="2:4">
      <c r="B5539" s="6" t="s">
        <v>155</v>
      </c>
      <c r="C5539" s="6" t="s">
        <v>38</v>
      </c>
      <c r="D5539" s="5">
        <v>44989</v>
      </c>
    </row>
    <row r="5540" spans="2:4">
      <c r="B5540" s="6" t="s">
        <v>188</v>
      </c>
      <c r="C5540" s="6" t="s">
        <v>43</v>
      </c>
      <c r="D5540" s="5">
        <v>44989</v>
      </c>
    </row>
    <row r="5541" spans="2:4">
      <c r="B5541" s="6" t="s">
        <v>125</v>
      </c>
      <c r="C5541" s="6" t="s">
        <v>138</v>
      </c>
      <c r="D5541" s="5">
        <v>44989</v>
      </c>
    </row>
    <row r="5542" spans="2:4">
      <c r="B5542" s="6" t="s">
        <v>40</v>
      </c>
      <c r="C5542" s="6" t="s">
        <v>36</v>
      </c>
      <c r="D5542" s="5">
        <v>44989</v>
      </c>
    </row>
    <row r="5543" spans="2:4">
      <c r="B5543" s="6" t="s">
        <v>39</v>
      </c>
      <c r="C5543" s="6" t="s">
        <v>42</v>
      </c>
      <c r="D5543" s="5">
        <v>44989</v>
      </c>
    </row>
    <row r="5544" spans="2:4">
      <c r="B5544" s="6" t="s">
        <v>37</v>
      </c>
      <c r="C5544" s="6" t="s">
        <v>302</v>
      </c>
      <c r="D5544" s="5">
        <v>44989</v>
      </c>
    </row>
    <row r="5545" spans="2:4">
      <c r="B5545" s="6" t="s">
        <v>55</v>
      </c>
      <c r="C5545" s="6" t="s">
        <v>57</v>
      </c>
      <c r="D5545" s="5">
        <v>44989</v>
      </c>
    </row>
    <row r="5546" spans="2:4">
      <c r="B5546" s="6" t="s">
        <v>169</v>
      </c>
      <c r="C5546" s="6" t="s">
        <v>163</v>
      </c>
      <c r="D5546" s="5">
        <v>44989</v>
      </c>
    </row>
    <row r="5547" spans="2:4">
      <c r="B5547" s="6" t="s">
        <v>167</v>
      </c>
      <c r="C5547" s="6" t="s">
        <v>586</v>
      </c>
      <c r="D5547" s="5">
        <v>44989</v>
      </c>
    </row>
    <row r="5548" spans="2:4">
      <c r="B5548" s="6" t="s">
        <v>91</v>
      </c>
      <c r="C5548" s="6" t="s">
        <v>82</v>
      </c>
      <c r="D5548" s="5">
        <v>44989</v>
      </c>
    </row>
    <row r="5549" spans="2:4">
      <c r="B5549" s="6" t="s">
        <v>52</v>
      </c>
      <c r="C5549" s="6" t="s">
        <v>45</v>
      </c>
      <c r="D5549" s="5">
        <v>44989</v>
      </c>
    </row>
    <row r="5550" spans="2:4">
      <c r="B5550" s="6" t="s">
        <v>200</v>
      </c>
      <c r="C5550" s="6" t="s">
        <v>281</v>
      </c>
      <c r="D5550" s="5">
        <v>44989</v>
      </c>
    </row>
    <row r="5551" spans="2:4">
      <c r="B5551" s="6" t="s">
        <v>182</v>
      </c>
      <c r="C5551" s="6" t="s">
        <v>195</v>
      </c>
      <c r="D5551" s="5">
        <v>44989</v>
      </c>
    </row>
    <row r="5552" spans="2:4">
      <c r="B5552" s="6" t="s">
        <v>90</v>
      </c>
      <c r="C5552" s="6" t="s">
        <v>89</v>
      </c>
      <c r="D5552" s="5">
        <v>44989</v>
      </c>
    </row>
    <row r="5553" spans="2:4">
      <c r="B5553" s="6" t="s">
        <v>84</v>
      </c>
      <c r="C5553" s="6" t="s">
        <v>80</v>
      </c>
      <c r="D5553" s="5">
        <v>44989</v>
      </c>
    </row>
    <row r="5554" spans="2:4">
      <c r="B5554" s="6" t="s">
        <v>32</v>
      </c>
      <c r="C5554" s="6" t="s">
        <v>33</v>
      </c>
      <c r="D5554" s="5">
        <v>44989</v>
      </c>
    </row>
    <row r="5555" spans="2:4">
      <c r="B5555" s="6" t="s">
        <v>97</v>
      </c>
      <c r="C5555" s="6" t="s">
        <v>419</v>
      </c>
      <c r="D5555" s="5">
        <v>44989</v>
      </c>
    </row>
    <row r="5556" spans="2:4">
      <c r="B5556" s="6" t="s">
        <v>351</v>
      </c>
      <c r="C5556" s="6" t="s">
        <v>108</v>
      </c>
      <c r="D5556" s="5">
        <v>44989</v>
      </c>
    </row>
    <row r="5557" spans="2:4">
      <c r="B5557" s="6" t="s">
        <v>107</v>
      </c>
      <c r="C5557" s="6" t="s">
        <v>100</v>
      </c>
      <c r="D5557" s="5">
        <v>44989</v>
      </c>
    </row>
    <row r="5558" spans="2:4">
      <c r="B5558" s="6" t="s">
        <v>244</v>
      </c>
      <c r="C5558" s="6" t="s">
        <v>130</v>
      </c>
      <c r="D5558" s="5">
        <v>44989</v>
      </c>
    </row>
    <row r="5559" spans="2:4">
      <c r="B5559" s="6" t="s">
        <v>230</v>
      </c>
      <c r="C5559" s="6" t="s">
        <v>233</v>
      </c>
      <c r="D5559" s="5">
        <v>44989</v>
      </c>
    </row>
    <row r="5560" spans="2:4">
      <c r="B5560" s="6" t="s">
        <v>210</v>
      </c>
      <c r="C5560" s="6" t="s">
        <v>350</v>
      </c>
      <c r="D5560" s="5">
        <v>44989</v>
      </c>
    </row>
    <row r="5561" spans="2:4">
      <c r="B5561" s="6" t="s">
        <v>349</v>
      </c>
      <c r="C5561" s="6" t="s">
        <v>284</v>
      </c>
      <c r="D5561" s="5">
        <v>44989</v>
      </c>
    </row>
    <row r="5562" spans="2:4">
      <c r="B5562" s="6" t="s">
        <v>54</v>
      </c>
      <c r="C5562" s="6" t="s">
        <v>50</v>
      </c>
      <c r="D5562" s="5">
        <v>44989</v>
      </c>
    </row>
    <row r="5563" spans="2:4">
      <c r="B5563" s="6" t="s">
        <v>300</v>
      </c>
      <c r="C5563" s="6" t="s">
        <v>252</v>
      </c>
      <c r="D5563" s="5">
        <v>44989</v>
      </c>
    </row>
    <row r="5564" spans="2:4">
      <c r="B5564" s="6" t="s">
        <v>29</v>
      </c>
      <c r="C5564" s="6" t="s">
        <v>34</v>
      </c>
      <c r="D5564" s="5">
        <v>44989</v>
      </c>
    </row>
    <row r="5565" spans="2:4">
      <c r="B5565" s="6" t="s">
        <v>135</v>
      </c>
      <c r="C5565" s="6" t="s">
        <v>313</v>
      </c>
      <c r="D5565" s="5">
        <v>44989</v>
      </c>
    </row>
    <row r="5566" spans="2:4">
      <c r="B5566" s="6" t="s">
        <v>373</v>
      </c>
      <c r="C5566" s="6" t="s">
        <v>421</v>
      </c>
      <c r="D5566" s="5">
        <v>44989</v>
      </c>
    </row>
    <row r="5567" spans="2:4">
      <c r="B5567" s="6" t="s">
        <v>143</v>
      </c>
      <c r="C5567" s="6" t="s">
        <v>274</v>
      </c>
      <c r="D5567" s="5">
        <v>44989</v>
      </c>
    </row>
    <row r="5568" spans="2:4">
      <c r="B5568" s="6" t="s">
        <v>211</v>
      </c>
      <c r="C5568" s="6" t="s">
        <v>204</v>
      </c>
      <c r="D5568" s="5">
        <v>44989</v>
      </c>
    </row>
    <row r="5569" spans="2:4">
      <c r="B5569" s="6" t="s">
        <v>87</v>
      </c>
      <c r="C5569" s="6" t="s">
        <v>88</v>
      </c>
      <c r="D5569" s="5">
        <v>44989</v>
      </c>
    </row>
    <row r="5570" spans="2:4">
      <c r="B5570" s="6" t="s">
        <v>83</v>
      </c>
      <c r="C5570" s="6" t="s">
        <v>86</v>
      </c>
      <c r="D5570" s="5">
        <v>44989</v>
      </c>
    </row>
    <row r="5571" spans="2:4">
      <c r="B5571" s="6" t="s">
        <v>69</v>
      </c>
      <c r="C5571" s="6" t="s">
        <v>93</v>
      </c>
      <c r="D5571" s="5">
        <v>44989</v>
      </c>
    </row>
    <row r="5572" spans="2:4">
      <c r="B5572" s="6" t="s">
        <v>232</v>
      </c>
      <c r="C5572" s="6" t="s">
        <v>170</v>
      </c>
      <c r="D5572" s="5">
        <v>44989</v>
      </c>
    </row>
    <row r="5573" spans="2:4">
      <c r="B5573" s="6" t="s">
        <v>376</v>
      </c>
      <c r="C5573" s="6" t="s">
        <v>242</v>
      </c>
      <c r="D5573" s="5">
        <v>44989</v>
      </c>
    </row>
    <row r="5574" spans="2:4">
      <c r="B5574" s="6" t="s">
        <v>198</v>
      </c>
      <c r="C5574" s="6" t="s">
        <v>433</v>
      </c>
      <c r="D5574" s="5">
        <v>44989</v>
      </c>
    </row>
    <row r="5575" spans="2:4">
      <c r="B5575" s="6" t="s">
        <v>141</v>
      </c>
      <c r="C5575" s="6" t="s">
        <v>420</v>
      </c>
      <c r="D5575" s="5">
        <v>44989</v>
      </c>
    </row>
    <row r="5576" spans="2:4">
      <c r="B5576" s="6" t="s">
        <v>337</v>
      </c>
      <c r="C5576" s="6" t="s">
        <v>121</v>
      </c>
      <c r="D5576" s="5">
        <v>44989</v>
      </c>
    </row>
    <row r="5577" spans="2:4">
      <c r="B5577" s="6" t="s">
        <v>47</v>
      </c>
      <c r="C5577" s="6" t="s">
        <v>53</v>
      </c>
      <c r="D5577" s="5">
        <v>44989</v>
      </c>
    </row>
    <row r="5578" spans="2:4">
      <c r="B5578" s="6" t="s">
        <v>72</v>
      </c>
      <c r="C5578" s="6" t="s">
        <v>77</v>
      </c>
      <c r="D5578" s="5">
        <v>44989</v>
      </c>
    </row>
    <row r="5579" spans="2:4">
      <c r="B5579" s="6" t="s">
        <v>251</v>
      </c>
      <c r="C5579" s="6" t="s">
        <v>44</v>
      </c>
      <c r="D5579" s="5">
        <v>44989</v>
      </c>
    </row>
    <row r="5580" spans="2:4">
      <c r="B5580" s="6" t="s">
        <v>27</v>
      </c>
      <c r="C5580" s="6" t="s">
        <v>322</v>
      </c>
      <c r="D5580" s="5">
        <v>44989</v>
      </c>
    </row>
    <row r="5581" spans="2:4">
      <c r="B5581" s="6" t="s">
        <v>48</v>
      </c>
      <c r="C5581" s="6" t="s">
        <v>49</v>
      </c>
      <c r="D5581" s="5">
        <v>44989</v>
      </c>
    </row>
    <row r="5582" spans="2:4">
      <c r="B5582" s="6" t="s">
        <v>79</v>
      </c>
      <c r="C5582" s="6" t="s">
        <v>81</v>
      </c>
      <c r="D5582" s="5">
        <v>44989</v>
      </c>
    </row>
    <row r="5583" spans="2:4">
      <c r="B5583" s="6" t="s">
        <v>399</v>
      </c>
      <c r="C5583" s="6" t="s">
        <v>249</v>
      </c>
      <c r="D5583" s="5">
        <v>44989</v>
      </c>
    </row>
    <row r="5584" spans="2:4">
      <c r="B5584" s="6" t="s">
        <v>181</v>
      </c>
      <c r="C5584" s="6" t="s">
        <v>308</v>
      </c>
      <c r="D5584" s="5">
        <v>44989</v>
      </c>
    </row>
    <row r="5585" spans="2:4">
      <c r="B5585" s="6" t="s">
        <v>332</v>
      </c>
      <c r="C5585" s="6" t="s">
        <v>156</v>
      </c>
      <c r="D5585" s="5">
        <v>44989</v>
      </c>
    </row>
    <row r="5586" spans="2:4">
      <c r="B5586" s="6" t="s">
        <v>382</v>
      </c>
      <c r="C5586" s="6" t="s">
        <v>314</v>
      </c>
      <c r="D5586" s="5">
        <v>44989</v>
      </c>
    </row>
    <row r="5587" spans="2:4">
      <c r="B5587" s="6" t="s">
        <v>394</v>
      </c>
      <c r="C5587" s="6" t="s">
        <v>347</v>
      </c>
      <c r="D5587" s="5">
        <v>44989</v>
      </c>
    </row>
    <row r="5588" spans="2:4">
      <c r="B5588" s="6" t="s">
        <v>303</v>
      </c>
      <c r="C5588" s="6" t="s">
        <v>364</v>
      </c>
      <c r="D5588" s="5">
        <v>44989</v>
      </c>
    </row>
    <row r="5589" spans="2:4">
      <c r="B5589" s="6" t="s">
        <v>117</v>
      </c>
      <c r="C5589" s="6" t="s">
        <v>285</v>
      </c>
      <c r="D5589" s="5">
        <v>44989</v>
      </c>
    </row>
    <row r="5590" spans="2:4">
      <c r="B5590" s="6" t="s">
        <v>361</v>
      </c>
      <c r="C5590" s="6" t="s">
        <v>216</v>
      </c>
      <c r="D5590" s="5">
        <v>44989</v>
      </c>
    </row>
    <row r="5591" spans="2:4">
      <c r="B5591" s="6" t="s">
        <v>35</v>
      </c>
      <c r="C5591" s="6" t="s">
        <v>245</v>
      </c>
      <c r="D5591" s="5">
        <v>44989</v>
      </c>
    </row>
    <row r="5592" spans="2:4">
      <c r="B5592" s="6" t="s">
        <v>76</v>
      </c>
      <c r="C5592" s="6" t="s">
        <v>164</v>
      </c>
      <c r="D5592" s="5">
        <v>44989</v>
      </c>
    </row>
    <row r="5593" spans="2:4">
      <c r="B5593" s="6" t="s">
        <v>51</v>
      </c>
      <c r="C5593" s="6" t="s">
        <v>46</v>
      </c>
      <c r="D5593" s="5">
        <v>44989</v>
      </c>
    </row>
    <row r="5594" spans="2:4">
      <c r="B5594" s="6" t="s">
        <v>124</v>
      </c>
      <c r="C5594" s="6" t="s">
        <v>199</v>
      </c>
      <c r="D5594" s="5">
        <v>44989</v>
      </c>
    </row>
    <row r="5595" spans="2:4">
      <c r="B5595" s="6" t="s">
        <v>185</v>
      </c>
      <c r="C5595" s="6" t="s">
        <v>85</v>
      </c>
      <c r="D5595" s="5">
        <v>44989</v>
      </c>
    </row>
    <row r="5596" spans="2:4">
      <c r="B5596" s="6" t="s">
        <v>168</v>
      </c>
      <c r="C5596" s="6" t="s">
        <v>162</v>
      </c>
      <c r="D5596" s="5">
        <v>44989</v>
      </c>
    </row>
    <row r="5597" spans="2:4">
      <c r="B5597" s="6" t="s">
        <v>621</v>
      </c>
      <c r="C5597" s="6" t="s">
        <v>236</v>
      </c>
      <c r="D5597" s="5">
        <v>44989</v>
      </c>
    </row>
    <row r="5598" spans="2:4">
      <c r="B5598" s="6" t="s">
        <v>75</v>
      </c>
      <c r="C5598" s="6" t="s">
        <v>70</v>
      </c>
      <c r="D5598" s="5">
        <v>44989</v>
      </c>
    </row>
    <row r="5599" spans="2:4">
      <c r="B5599" s="6" t="s">
        <v>392</v>
      </c>
      <c r="C5599" s="6" t="s">
        <v>152</v>
      </c>
      <c r="D5599" s="5">
        <v>44989</v>
      </c>
    </row>
    <row r="5600" spans="2:4">
      <c r="B5600" s="6" t="s">
        <v>423</v>
      </c>
      <c r="C5600" s="6" t="s">
        <v>428</v>
      </c>
      <c r="D5600" s="5">
        <v>44989</v>
      </c>
    </row>
    <row r="5601" spans="2:4">
      <c r="B5601" s="6" t="s">
        <v>207</v>
      </c>
      <c r="C5601" s="6" t="s">
        <v>154</v>
      </c>
      <c r="D5601" s="5">
        <v>44989</v>
      </c>
    </row>
    <row r="5602" spans="2:4">
      <c r="B5602" s="6" t="s">
        <v>74</v>
      </c>
      <c r="C5602" s="6" t="s">
        <v>73</v>
      </c>
      <c r="D5602" s="5">
        <v>44989</v>
      </c>
    </row>
    <row r="5603" spans="2:4">
      <c r="B5603" s="6" t="s">
        <v>144</v>
      </c>
      <c r="C5603" s="6" t="s">
        <v>212</v>
      </c>
      <c r="D5603" s="5">
        <v>44990</v>
      </c>
    </row>
    <row r="5604" spans="2:4">
      <c r="B5604" s="6" t="s">
        <v>66</v>
      </c>
      <c r="C5604" s="6" t="s">
        <v>56</v>
      </c>
      <c r="D5604" s="5">
        <v>44990</v>
      </c>
    </row>
    <row r="5605" spans="2:4">
      <c r="B5605" s="6" t="s">
        <v>58</v>
      </c>
      <c r="C5605" s="6" t="s">
        <v>60</v>
      </c>
      <c r="D5605" s="5">
        <v>44990</v>
      </c>
    </row>
    <row r="5606" spans="2:4">
      <c r="B5606" s="6" t="s">
        <v>221</v>
      </c>
      <c r="C5606" s="6" t="s">
        <v>145</v>
      </c>
      <c r="D5606" s="5">
        <v>44990</v>
      </c>
    </row>
    <row r="5607" spans="2:4">
      <c r="B5607" s="6" t="s">
        <v>411</v>
      </c>
      <c r="C5607" s="6" t="s">
        <v>275</v>
      </c>
      <c r="D5607" s="5">
        <v>44990</v>
      </c>
    </row>
    <row r="5608" spans="2:4">
      <c r="B5608" s="6" t="s">
        <v>187</v>
      </c>
      <c r="C5608" s="6" t="s">
        <v>341</v>
      </c>
      <c r="D5608" s="5">
        <v>44990</v>
      </c>
    </row>
    <row r="5609" spans="2:4">
      <c r="B5609" s="6" t="s">
        <v>61</v>
      </c>
      <c r="C5609" s="6" t="s">
        <v>67</v>
      </c>
      <c r="D5609" s="5">
        <v>44990</v>
      </c>
    </row>
    <row r="5610" spans="2:4">
      <c r="B5610" s="6" t="s">
        <v>352</v>
      </c>
      <c r="C5610" s="6" t="s">
        <v>231</v>
      </c>
      <c r="D5610" s="5">
        <v>44990</v>
      </c>
    </row>
    <row r="5611" spans="2:4">
      <c r="B5611" s="6" t="s">
        <v>62</v>
      </c>
      <c r="C5611" s="6" t="s">
        <v>59</v>
      </c>
      <c r="D5611" s="5">
        <v>44990</v>
      </c>
    </row>
    <row r="5612" spans="2:4">
      <c r="B5612" s="6" t="s">
        <v>64</v>
      </c>
      <c r="C5612" s="6" t="s">
        <v>68</v>
      </c>
      <c r="D5612" s="5">
        <v>44990</v>
      </c>
    </row>
    <row r="5613" spans="2:4">
      <c r="B5613" s="6" t="s">
        <v>63</v>
      </c>
      <c r="C5613" s="6" t="s">
        <v>65</v>
      </c>
      <c r="D5613" s="5">
        <v>44990</v>
      </c>
    </row>
    <row r="5614" spans="2:4">
      <c r="B5614" s="6" t="s">
        <v>138</v>
      </c>
      <c r="C5614" s="6" t="s">
        <v>125</v>
      </c>
      <c r="D5614" s="5">
        <v>44625</v>
      </c>
    </row>
    <row r="5615" spans="2:4">
      <c r="B5615" s="6" t="s">
        <v>32</v>
      </c>
      <c r="C5615" s="6" t="s">
        <v>34</v>
      </c>
      <c r="D5615" s="5">
        <v>44625</v>
      </c>
    </row>
    <row r="5616" spans="2:4">
      <c r="B5616" s="6" t="s">
        <v>349</v>
      </c>
      <c r="C5616" s="6" t="s">
        <v>337</v>
      </c>
      <c r="D5616" s="5">
        <v>44625</v>
      </c>
    </row>
    <row r="5617" spans="2:4">
      <c r="B5617" s="6" t="s">
        <v>284</v>
      </c>
      <c r="C5617" s="6" t="s">
        <v>210</v>
      </c>
      <c r="D5617" s="5">
        <v>44625</v>
      </c>
    </row>
    <row r="5618" spans="2:4">
      <c r="B5618" s="6" t="s">
        <v>117</v>
      </c>
      <c r="C5618" s="6" t="s">
        <v>115</v>
      </c>
      <c r="D5618" s="5">
        <v>44625</v>
      </c>
    </row>
    <row r="5619" spans="2:4">
      <c r="B5619" s="6" t="s">
        <v>352</v>
      </c>
      <c r="C5619" s="6" t="s">
        <v>275</v>
      </c>
      <c r="D5619" s="5">
        <v>44625</v>
      </c>
    </row>
    <row r="5620" spans="2:4">
      <c r="B5620" s="6" t="s">
        <v>73</v>
      </c>
      <c r="C5620" s="6" t="s">
        <v>93</v>
      </c>
      <c r="D5620" s="5">
        <v>44625</v>
      </c>
    </row>
    <row r="5621" spans="2:4">
      <c r="B5621" s="6" t="s">
        <v>368</v>
      </c>
      <c r="C5621" s="6" t="s">
        <v>143</v>
      </c>
      <c r="D5621" s="5">
        <v>44625</v>
      </c>
    </row>
    <row r="5622" spans="2:4">
      <c r="B5622" s="6" t="s">
        <v>376</v>
      </c>
      <c r="C5622" s="6" t="s">
        <v>135</v>
      </c>
      <c r="D5622" s="5">
        <v>44625</v>
      </c>
    </row>
    <row r="5623" spans="2:4">
      <c r="B5623" s="6" t="s">
        <v>313</v>
      </c>
      <c r="C5623" s="6" t="s">
        <v>193</v>
      </c>
      <c r="D5623" s="5">
        <v>44625</v>
      </c>
    </row>
    <row r="5624" spans="2:4">
      <c r="B5624" s="6" t="s">
        <v>195</v>
      </c>
      <c r="C5624" s="6" t="s">
        <v>373</v>
      </c>
      <c r="D5624" s="5">
        <v>44625</v>
      </c>
    </row>
    <row r="5625" spans="2:4">
      <c r="B5625" s="6" t="s">
        <v>316</v>
      </c>
      <c r="C5625" s="6" t="s">
        <v>182</v>
      </c>
      <c r="D5625" s="5">
        <v>44625</v>
      </c>
    </row>
    <row r="5626" spans="2:4">
      <c r="B5626" s="6" t="s">
        <v>322</v>
      </c>
      <c r="C5626" s="6" t="s">
        <v>27</v>
      </c>
      <c r="D5626" s="5">
        <v>44625</v>
      </c>
    </row>
    <row r="5627" spans="2:4">
      <c r="B5627" s="6" t="s">
        <v>87</v>
      </c>
      <c r="C5627" s="6" t="s">
        <v>89</v>
      </c>
      <c r="D5627" s="5">
        <v>44625</v>
      </c>
    </row>
    <row r="5628" spans="2:4">
      <c r="B5628" s="6" t="s">
        <v>26</v>
      </c>
      <c r="C5628" s="6" t="s">
        <v>30</v>
      </c>
      <c r="D5628" s="5">
        <v>44625</v>
      </c>
    </row>
    <row r="5629" spans="2:4">
      <c r="B5629" s="6" t="s">
        <v>78</v>
      </c>
      <c r="C5629" s="6" t="s">
        <v>69</v>
      </c>
      <c r="D5629" s="5">
        <v>44625</v>
      </c>
    </row>
    <row r="5630" spans="2:4">
      <c r="B5630" s="6" t="s">
        <v>421</v>
      </c>
      <c r="C5630" s="6" t="s">
        <v>274</v>
      </c>
      <c r="D5630" s="5">
        <v>44625</v>
      </c>
    </row>
    <row r="5631" spans="2:4">
      <c r="B5631" s="6" t="s">
        <v>343</v>
      </c>
      <c r="C5631" s="6" t="s">
        <v>183</v>
      </c>
      <c r="D5631" s="5">
        <v>44625</v>
      </c>
    </row>
    <row r="5632" spans="2:4">
      <c r="B5632" s="6" t="s">
        <v>319</v>
      </c>
      <c r="C5632" s="6" t="s">
        <v>134</v>
      </c>
      <c r="D5632" s="5">
        <v>44625</v>
      </c>
    </row>
    <row r="5633" spans="2:4">
      <c r="B5633" s="6" t="s">
        <v>424</v>
      </c>
      <c r="C5633" s="6" t="s">
        <v>347</v>
      </c>
      <c r="D5633" s="5">
        <v>44625</v>
      </c>
    </row>
    <row r="5634" spans="2:4">
      <c r="B5634" s="6" t="s">
        <v>94</v>
      </c>
      <c r="C5634" s="6" t="s">
        <v>159</v>
      </c>
      <c r="D5634" s="5">
        <v>44625</v>
      </c>
    </row>
    <row r="5635" spans="2:4">
      <c r="B5635" s="6" t="s">
        <v>33</v>
      </c>
      <c r="C5635" s="6" t="s">
        <v>29</v>
      </c>
      <c r="D5635" s="5">
        <v>44625</v>
      </c>
    </row>
    <row r="5636" spans="2:4">
      <c r="B5636" s="6" t="s">
        <v>133</v>
      </c>
      <c r="C5636" s="6" t="s">
        <v>121</v>
      </c>
      <c r="D5636" s="5">
        <v>44625</v>
      </c>
    </row>
    <row r="5637" spans="2:4">
      <c r="B5637" s="6" t="s">
        <v>281</v>
      </c>
      <c r="C5637" s="6" t="s">
        <v>300</v>
      </c>
      <c r="D5637" s="5">
        <v>44625</v>
      </c>
    </row>
    <row r="5638" spans="2:4">
      <c r="B5638" s="6" t="s">
        <v>211</v>
      </c>
      <c r="C5638" s="6" t="s">
        <v>130</v>
      </c>
      <c r="D5638" s="5">
        <v>44625</v>
      </c>
    </row>
    <row r="5639" spans="2:4">
      <c r="B5639" s="6" t="s">
        <v>152</v>
      </c>
      <c r="C5639" s="6" t="s">
        <v>394</v>
      </c>
      <c r="D5639" s="5">
        <v>44625</v>
      </c>
    </row>
    <row r="5640" spans="2:4">
      <c r="B5640" s="6" t="s">
        <v>314</v>
      </c>
      <c r="C5640" s="6" t="s">
        <v>382</v>
      </c>
      <c r="D5640" s="5">
        <v>44625</v>
      </c>
    </row>
    <row r="5641" spans="2:4">
      <c r="B5641" s="6" t="s">
        <v>70</v>
      </c>
      <c r="C5641" s="6" t="s">
        <v>164</v>
      </c>
      <c r="D5641" s="5">
        <v>44625</v>
      </c>
    </row>
    <row r="5642" spans="2:4">
      <c r="B5642" s="6" t="s">
        <v>158</v>
      </c>
      <c r="C5642" s="6" t="s">
        <v>403</v>
      </c>
      <c r="D5642" s="5">
        <v>44625</v>
      </c>
    </row>
    <row r="5643" spans="2:4">
      <c r="B5643" s="6" t="s">
        <v>393</v>
      </c>
      <c r="C5643" s="6" t="s">
        <v>402</v>
      </c>
      <c r="D5643" s="5">
        <v>44625</v>
      </c>
    </row>
    <row r="5644" spans="2:4">
      <c r="B5644" s="6" t="s">
        <v>295</v>
      </c>
      <c r="C5644" s="6" t="s">
        <v>339</v>
      </c>
      <c r="D5644" s="5">
        <v>44625</v>
      </c>
    </row>
    <row r="5645" spans="2:4">
      <c r="B5645" s="6" t="s">
        <v>364</v>
      </c>
      <c r="C5645" s="6" t="s">
        <v>303</v>
      </c>
      <c r="D5645" s="5">
        <v>44625</v>
      </c>
    </row>
    <row r="5646" spans="2:4">
      <c r="B5646" s="6" t="s">
        <v>28</v>
      </c>
      <c r="C5646" s="6" t="s">
        <v>31</v>
      </c>
      <c r="D5646" s="5">
        <v>44625</v>
      </c>
    </row>
    <row r="5647" spans="2:4">
      <c r="B5647" s="6" t="s">
        <v>44</v>
      </c>
      <c r="C5647" s="6" t="s">
        <v>251</v>
      </c>
      <c r="D5647" s="5">
        <v>44625</v>
      </c>
    </row>
    <row r="5648" spans="2:4">
      <c r="B5648" s="6" t="s">
        <v>391</v>
      </c>
      <c r="C5648" s="6" t="s">
        <v>426</v>
      </c>
      <c r="D5648" s="5">
        <v>44625</v>
      </c>
    </row>
    <row r="5649" spans="2:4">
      <c r="B5649" s="6" t="s">
        <v>419</v>
      </c>
      <c r="C5649" s="6" t="s">
        <v>97</v>
      </c>
      <c r="D5649" s="5">
        <v>44625</v>
      </c>
    </row>
    <row r="5650" spans="2:4">
      <c r="B5650" s="6" t="s">
        <v>88</v>
      </c>
      <c r="C5650" s="6" t="s">
        <v>185</v>
      </c>
      <c r="D5650" s="5">
        <v>44625</v>
      </c>
    </row>
    <row r="5651" spans="2:4">
      <c r="B5651" s="6" t="s">
        <v>420</v>
      </c>
      <c r="C5651" s="6" t="s">
        <v>154</v>
      </c>
      <c r="D5651" s="5">
        <v>44625</v>
      </c>
    </row>
    <row r="5652" spans="2:4">
      <c r="B5652" s="6" t="s">
        <v>345</v>
      </c>
      <c r="C5652" s="6" t="s">
        <v>388</v>
      </c>
      <c r="D5652" s="5">
        <v>44625</v>
      </c>
    </row>
    <row r="5653" spans="2:4">
      <c r="B5653" s="6" t="s">
        <v>100</v>
      </c>
      <c r="C5653" s="6" t="s">
        <v>107</v>
      </c>
      <c r="D5653" s="5">
        <v>44625</v>
      </c>
    </row>
    <row r="5654" spans="2:4">
      <c r="B5654" s="6" t="s">
        <v>71</v>
      </c>
      <c r="C5654" s="6" t="s">
        <v>76</v>
      </c>
      <c r="D5654" s="5">
        <v>44625</v>
      </c>
    </row>
    <row r="5655" spans="2:4">
      <c r="B5655" s="6" t="s">
        <v>206</v>
      </c>
      <c r="C5655" s="6" t="s">
        <v>378</v>
      </c>
      <c r="D5655" s="5">
        <v>44625</v>
      </c>
    </row>
    <row r="5656" spans="2:4">
      <c r="B5656" s="6" t="s">
        <v>372</v>
      </c>
      <c r="C5656" s="6" t="s">
        <v>342</v>
      </c>
      <c r="D5656" s="5">
        <v>44625</v>
      </c>
    </row>
    <row r="5657" spans="2:4">
      <c r="B5657" s="6" t="s">
        <v>381</v>
      </c>
      <c r="C5657" s="6" t="s">
        <v>371</v>
      </c>
      <c r="D5657" s="5">
        <v>44625</v>
      </c>
    </row>
    <row r="5658" spans="2:4">
      <c r="B5658" s="6" t="s">
        <v>344</v>
      </c>
      <c r="C5658" s="6" t="s">
        <v>290</v>
      </c>
      <c r="D5658" s="5">
        <v>44625</v>
      </c>
    </row>
    <row r="5659" spans="2:4">
      <c r="B5659" s="6" t="s">
        <v>249</v>
      </c>
      <c r="C5659" s="6" t="s">
        <v>399</v>
      </c>
      <c r="D5659" s="5">
        <v>44625</v>
      </c>
    </row>
    <row r="5660" spans="2:4">
      <c r="B5660" s="6" t="s">
        <v>91</v>
      </c>
      <c r="C5660" s="6" t="s">
        <v>85</v>
      </c>
      <c r="D5660" s="5">
        <v>44625</v>
      </c>
    </row>
    <row r="5661" spans="2:4">
      <c r="B5661" s="6" t="s">
        <v>386</v>
      </c>
      <c r="C5661" s="6" t="s">
        <v>162</v>
      </c>
      <c r="D5661" s="5">
        <v>44625</v>
      </c>
    </row>
    <row r="5662" spans="2:4">
      <c r="B5662" s="6" t="s">
        <v>384</v>
      </c>
      <c r="C5662" s="6" t="s">
        <v>141</v>
      </c>
      <c r="D5662" s="5">
        <v>44625</v>
      </c>
    </row>
    <row r="5663" spans="2:4">
      <c r="B5663" s="6" t="s">
        <v>190</v>
      </c>
      <c r="C5663" s="6" t="s">
        <v>389</v>
      </c>
      <c r="D5663" s="5">
        <v>44625</v>
      </c>
    </row>
    <row r="5664" spans="2:4">
      <c r="B5664" s="6" t="s">
        <v>375</v>
      </c>
      <c r="C5664" s="6" t="s">
        <v>383</v>
      </c>
      <c r="D5664" s="5">
        <v>44625</v>
      </c>
    </row>
    <row r="5665" spans="2:4">
      <c r="B5665" s="6" t="s">
        <v>77</v>
      </c>
      <c r="C5665" s="6" t="s">
        <v>72</v>
      </c>
      <c r="D5665" s="5">
        <v>44625</v>
      </c>
    </row>
    <row r="5666" spans="2:4">
      <c r="B5666" s="6" t="s">
        <v>75</v>
      </c>
      <c r="C5666" s="6" t="s">
        <v>74</v>
      </c>
      <c r="D5666" s="5">
        <v>44625</v>
      </c>
    </row>
    <row r="5667" spans="2:4">
      <c r="B5667" s="6" t="s">
        <v>374</v>
      </c>
      <c r="C5667" s="6" t="s">
        <v>428</v>
      </c>
      <c r="D5667" s="5">
        <v>44625</v>
      </c>
    </row>
    <row r="5668" spans="2:4">
      <c r="B5668" s="6" t="s">
        <v>406</v>
      </c>
      <c r="C5668" s="6" t="s">
        <v>167</v>
      </c>
      <c r="D5668" s="5">
        <v>44625</v>
      </c>
    </row>
    <row r="5669" spans="2:4">
      <c r="B5669" s="6" t="s">
        <v>207</v>
      </c>
      <c r="C5669" s="6" t="s">
        <v>236</v>
      </c>
      <c r="D5669" s="5">
        <v>44625</v>
      </c>
    </row>
    <row r="5670" spans="2:4">
      <c r="B5670" s="6" t="s">
        <v>169</v>
      </c>
      <c r="C5670" s="6" t="s">
        <v>392</v>
      </c>
      <c r="D5670" s="5">
        <v>44625</v>
      </c>
    </row>
    <row r="5671" spans="2:4">
      <c r="B5671" s="6" t="s">
        <v>189</v>
      </c>
      <c r="C5671" s="6" t="s">
        <v>163</v>
      </c>
      <c r="D5671" s="5">
        <v>44625</v>
      </c>
    </row>
    <row r="5672" spans="2:4">
      <c r="B5672" s="6" t="s">
        <v>144</v>
      </c>
      <c r="C5672" s="6" t="s">
        <v>212</v>
      </c>
      <c r="D5672" s="5">
        <v>44626</v>
      </c>
    </row>
    <row r="5673" spans="2:4">
      <c r="B5673" s="6" t="s">
        <v>64</v>
      </c>
      <c r="C5673" s="6" t="s">
        <v>66</v>
      </c>
      <c r="D5673" s="5">
        <v>44626</v>
      </c>
    </row>
    <row r="5674" spans="2:4">
      <c r="B5674" s="6" t="s">
        <v>57</v>
      </c>
      <c r="C5674" s="6" t="s">
        <v>59</v>
      </c>
      <c r="D5674" s="5">
        <v>44626</v>
      </c>
    </row>
    <row r="5675" spans="2:4">
      <c r="B5675" s="6" t="s">
        <v>95</v>
      </c>
      <c r="C5675" s="6" t="s">
        <v>411</v>
      </c>
      <c r="D5675" s="5">
        <v>44626</v>
      </c>
    </row>
    <row r="5676" spans="2:4">
      <c r="B5676" s="6" t="s">
        <v>145</v>
      </c>
      <c r="C5676" s="6" t="s">
        <v>231</v>
      </c>
      <c r="D5676" s="5">
        <v>44626</v>
      </c>
    </row>
    <row r="5677" spans="2:4">
      <c r="B5677" s="6" t="s">
        <v>65</v>
      </c>
      <c r="C5677" s="6" t="s">
        <v>67</v>
      </c>
      <c r="D5677" s="5">
        <v>44626</v>
      </c>
    </row>
    <row r="5678" spans="2:4">
      <c r="B5678" s="6" t="s">
        <v>341</v>
      </c>
      <c r="C5678" s="6" t="s">
        <v>221</v>
      </c>
      <c r="D5678" s="5">
        <v>44626</v>
      </c>
    </row>
    <row r="5679" spans="2:4">
      <c r="B5679" s="6" t="s">
        <v>55</v>
      </c>
      <c r="C5679" s="6" t="s">
        <v>56</v>
      </c>
      <c r="D5679" s="5">
        <v>44626</v>
      </c>
    </row>
    <row r="5680" spans="2:4">
      <c r="B5680" s="6" t="s">
        <v>60</v>
      </c>
      <c r="C5680" s="6" t="s">
        <v>61</v>
      </c>
      <c r="D5680" s="5">
        <v>44626</v>
      </c>
    </row>
    <row r="5681" spans="2:4">
      <c r="B5681" s="6" t="s">
        <v>68</v>
      </c>
      <c r="C5681" s="6" t="s">
        <v>63</v>
      </c>
      <c r="D5681" s="5">
        <v>44626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Picks</vt:lpstr>
      <vt:lpstr>Data</vt:lpstr>
      <vt:lpstr>schedule copy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Wyatt Meyer</dc:creator>
  <cp:lastModifiedBy>Microsoft Office User</cp:lastModifiedBy>
  <cp:lastPrinted>2022-11-12T20:01:43Z</cp:lastPrinted>
  <dcterms:created xsi:type="dcterms:W3CDTF">2019-10-30T14:24:48Z</dcterms:created>
  <dcterms:modified xsi:type="dcterms:W3CDTF">2022-11-21T15:53:07Z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20f21ee-9bdc-4991-8abe-58f53448e302_Enabled">
    <vt:lpwstr>true</vt:lpwstr>
  </property>
  <property fmtid="{D5CDD505-2E9C-101B-9397-08002B2CF9AE}" pid="3" name="MSIP_Label_320f21ee-9bdc-4991-8abe-58f53448e302_SetDate">
    <vt:lpwstr>2022-11-21T15:53:07Z</vt:lpwstr>
  </property>
  <property fmtid="{D5CDD505-2E9C-101B-9397-08002B2CF9AE}" pid="4" name="MSIP_Label_320f21ee-9bdc-4991-8abe-58f53448e302_Method">
    <vt:lpwstr>Privileged</vt:lpwstr>
  </property>
  <property fmtid="{D5CDD505-2E9C-101B-9397-08002B2CF9AE}" pid="5" name="MSIP_Label_320f21ee-9bdc-4991-8abe-58f53448e302_Name">
    <vt:lpwstr>External Label</vt:lpwstr>
  </property>
  <property fmtid="{D5CDD505-2E9C-101B-9397-08002B2CF9AE}" pid="6" name="MSIP_Label_320f21ee-9bdc-4991-8abe-58f53448e302_SiteId">
    <vt:lpwstr>db05faca-c82a-4b9d-b9c5-0f64b6755421</vt:lpwstr>
  </property>
  <property fmtid="{D5CDD505-2E9C-101B-9397-08002B2CF9AE}" pid="7" name="MSIP_Label_320f21ee-9bdc-4991-8abe-58f53448e302_ActionId">
    <vt:lpwstr>eef8d0c8-a110-49f8-923f-cdf401fb9dd9</vt:lpwstr>
  </property>
  <property fmtid="{D5CDD505-2E9C-101B-9397-08002B2CF9AE}" pid="8" name="MSIP_Label_320f21ee-9bdc-4991-8abe-58f53448e302_ContentBits">
    <vt:lpwstr>0</vt:lpwstr>
  </property>
</Properties>
</file>